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Unit Testing" sheetId="2" r:id="rId6"/>
    <sheet state="visible" name="Integration Testing" sheetId="3" r:id="rId7"/>
    <sheet state="visible" name="System E2E Testing" sheetId="4" r:id="rId8"/>
    <sheet state="visible" name="AI Model Validation" sheetId="5" r:id="rId9"/>
    <sheet state="visible" name="Performance &amp; Load Testing" sheetId="6" r:id="rId10"/>
    <sheet state="visible" name="Reliability &amp; Endurance" sheetId="7" r:id="rId11"/>
    <sheet state="visible" name="Security Testing" sheetId="8" r:id="rId12"/>
    <sheet state="visible" name="Backup &amp; Recovery" sheetId="9" r:id="rId13"/>
    <sheet state="visible" name="Session Control" sheetId="10" r:id="rId14"/>
    <sheet state="visible" name="UAT Journeys" sheetId="11" r:id="rId15"/>
    <sheet state="visible" name="Execution Log" sheetId="12" r:id="rId16"/>
    <sheet state="visible" name="SUS Questionnaire" sheetId="13" r:id="rId17"/>
    <sheet state="visible" name="UAT Results" sheetId="14" r:id="rId18"/>
    <sheet state="visible" name="Usability Results" sheetId="15" r:id="rId19"/>
    <sheet state="visible" name="Defect Log" sheetId="16" r:id="rId20"/>
    <sheet state="visible" name="UAT Traceability" sheetId="17" r:id="rId21"/>
  </sheets>
  <definedNames>
    <definedName hidden="1" localSheetId="1" name="_xlnm._FilterDatabase">'Unit Testing'!$A$1:$J$69</definedName>
    <definedName hidden="1" localSheetId="2" name="_xlnm._FilterDatabase">'Integration Testing'!$A$1:$J$24</definedName>
    <definedName hidden="1" localSheetId="3" name="_xlnm._FilterDatabase">'System E2E Testing'!$A$1:$J$22</definedName>
    <definedName hidden="1" localSheetId="4" name="_xlnm._FilterDatabase">'AI Model Validation'!$A$1:$K$16</definedName>
    <definedName hidden="1" localSheetId="5" name="_xlnm._FilterDatabase">'Performance &amp; Load Testing'!$A$1:$J$16</definedName>
    <definedName hidden="1" localSheetId="6" name="_xlnm._FilterDatabase">'Reliability &amp; Endurance'!$A$1:$J$16</definedName>
    <definedName hidden="1" localSheetId="7" name="_xlnm._FilterDatabase">'Security Testing'!$A$1:$K$28</definedName>
    <definedName hidden="1" localSheetId="8" name="_xlnm._FilterDatabase">'Backup &amp; Recovery'!$A$1:$J$17</definedName>
    <definedName hidden="1" localSheetId="10" name="_xlnm._FilterDatabase">'UAT Journeys'!$A$1:$I$16</definedName>
    <definedName hidden="1" localSheetId="11" name="_xlnm._FilterDatabase">'Execution Log'!$A$1:$H$34</definedName>
    <definedName hidden="1" localSheetId="15" name="_xlnm._FilterDatabase">'Defect Log'!$A$1:$G$100</definedName>
    <definedName hidden="1" localSheetId="16" name="_xlnm._FilterDatabase">'UAT Traceability'!$A$1:$G$44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Previous:
C9: Resolving an incident resumes the camera and notifies operators of both state changes.
D9: pytest selector: backend/tests/test_websocket.py::test_resolve_alert_broadcasts_camera_status_update_over_websocket
E9: Client receives CAMERA_STATUS_UPDATE then ALERT_STATUS_UPDATE showing the resolved incident.
F9: 2026-08-29
G9: Pass
H9: 4 selected tests passed in 0.80s.
Codex ID: PS-20260903-CLEARED-INCIDENT-TERMINOLOGY
Done by Codex.
</t>
      </text>
    </comment>
    <comment authorId="0" ref="A18">
      <text>
        <t xml:space="preserve">This rule is newly added by Codex, not copied from the original test plan. It resolves the ambiguity using the 33 planned participant-stage executions, and incomplete executions cannot be silently excluded to improve the pass rate.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
      <text>
        <t xml:space="preserve">Select Yes only when the participant had no prior hands-on exposure to this ADAS build before the standardized briefing.</t>
      </text>
    </comment>
    <comment authorId="0" ref="B11">
      <text>
        <t xml:space="preserve">Separate formal record created for final acceptance. Complete and sign it only after UAT Results shows eligibility and the authorized review occurs.</t>
      </text>
    </comment>
    <comment authorId="0" ref="A24">
      <text>
        <t xml:space="preserve">NEW IMPLEMENTED READINESS GATE (Codex): the baseline is now code-backed and must be dry-run before participant execution.</t>
      </text>
    </comment>
    <comment authorId="0" ref="D24">
      <text>
        <t xml:space="preserve">NEW IMPLEMENTED READINESS GATE (Codex): exact verification criteria for the new profile/reset path.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NEW IMPLEMENTED UAT SETUP (Codex): binds OP-J03 to the deterministic Channel 4 fixture restored by Prepare next Operator.</t>
      </text>
    </comment>
    <comment authorId="0" ref="E5">
      <text>
        <t xml:space="preserve">[Threaded comment]
 Your version of Excel allows you to read this threaded comment; however, any edits to it will get removed if the file is opened in a newer version of Excel. Learn more: https://go.microsoft.com/fwlink/?linkid=870924
Comment:
	pwedeng isa nalang.
ayusin workflow
</t>
      </text>
    </comment>
    <comment authorId="0" ref="E4">
      <text>
        <t xml:space="preserve">[Threaded comment]
 Your version of Excel allows you to read this threaded comment; however, any edits to it will get removed if the file is opened in a newer version of Excel. Learn more: https://go.microsoft.com/fwlink/?linkid=870924
Comment:
	pag-iisipan
</t>
      </text>
    </comment>
    <comment authorId="0" ref="D2">
      <text>
        <t xml:space="preserve">NEW IMPLEMENTED UAT SETUP (Codex): exact uat seed and targeted reset controls. Added because full reseeding between participants would erase AD-J06 audit evidence.</t>
      </text>
    </comment>
    <comment authorId="0" ref="D1">
      <text>
        <t xml:space="preserve">Hidden facilitator preparation and trigger steps. Do not read this cell verbatim to participants; use the casual-Filipino scenario prompts in the Scripts section of the sign-off Doc.
Camera role map for UAT — memorize the role; the seeded names are recognizable Lipa deployment points:
Channel 1 — Crossing-Banaybanay — genuine-alert scenario.
Channel 2 — Air Base Intersection — false-alert scenario.
Channel 3 — Lipa Town Center-Tambo — recovery scenario.
Channel 4 — Petron Banaybanay — readiness scenario.
Channel 5 — Unitop — reference scenario.
Channel 6 — STAR Tollway — tray-review scenario.</t>
      </text>
    </comment>
    <comment authorId="0" ref="F1">
      <text>
        <t xml:space="preserve">Numbered observable actions. Record assistance if the facilitator has to tell the participant where or what to click.</t>
      </text>
    </comment>
    <comment authorId="0" ref="G1">
      <text>
        <t xml:space="preserve">Numbered acceptance observations. Mark Pass only when all applicable expectations are satisfied; otherwise Fail/Blocked/Retest Required and link a defect where needed.</t>
      </text>
    </comment>
    <comment authorId="0" ref="D16">
      <text>
        <t xml:space="preserve">NEW IMPLEMENTED UAT SETUP (Codex): aligns the denied audit event with each Administrator’s distinct replacement account.</t>
      </text>
    </comment>
    <comment authorId="0" ref="D13">
      <text>
        <t xml:space="preserve">NEW IMPLEMENTED UAT SETUP (Codex): distinct replacement usernames prevent ADM-01 evidence from colliding with ADM-02.</t>
      </text>
    </comment>
    <comment authorId="0" ref="F15">
      <text>
        <t xml:space="preserve">[Threaded comment]
 Your version of Excel allows you to read this threaded comment; however, any edits to it will get removed if the file is opened in a newer version of Excel. Learn more: https://go.microsoft.com/fwlink/?linkid=870924
Comment:
	dapat ongoing nalang
</t>
      </text>
    </comment>
    <comment authorId="0" ref="D12">
      <text>
        <t xml:space="preserve">NEW IMPLEMENTED UAT SETUP (Codex): replaces a vague seeded condition with the exact Channel 4 fixture and implemented healthy-baseline control.</t>
      </text>
    </comment>
    <comment authorId="0" ref="D11">
      <text>
        <t xml:space="preserve">NEW IMPLEMENTED UAT SETUP (Codex): exact pre-Administrator reset without reseeding, preserving Operator evidence for AD-J06.</t>
      </text>
    </comment>
    <comment authorId="0" ref="E8">
      <text>
        <t xml:space="preserve">[Threaded comment]
 Your version of Excel allows you to read this threaded comment; however, any edits to it will get removed if the file is opened in a newer version of Excel. Learn more: https://go.microsoft.com/fwlink/?linkid=870924
Comment:
	cannot be ang workflow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[Threaded comment]
 Your version of Excel allows you to read this threaded comment; however, any edits to it will get removed if the file is opened in a newer version of Excel. Learn more: https://go.microsoft.com/fwlink/?linkid=870924
Comment:
	Previous: Elapsed Seconds
Codex ID: PS-20260903-NFR09-25-SECOND-E2E
Done by Codex.
</t>
      </text>
    </comment>
    <comment authorId="0" ref="E1">
      <text>
        <t xml:space="preserve">None = no help; Verbal Prompt = non-leading reminder; Hands-on Assistance = facilitator directly intervened. Assistance must be reflected in usability interpretation.</t>
      </text>
    </comment>
    <comment authorId="0" ref="F1">
      <text>
        <t xml:space="preserve">Record factual observed behavior without participant names or unnecessary personal data.</t>
      </text>
    </comment>
    <comment authorId="0" ref="G1">
      <text>
        <t xml:space="preserve">Enter stable IDs from Defect Log, separated by commas when more than one applies.</t>
      </text>
    </comment>
    <comment authorId="0" ref="H1">
      <text>
        <t xml:space="preserve">Stage-level evidence should be an audit-log/export/system-record/defect reference. The single behind-the-scenes session photo belongs in Session Control and is not evidence that a stage passed.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
      <text>
        <t xml:space="preserve">Calculated automatically from the ten standard SUS ratings. Do not overwrite.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Eligibility is automatic; it is not the authorized representative's final acceptance decision.</t>
      </text>
    </comment>
  </commentList>
</comments>
</file>

<file path=xl/sharedStrings.xml><?xml version="1.0" encoding="utf-8"?>
<sst xmlns="http://schemas.openxmlformats.org/spreadsheetml/2006/main" count="2698" uniqueCount="1708">
  <si>
    <t>Test ID</t>
  </si>
  <si>
    <t>ADAS Test Execution Tracker, Technical Test Suite and UAT</t>
  </si>
  <si>
    <t>Requirement / Objective</t>
  </si>
  <si>
    <t>Scenario</t>
  </si>
  <si>
    <t>Preconditions / Steps</t>
  </si>
  <si>
    <t>Expected Result / Acceptance</t>
  </si>
  <si>
    <t>Date Executed</t>
  </si>
  <si>
    <t>Result</t>
  </si>
  <si>
    <t>Actual Result / Notes</t>
  </si>
  <si>
    <t>Evidence Link</t>
  </si>
  <si>
    <t>Defect / Retest Note</t>
  </si>
  <si>
    <t>TC-UNIT-001</t>
  </si>
  <si>
    <t>TC-INT-001</t>
  </si>
  <si>
    <t>FR-01 User Authentication</t>
  </si>
  <si>
    <t>FR-04 Video Stream Ingestion</t>
  </si>
  <si>
    <t>Valid credentials establish a server session without exposing a token.</t>
  </si>
  <si>
    <t>1. Run the automated unit selector:
uv run pytest backend/tests/test_auth.py::TestLogin::test_login_success_sets_cookie_no_token_in_body
2. Confirm the selected test passes and capture the run output.</t>
  </si>
  <si>
    <t>The AI engine ingests and decodes a live RTSP stream published by the MediaMTX gateway.</t>
  </si>
  <si>
    <t>A successful login returns the protected session cookie and no token in the response body.</t>
  </si>
  <si>
    <t>1. Publish ai_engine/eval/clips/dekwatro.mp4 (2560x1440 h264, 2K) via MediaMTX as rtsp://localhost:8555/channel1.
2. Point camera 1 at that stream through RTSP_URL_TEMPLATE and start the AI engine.
3. Inspect the MediaMTX session log, the camera's reported connection_status, and the decoded frame products.</t>
  </si>
  <si>
    <t>1. The engine completes the RTSP handshake and decodes frames as valid image arrays.
2. connection_status for the camera is reported as Connected on the following status check-in.
3. No local video file path is used as the frame source.</t>
  </si>
  <si>
    <t>TC-SYS-001</t>
  </si>
  <si>
    <t>FR-01 User Authentication / FR-02 Role-Based Access Control (RBAC)</t>
  </si>
  <si>
    <t>Operator and Administrator authenticate through the deployed browser and receive role-appropriate access.</t>
  </si>
  <si>
    <t>Entry gate: build d066aaf, all six enabled streams Connected, single-node deployment.
1. Sign in at http://localhost:5174 as Operator dsahagun.
2. Read the rendered navigation and search it for each Administrator destination.
3. Sign out, sign in as Administrator rmanalo, and read the navigation again.
4. Query the audit trail for both sign-in events.</t>
  </si>
  <si>
    <t>1. Both valid accounts authenticate successfully against the deployed build.
2. The Operator session exposes no Administrator-only destination.
3. The Administrator session exposes every Operator destination plus User Management, AI Performance, Audit Log, and Maintenance.
4. Both sign-in events appear in the audit trail.</t>
  </si>
  <si>
    <t>Pass</t>
  </si>
  <si>
    <t>Pass, full backend fast suite: 939 passed, 2 skipped, 12 deselected.</t>
  </si>
  <si>
    <t>https://docs.google.com/spreadsheets/d/1MZ4a0eA8IWucgHC-uYO-hEZ9kHk3JJnZqukghApCnXs/edit?gid=0#gid=0&amp;range=A2:J2</t>
  </si>
  <si>
    <t>All three acceptance conditions observed. MediaMTX logged the engine creating an RTSP reading session on channel1 over TCP with 1 H264 track, so the handshake completed. Frames decoded to valid image arrays: the camera reported measured_fps 13.6 and inference_latency_ms 27.1, neither computable without decoded frames, and a detection from that stream produced an annotated JPEG that decodes to shape (1440, 2560, 3). connection_status was Connected on the following status check-in. The frame source was rtsp://localhost:8555/channel1 as reported by rtsp_url_redacted, an RTSP URL and not a local file path.</t>
  </si>
  <si>
    <t>All four acceptance conditions observed. Both accounts authenticated against the running build. The Operator session rendered OPERATIONS (Dashboard, Cameras, Detections), MONITORING (System Health), ACCOUNT (Profile) and Help Center only, and an accessibility-tree search returned no match for User Management, AI Performance, Audit Log or Maintenance, so they are absent from the rendered output rather than hidden by style. The Administrator session rendered every Operator destination plus an ADMINISTRATION group containing Users, Audit Log, Maintenance and AI Performance. Both sign-ins appear in the audit trail as LOGIN_SUCCESS with actor, role, session target_ref, result success and source_ip 127.0.0.1 (audit_id 47 and 48 for rmanalo, and the corresponding Operator row).</t>
  </si>
  <si>
    <t>https://docs.google.com/spreadsheets/d/1EQqHktDNbIqhYyCKQZHQ5_mb501YQG7j_nVoxZILCEs/edit?gid=0#gid=0&amp;range=A2:J2</t>
  </si>
  <si>
    <t>https://docs.google.com/spreadsheets/d/127sqg1pWCKvnr1KYa2ctscpMyJDphAcq6-xflAvkjJ0/edit?gid=0#gid=0&amp;range=A2:J2</t>
  </si>
  <si>
    <t>No defect.</t>
  </si>
  <si>
    <t>TC-UNIT-002</t>
  </si>
  <si>
    <t>Eight technical testing activities carry the cleansed and completed test suite. Usability and UAT retain the continuous role-based journeys, the shared participant-stage execution log, SUS, defects, traceability, and formal acceptance gates. See the Cleansing Log tab for every retention, rewrite, reclassification, and removal decision.</t>
  </si>
  <si>
    <t>No additional defect note was recorded in the tracker.</t>
  </si>
  <si>
    <t>TC-SYS-002</t>
  </si>
  <si>
    <t>TC-INT-002</t>
  </si>
  <si>
    <t>FR-06 Alert Generation and Snapshot Capture / FR-12 Incident Logging</t>
  </si>
  <si>
    <t>FR-03 User Account Management / FR-20 Activity Audit Trail</t>
  </si>
  <si>
    <t>Invalid credentials receive a non-enumerating denial.</t>
  </si>
  <si>
    <t>1. Run the automated unit selector:
uv run pytest backend/tests/test_auth.py::TestLogin::test_bad_credentials_return_generic_401
2. Confirm the selected test passes and capture the run output.</t>
  </si>
  <si>
    <t>Incorrect credentials return the generic 401 (not signed in) response.</t>
  </si>
  <si>
    <t>Engine-built alert message satisfies the server detection schema.</t>
  </si>
  <si>
    <t>1. Run the automated integration selector:
pytest selector: ai_engine/tests/test_contract.py::test_the_engines_payload_validates_against_the_backends_schema
2. Confirm the selected test passes and capture the run output.</t>
  </si>
  <si>
    <t>Server accepts the actual engine message shape, including all required fields.</t>
  </si>
  <si>
    <t>An Administrator completes the full account lifecycle for an Operator.</t>
  </si>
  <si>
    <t>1. Sign in as Administrator rmanalo.
2. POST /api/users/ to create Operator tclifecycle, then sign that account in from a separate cookie jar standing in for a second browser.
3. Confirm the new account's role and that Administrator-only routes are refused to it.
4. Edit the account, then reset its password as Administrator and re-check the target's active session.
5. Deactivate, attempt sign-in, filter the directory to deactivated accounts, restore, and sign in again.</t>
  </si>
  <si>
    <t>1. The new account authenticates and receives Operator permissions only.
2. Edits and the password change take effect, and the password change ends the target user's active sessions.
3. The deactivated account is refused with the generic sign-in failure.
4. The restored account authenticates again and its earlier audit history is still attributed to it.
5. Every account action is recorded in the audit trail.</t>
  </si>
  <si>
    <t>https://docs.google.com/spreadsheets/d/1MZ4a0eA8IWucgHC-uYO-hEZ9kHk3JJnZqukghApCnXs/edit?gid=0#gid=0&amp;range=A3:J3</t>
  </si>
  <si>
    <t>All five acceptance conditions observed. The new account (user_id 9) authenticated and carried role Operator only: /api/users/me returned Operator, while GET /api/users/, /api/audit-logs/ and /api/system/backups were each refused 403. Edits took effect (first_name updated, 200) and the Administrator password reset returned 204. Session invalidation was verified cleanly on a fresh login: the target's session returned 200 immediately before the reset and 401 immediately after, and the old password was then refused 401 while the new one authenticated 200. The deactivated account was refused with the generic sign-in failure, 401 'Incorrect username or password.' with code AUTH_INVALID_CREDENTIALS, byte-identical to a wrong-password response, so a deactivated account cannot be enumerated. The deactivated directory filter returned the account, restoration set is_active true, and it authenticated again on the same user_id 9, so its earlier audit history stays attributed to it. Every account action was audited: USER_CREATE (67), USER_UPDATE (69, 70, 73), USER_DISABLE (71), USER_ENABLE (74) and USER_PASSWORD_RESET (76, 80), all by rmanalo with result success.</t>
  </si>
  <si>
    <t>https://docs.google.com/spreadsheets/d/127sqg1pWCKvnr1KYa2ctscpMyJDphAcq6-xflAvkjJ0/edit?gid=0#gid=0&amp;range=A3:J3</t>
  </si>
  <si>
    <t>TC-UNIT-003</t>
  </si>
  <si>
    <t>FR-02 Role-Based Access Control (RBAC)</t>
  </si>
  <si>
    <t>Role-aware navigation omits Administrator destinations for an Operator identity.</t>
  </si>
  <si>
    <t>1. Run the automated unit selectors:
pnpm --filter frontend test:run src/components/layouts/Sidebar.tracker.test.tsx
pnpm --filter frontend test:run src/components/layouts/Sidebar.test.tsx</t>
  </si>
  <si>
    <t>1. With the Operator identity, User Management, AI Performance, Audit Log, and Maintenance are absent from the rendered output rather than merely hidden by style.
2. With the Administrator identity, all four destinations are present.</t>
  </si>
  <si>
    <t>Both acceptance conditions observed. With an Operator identity in state, Users, AI Performance, Audit Log and Maintenance were each absent from the rendered DOM, asserted with queryByText rather than a style check, while Dashboard still rendered so the result is not an empty-render false negative. With an Administrator identity all four destinations rendered. 14 frontend tests passed.</t>
  </si>
  <si>
    <t>https://docs.google.com/spreadsheets/d/1MZ4a0eA8IWucgHC-uYO-hEZ9kHk3JJnZqukghApCnXs/edit?gid=0#gid=0&amp;range=A4:J4</t>
  </si>
  <si>
    <t>TC-UNIT-004</t>
  </si>
  <si>
    <t>FR-03 User Account Management</t>
  </si>
  <si>
    <t>An Administrator creates an Operator account.</t>
  </si>
  <si>
    <t>1. Run the automated unit selector:
uv run pytest backend/tests/test_users.py::TestCreateUser::test_admin_creates_operator
2. Confirm the selected test passes and capture the run output.</t>
  </si>
  <si>
    <t>A valid Operator account is created with the requested role.</t>
  </si>
  <si>
    <t>Activity</t>
  </si>
  <si>
    <t>https://docs.google.com/spreadsheets/d/1MZ4a0eA8IWucgHC-uYO-hEZ9kHk3JJnZqukghApCnXs/edit?gid=0#gid=0&amp;range=A5:J5</t>
  </si>
  <si>
    <t>TC-UNIT-005</t>
  </si>
  <si>
    <t>The final Administrator account cannot be deleted.</t>
  </si>
  <si>
    <t>1. Run the automated unit selector:
uv run pytest backend/tests/test_users.py::TestDeleteUser::test_cannot_delete_last_admin
2. Confirm the selected test passes and capture the run output.</t>
  </si>
  <si>
    <t>The protected last-admin account remains available and the operation is rejected.</t>
  </si>
  <si>
    <t>https://docs.google.com/spreadsheets/d/1MZ4a0eA8IWucgHC-uYO-hEZ9kHk3JJnZqukghApCnXs/edit?gid=0#gid=0&amp;range=A6:J6</t>
  </si>
  <si>
    <t>1 selected test passed in 1.24s.</t>
  </si>
  <si>
    <t>Planned Cases / Executions</t>
  </si>
  <si>
    <t>Fail</t>
  </si>
  <si>
    <t>TC-UNIT-006</t>
  </si>
  <si>
    <t>Blocked</t>
  </si>
  <si>
    <t>https://docs.google.com/spreadsheets/d/1EQqHktDNbIqhYyCKQZHQ5_mb501YQG7j_nVoxZILCEs/edit?gid=0#gid=0&amp;range=A3:J3</t>
  </si>
  <si>
    <t>Retest</t>
  </si>
  <si>
    <t>Notes</t>
  </si>
  <si>
    <t>The password policy validator enforces the documented minimum length and digit rule.</t>
  </si>
  <si>
    <t>1. Run the automated unit selectors:
uv run pytest backend/tests/test_tc_unit_users.py::TestPasswordPolicy
uv run pytest backend/tests/test_auth.py::TestBoundaryValues::test_password_length_boundary
2. Confirm accept/reject per candidate and inspect the 422 response body.</t>
  </si>
  <si>
    <t>1. 'Passw0rd' is accepted.
2. 'short1' (under 8 characters), 'passwordonly' (no digit), and the empty string are each rejected with the corresponding field error.
3. No password value appears in the returned error text.</t>
  </si>
  <si>
    <t>No defect. final selected run passed.</t>
  </si>
  <si>
    <t>Pass. Passw0rd was accepted. short1, passwordonly, and empty input were rejected. Password values are omitted from password-field validation errors, so the submitted value is not echoed.</t>
  </si>
  <si>
    <t>https://docs.google.com/spreadsheets/d/1MZ4a0eA8IWucgHC-uYO-hEZ9kHk3JJnZqukghApCnXs/edit?gid=0#gid=0&amp;range=A7:J7</t>
  </si>
  <si>
    <t>TC-INT-003</t>
  </si>
  <si>
    <t>TC-UNIT-007</t>
  </si>
  <si>
    <t>FR-06 Alert Generation and Snapshot Capture</t>
  </si>
  <si>
    <t>Unit Testing</t>
  </si>
  <si>
    <t>TC-SYS-003</t>
  </si>
  <si>
    <t>Username uniqueness is evaluated without case sensitivity.</t>
  </si>
  <si>
    <t>A webhook-created incident reaches a connected operator through the real-time channel.</t>
  </si>
  <si>
    <t>1. Run the automated unit selector:
uv run pytest backend/tests/test_tc_unit_users.py::TestUsernameUniqueness
2. Seed operator1, then request Operator1, OPERATOR1, and operator2.</t>
  </si>
  <si>
    <t>FR-03 User Account Management / NFR-19 Session Security</t>
  </si>
  <si>
    <t>1. Run the automated integration selector:
pytest selector: backend/tests/test_websocket.py::test_internal_alert_broadcasts_to_websocket_client
2. Confirm the selected test passes and capture the run output.</t>
  </si>
  <si>
    <t>1. 'Operator1' and 'OPERATOR1' are reported as taken.
2. 'operator2' is reported as available.</t>
  </si>
  <si>
    <t>Connected client receives versioned NEW_DETECTION followed by CAMERA_STATUS_UPDATE with the correct data.</t>
  </si>
  <si>
    <t>An Operator updates their own profile and password through self-service.</t>
  </si>
  <si>
    <t>1. Sign in as an Operator and open the profile page.
2. Edit the first name through the Edit Personal Information dialog and save, watching the displayed identity.
3. Change the password over /api/users/me/password using the correct current password.
4. Attempt a second change with an incorrect current password.
5. Re-authenticate with the new password.</t>
  </si>
  <si>
    <t>Pass. The exact duplicate operator1 was rejected. Operator1 and OPERATOR1 were also rejected as taken. operator2 was accepted.</t>
  </si>
  <si>
    <t>1. Profile edits persist and the displayed identity updates without a reload.
2. The valid password change succeeds and the prior session is no longer usable.
3. The invalid attempt is refused with a field-level error and the stored password is unchanged.
4. The new password authenticates successfully.</t>
  </si>
  <si>
    <t>https://docs.google.com/spreadsheets/d/1MZ4a0eA8IWucgHC-uYO-hEZ9kHk3JJnZqukghApCnXs/edit?gid=0#gid=0&amp;range=A8:J8</t>
  </si>
  <si>
    <t>4 selected tests passed in 0.80s.</t>
  </si>
  <si>
    <t>TC-UNIT-008</t>
  </si>
  <si>
    <t>https://docs.google.com/spreadsheets/d/1EQqHktDNbIqhYyCKQZHQ5_mb501YQG7j_nVoxZILCEs/edit?gid=0#gid=0&amp;range=A4:J4</t>
  </si>
  <si>
    <t>A disabled camera is not started by the camera supervisor.</t>
  </si>
  <si>
    <t>1. Run the automated unit selector:
uv run pytest ai_engine/tests/test_supervisor.py::test_disabled_camera_is_not_started
2. Confirm the selected test passes and capture the run output.</t>
  </si>
  <si>
    <t>No stream is started for a disabled camera configuration.</t>
  </si>
  <si>
    <t>Pass, full AI-engine fast suite: 127 passed, 7 skipped.</t>
  </si>
  <si>
    <t>All four acceptance conditions observed. Profile edits persisted and the displayed identity updated in place without a page reload: saving the dialog changed the profile header, the First Name field and the sidebar account label together, and username and last name edits persisted through the API as well. The valid password change returned 204 and the prior session was no longer usable, returning 401 on the very next request. The invalid attempt was refused with a field-targeted error, 400 'Current password is incorrect.' with code PRECONDITION_FAILED, and the stored password was unchanged: the original password still authenticated 200 while the attempted replacement was refused 401. Note the response names the offending field in its message rather than returning a structured per-field errors array, which is null on this endpoint. The new password authenticated successfully, 200.</t>
  </si>
  <si>
    <t>https://docs.google.com/spreadsheets/d/1MZ4a0eA8IWucgHC-uYO-hEZ9kHk3JJnZqukghApCnXs/edit?gid=0#gid=0&amp;range=A9:J9</t>
  </si>
  <si>
    <t>https://docs.google.com/spreadsheets/d/127sqg1pWCKvnr1KYa2ctscpMyJDphAcq6-xflAvkjJ0/edit?gid=0#gid=0&amp;range=A4:J4</t>
  </si>
  <si>
    <t>TC-UNIT-009</t>
  </si>
  <si>
    <t>The camera reader keeps the newest frame until AI analysis consumes it.</t>
  </si>
  <si>
    <t>TC-INT-004</t>
  </si>
  <si>
    <t>1. Run the automated unit selector:
uv run pytest ai_engine/tests/test_camera.py::test_latest_frame_wins_before_a_consumer_takes_it
2. Confirm the selected test passes and capture the run output.</t>
  </si>
  <si>
    <t>TC-SYS-004</t>
  </si>
  <si>
    <t>The latest frame is returned without an unbounded queue or stale-frame replay.</t>
  </si>
  <si>
    <t>FR-04 Video Stream Ingestion / FR-05 Automated Collision Detection / FR-06 Alert Generation and Snapshot Capture / FR-09 Human-in-the-Loop (HITL) Verification Workflow / FR-11 True Positive Handling / FR-12 Incident Logging</t>
  </si>
  <si>
    <t>A live collision feed becomes a confirmed and then cleared incident in the operator browser.</t>
  </si>
  <si>
    <t>Frontend runtime accepts a server NEW_DETECTION WebSocket envelope.</t>
  </si>
  <si>
    <t>Entry gate: all seven configured streams ingesting, channel1 replaying the 2K dekwatro.mp4 collision clip on camera 1 (Ayala Highway Cam).
1. Sign in as Operator dsahagun and let the replayed collision reach the live engine.
2. Observe the alert modal, the alarm, and the annotated snapshot.
3. Select Confirm Accident and inspect the incident and camera state.
4. Open the incident from the Ongoing incidents tray and select Cleared.
5. Query detection_log, camera and audit_log for the full lifecycle.</t>
  </si>
  <si>
    <t>1. Exactly one incident is created with a snapshot and Unverified status.
2. Confirm records Ongoing with the verifying operator and time, and the camera stays paused.
3. Cleared records the closing operator and time, and the camera returns to Active.
4. The complete lifecycle is visible in the incident history and the audit trail.</t>
  </si>
  <si>
    <t>https://docs.google.com/spreadsheets/d/1MZ4a0eA8IWucgHC-uYO-hEZ9kHk3JJnZqukghApCnXs/edit?gid=0#gid=0&amp;range=A10:J10</t>
  </si>
  <si>
    <t>1. Run the automated integration selector:
Vitest selector: frontend/src/api/events.test.ts -t "accepts a NEW_DETECTION envelope emitted by the backend"
2. Confirm the selected test passes and capture the run output.</t>
  </si>
  <si>
    <t>The frontend envelope parser and incident validator accept the server alert message.</t>
  </si>
  <si>
    <t>TC-UNIT-010</t>
  </si>
  <si>
    <t>The RTSP address builder combines stored VMS credentials with the camera channel.</t>
  </si>
  <si>
    <t>1. Run the automated unit selector:
uv run pytest backend/tests/test_tc_unit_incidents.py::TestRtspAddressBuilder
2. Build the address for channel 12 against a realistic Dahua DSS template and inspect the redacted form.</t>
  </si>
  <si>
    <t>1. The address targets the configured VMS gateway, channel 12, and the 2K main stream parameter.
2. The credential portion is hidden in any logged or persisted representation.</t>
  </si>
  <si>
    <t>11 tests in 1 file passed in 1.44s.</t>
  </si>
  <si>
    <t>https://docs.google.com/spreadsheets/d/1EQqHktDNbIqhYyCKQZHQ5_mb501YQG7j_nVoxZILCEs/edit?gid=0#gid=0&amp;range=A5:J5</t>
  </si>
  <si>
    <t>Both acceptance conditions observed. Against the template rtsp://{dss_username}:{dss_password}@{dss_ip}:{dss_port}/cam/realmonitor?channel={channel_id}&amp;subtype=0 the builder produced an address carrying 10.0.5.50:554, channel=12 and subtype=0, with subtype=1 absent, so the main stream is selected and no substream is. redact_text reduced the credential portion to ://***:***@ with neither the username nor the password surviving, while channel=12 and subtype=0 remained so the record stays diagnosable. Note: 2K is the encoder configuration on the main stream rather than a token in the URL, so what the address proves is main stream selection. 2 passed.</t>
  </si>
  <si>
    <t>https://docs.google.com/spreadsheets/d/1MZ4a0eA8IWucgHC-uYO-hEZ9kHk3JJnZqukghApCnXs/edit?gid=0#gid=0&amp;range=A11:J11</t>
  </si>
  <si>
    <t>All four acceptance conditions observed on a genuine live detection. Exactly one incident was created, log_id 19, Unverified, confidence 0.847, with a real annotated snapshot: the blocking modal rendered the 2560x1440 night frame with the red bounding box drawn around the collision, alongside camera name Ayala Highway Cam, the detection timestamp and the AI confidence of 84.7%. Confirm recorded Ongoing with verified_by_id 2 (dsahagun) and verified_at 09:51:23.933178, and the camera stayed Paused with desired_state_reason incident. Cleared recorded closed_by_id 2 and closed_at 09:52:41.992576, and the camera returned to desired_ai_state Active with ai_status Active, reason cleared to None and no cooldown. The complete lifecycle is present in the audit trail as four rows scoped to incident 19: ALERT_SNOOZE (audit_id 61), ALERT_SNOOZE (62), ALERT_CONFIRM (63) and ALERT_CLEAR (64), all attributed to dsahagun.</t>
  </si>
  <si>
    <t>https://docs.google.com/spreadsheets/d/127sqg1pWCKvnr1KYa2ctscpMyJDphAcq6-xflAvkjJ0/edit?gid=0#gid=0&amp;range=A5:J5</t>
  </si>
  <si>
    <t>Test-only contract coverage added. Mutation check failed when either event type was removed. production code restored and final file run passed.</t>
  </si>
  <si>
    <t>TC-INT-005</t>
  </si>
  <si>
    <t>TC-UNIT-011</t>
  </si>
  <si>
    <t>FR-05 Automated Collision Detection</t>
  </si>
  <si>
    <t>Detector output excludes non-accident classes.</t>
  </si>
  <si>
    <t>TC-SYS-005</t>
  </si>
  <si>
    <t>A snapshot written by the AI engine is retrievable through the authenticated server route.</t>
  </si>
  <si>
    <t>1. Run the automated unit selector:
uv run pytest ai_engine/tests/test_detector.py::test_predict_batch_keeps_only_the_accident_class
2. Confirm the selected test passes and capture the run output.</t>
  </si>
  <si>
    <t>FR-06 Alert Generation and Snapshot Capture / FR-09 Human-in-the-Loop (HITL) Verification Workflow / FR-10 False Positive Handling / FR-12 Incident Logging</t>
  </si>
  <si>
    <t>Only accident-class detections are passed to subsequent collision logic.</t>
  </si>
  <si>
    <t>1. Let the engine detect on the live 2K stream and persist its annotated snapshot.
2. Read snapshot_key from the created incident (log_id 20).
3. GET /api/alerts/20/snapshot as an authenticated Operator, then again with no session.
4. Inspect the alert detail response for any filesystem path.</t>
  </si>
  <si>
    <t>A controlled false-positive alert is dismissed and the affected camera completes its cooldown before monitoring resumes.</t>
  </si>
  <si>
    <t>1. The authenticated request returns the JPEG image with the bounding box drawn.
2. The unauthenticated request is rejected and no image bytes are returned.
3. The stored key never appears as a filesystem path in the API response.</t>
  </si>
  <si>
    <t>Entry gate: all configured streams ingesting, camera 1 replaying the detectable collision clip.
1. Sign in as Operator and wait for a live alert (log_id 20).
2. Observe the alert and its snapshot, then select Dismiss Accident.
3. Inspect the incident record and the camera cooldown state.
4. Observe other cameras throughout, and wait out the cooldown.</t>
  </si>
  <si>
    <t>https://docs.google.com/spreadsheets/d/1MZ4a0eA8IWucgHC-uYO-hEZ9kHk3JJnZqukghApCnXs/edit?gid=0#gid=0&amp;range=A12:J12</t>
  </si>
  <si>
    <t>1. The alert leaves the active queue immediately on Dismiss.
2. The incident record reads Dismissed and names the acting user.
3. Only the affected camera pauses, for 60 seconds, and other cameras keep detecting.
4. The camera resumes Active detection after the cooldown with no duplicate alert for the same stimulus.</t>
  </si>
  <si>
    <t>TC-UNIT-012</t>
  </si>
  <si>
    <t>All three acceptance conditions observed. The authenticated request returned 200 image/jpeg, 1,040,842 bytes, magic ffd8ff, decoding to (1440, 2560, 3), and the image visibly carries the red bounding box drawn around the collision. The unauthenticated request was rejected 401 AUTH_REQUIRED returning 68 bytes of JSON and no image bytes. The stored key 2026/09/14/camera_1/a75b8e65-... never appears in the API response: the detail body exposes only snapshot_url /api/alerts/20/snapshot, with no .jpg reference, no drive-letter or absolute path, and no snapshots directory name. Setup note: an earlier attempt returned 404 because AI_SNAPSHOT_ROOT and the backend SNAPSHOT_ROOT had been pointed at different directories in the harness. That is the mismatch ai_engine/config.py:29 warns about, not a product fault. Re-run with the roots aligned.</t>
  </si>
  <si>
    <t>All four acceptance conditions observed on a live detection. The alert left the active queue immediately on Dismiss and the blocking modal closed. The incident record reads Dismissed and names the acting user: verified_by_id 2 (dsahagun) with verified_at 09:54:14.771488. Note on the schema, checked against app/services/incidents.py: any transition out of Unverified records the actor in verified_by_id rather than closed_by_id, so closed_by_id is null on this false-positive path by design. The actor is additionally in the audit trail as audit_id 65 ALERT_DISMISS, dsahagun, Operator, success. Only the affected camera paused, with desired_state_reason cooldown and a cooldown_until exactly 60.0 seconds after the dismissal instant, while cameras 2 and 5 remained ai_status Active throughout. After expiry camera 1 returned to desired_ai_state Active with reason None and cooldown_until cleared, and no duplicate incident was created for the same stimulus during or immediately after the cooldown.</t>
  </si>
  <si>
    <t>https://docs.google.com/spreadsheets/d/1EQqHktDNbIqhYyCKQZHQ5_mb501YQG7j_nVoxZILCEs/edit?gid=0#gid=0&amp;range=A6:J6</t>
  </si>
  <si>
    <t>Sustained collision evidence emits an event after the required temporal window.</t>
  </si>
  <si>
    <t>1. Run the automated unit selector:
uv run pytest ai_engine/tests/test_accumulate.py::test_steady_detection_fires_after_roughly_two_seconds
2. Confirm the selected test passes and capture the run output.</t>
  </si>
  <si>
    <t>A stable detection fires only after approximately two seconds of accumulated evidence.</t>
  </si>
  <si>
    <t>TC-INT-006</t>
  </si>
  <si>
    <t>https://docs.google.com/spreadsheets/d/127sqg1pWCKvnr1KYa2ctscpMyJDphAcq6-xflAvkjJ0/edit?gid=0#gid=0&amp;range=A6:J6</t>
  </si>
  <si>
    <t>https://docs.google.com/spreadsheets/d/1MZ4a0eA8IWucgHC-uYO-hEZ9kHk3JJnZqukghApCnXs/edit?gid=0#gid=0&amp;range=A13:J13</t>
  </si>
  <si>
    <t>FR-10 False Positive Handling</t>
  </si>
  <si>
    <t>A dismissal propagates a cooldown that the AI engine honours before resuming detection.</t>
  </si>
  <si>
    <t>Technical activity</t>
  </si>
  <si>
    <t>TC-SYS-006</t>
  </si>
  <si>
    <t>TC-UNIT-013</t>
  </si>
  <si>
    <t>Integration Testing</t>
  </si>
  <si>
    <t>FR-07 Audible Alert Timeout and Escalation / FR-09 Human-in-the-Loop (HITL) Verification Workflow</t>
  </si>
  <si>
    <t>1. Dismiss the open incident on camera 1 through the API and read cooldown_until.
2. Keep the engine running and the detectable 2K stream replaying throughout the cooldown window.
3. Poll the camera every 15 seconds across the window and past expiry.
4. Query detection_log for incidents created during and after the window.</t>
  </si>
  <si>
    <t>Intermittent noise does not create a collision alert.</t>
  </si>
  <si>
    <t>The snooze window expires and re-alarms before the operator reaches a decision.</t>
  </si>
  <si>
    <t>1. Run the automated unit selector:
uv run pytest ai_engine/tests/test_accumulate.py::test_intermittent_noise_never_accumulates
2. Confirm the selected test passes and capture the run output.</t>
  </si>
  <si>
    <t>1. The status check-in returns Paused with the cooldown reason and the cooldown_until timestamp.
2. No new incident is created for camera A while the cooldown is unexpired.
3. After expiry the engine returns to Active and the replayed content produces a new incident.</t>
  </si>
  <si>
    <t>Insufficient intermittent evidence produces no event.</t>
  </si>
  <si>
    <t>1. Set the operator's snooze duration to its minimum of 15 seconds.
2. On a live alert (log_id 19), select Snooze alarm and read snoozed_at and snoozed_until.
3. Instrument HTMLMediaElement.play() in the page, take no further action, and wait for the window to elapse.
4. Snooze a second time and confirm a fresh countdown.
5. Select Confirm Accident and observe whether further re-alarms occur.</t>
  </si>
  <si>
    <t>1. Snooze mutes the alarm for that alert only and starts the countdown.
2. The alarm re-triggers for that alert when the window expires and the incident is still Unverified.
3. A second snooze starts a fresh countdown.
4. Confirming inside the window suppresses further re-alarms and records the snoozing user and time on the incident.</t>
  </si>
  <si>
    <t>https://docs.google.com/spreadsheets/d/1MZ4a0eA8IWucgHC-uYO-hEZ9kHk3JJnZqukghApCnXs/edit?gid=0#gid=0&amp;range=A14:J14</t>
  </si>
  <si>
    <t>All three acceptance conditions observed. On dismissal the camera reported desired_ai_state Paused with desired_state_reason cooldown and cooldown_until 2026-09-14T08:38:36.810754Z. Across the cooldown window the engine acknowledged the pause (ai_status Paused at t+30s and t+45s) and created no new incident for camera 1, confirmed by a direct query returning zero rows between the dismissal and expiry. After expiry the camera resumed and the replayed content produced a new incident, log_id 20, detected_at 08:38:38.358769, which is 1.5 seconds after cooldown_until. Exactly one new incident resulted.</t>
  </si>
  <si>
    <t>All four acceptance conditions observed. Snooze muted the alarm for that alert alone and started the countdown: snoozed_at 09:47:07.563581 with snoozed_until 09:47:22.563581, a window of exactly 15.0 seconds, recorded against snoozed_by_id 2, with the incident remaining Unverified. The alarm re-triggered on expiry with the incident still Unverified: an instrumented play() call fired at 09:47:22.579Z, within 16 ms of the recorded expiry. A second snooze started a fresh countdown, snoozed_at moving to 09:48:42.053260 with snoozed_until 09:48:57.053260, again exactly 15.0 seconds, and the alarm re-triggered again at 09:48:57.066Z, within 13 ms. Confirming suppressed further re-alarms: no play() call was recorded in the 30 seconds after the confirm at 09:51:23, and the snoozing user and times are preserved in the audit trail as audit_id 61 and 62 ALERT_SNOOZE by dsahagun, each carrying its snoozed_until. Note that the incident row's own snooze fields are cleared on transition out of Unverified, so the durable record of who snoozed and when is the audit trail. See DEF-006 for the alarm sound and volume used on these re-alarms, which does not affect this case's acceptance conditions.</t>
  </si>
  <si>
    <t>https://docs.google.com/spreadsheets/d/1EQqHktDNbIqhYyCKQZHQ5_mb501YQG7j_nVoxZILCEs/edit?gid=0#gid=0&amp;range=A7:J7</t>
  </si>
  <si>
    <t>TC-UNIT-014</t>
  </si>
  <si>
    <t>https://docs.google.com/spreadsheets/d/127sqg1pWCKvnr1KYa2ctscpMyJDphAcq6-xflAvkjJ0/edit?gid=0#gid=0&amp;range=A7:J7</t>
  </si>
  <si>
    <t>Frame preprocessing converts input to grayscale and replicates it to three channels.</t>
  </si>
  <si>
    <t>1. Run the automated unit selectors:
uv run pytest ai_engine/tests/test_detector.py::test_to_gray_returns_three_channels
uv run pytest ai_engine/tests/test_detector.py::test_to_gray_actually_removes_colour</t>
  </si>
  <si>
    <t>1. The output retains three channels as required by the model input contract.
2. All three channels are identical, confirming grayscale replication rather than colour passthrough.</t>
  </si>
  <si>
    <t>DEF-006</t>
  </si>
  <si>
    <t>TC-SYS-007</t>
  </si>
  <si>
    <t>TC-INT-007</t>
  </si>
  <si>
    <t>FR-08 Alarm Configuration Module / NFR-11 Alert Distinctiveness</t>
  </si>
  <si>
    <t>FR-11 True Positive Handling</t>
  </si>
  <si>
    <t>Both acceptance conditions observed. to_gray() on a (32,32,3) BGR frame returns shape (32,32,3). On a pure-red frame all three output channels are equal, confirming grayscale replication rather than colour passthrough. 2 passed.</t>
  </si>
  <si>
    <t>AI self-reporting Active cannot clear the server's HITL incident pause.</t>
  </si>
  <si>
    <t>Alarm personalisation persists across sessions and governs the next alert.</t>
  </si>
  <si>
    <t>https://docs.google.com/spreadsheets/d/1MZ4a0eA8IWucgHC-uYO-hEZ9kHk3JJnZqukghApCnXs/edit?gid=0#gid=0&amp;range=A15:J15</t>
  </si>
  <si>
    <t>1. Run the automated integration selector:
pytest selector: backend/tests/test_internal.py::TestHeartbeat::test_self_reported_active_does_not_override_the_hitl_pause
2. Confirm the selected test passes and capture the run output.</t>
  </si>
  <si>
    <t>1. Sign in as Operator and open Profile, Alarm Settings.
2. Select a different alarm sound (Buzzer), adjust the volume, and set the snooze duration inside the 15 to 60 second range.
3. Observe the save status indicator without pressing a separate save control.
4. Re-authenticate in a fresh session and confirm the settings are restored.
5. Let a live alert arrive and instrument HTMLMediaElement.play() to capture the sound file and volume actually used.</t>
  </si>
  <si>
    <t>1. The preview plays the selected sound at the configured volume.
2. Settings persist automatically and the status indicator reports the saved state.
3. The same settings are restored after re-authentication.
4. The next alert uses the selected sound, volume, and snooze duration.</t>
  </si>
  <si>
    <t>Observed AI state is recorded, but the returned desired state remains Paused while the incident is open.</t>
  </si>
  <si>
    <t>TC-UNIT-015</t>
  </si>
  <si>
    <t>Retest passed. Four focused frontend test files passed all 32 tests. Live browser verification persisted the selected sound and volume across a fresh session; the next alert invoked digital_alarm.mp3 at volume 0.35 with loop=true. Cleanup restored the default settings.</t>
  </si>
  <si>
    <t>var/test-evidence/retest-sys007-20260916.json</t>
  </si>
  <si>
    <t>The temporal accumulator links detections that overlap at the configured IoU threshold.</t>
  </si>
  <si>
    <t>Prior DEF-006 behavior was not reproduced; the required persistence and live playback behavior was observed in this retest.</t>
  </si>
  <si>
    <t>4 selected tests passed in 1.03s.</t>
  </si>
  <si>
    <t>1. Run the automated unit selector:
uv run pytest ai_engine/tests/test_tc_unit_accumulator.py::TestIouLinkThreshold
2. Feed boxes overlapping above and below the configured IoU link threshold.</t>
  </si>
  <si>
    <t>TC-SYS-008</t>
  </si>
  <si>
    <t>1. The overlapping pair is linked into a single accumulating candidate.
2. The non-overlapping pair produces two separate candidates and neither inherits the other's evidence.</t>
  </si>
  <si>
    <t>FR-09 Human-in-the-Loop (HITL) Verification Workflow / Objective 2 Real-time alert dashboard</t>
  </si>
  <si>
    <t>https://docs.google.com/spreadsheets/d/1EQqHktDNbIqhYyCKQZHQ5_mb501YQG7j_nVoxZILCEs/edit?gid=0#gid=0&amp;range=A8:J8</t>
  </si>
  <si>
    <t>System E2E Testing</t>
  </si>
  <si>
    <t>Two concurrent operator dashboards converge on a single incident decision.</t>
  </si>
  <si>
    <t>1. Sign in as Operator tcselfserve in the browser as workstation A.
2. Sign in as a different Operator (ealonzo) from an independent session and open the same /ws/alerts channel the dashboard uses, with the session cookie attached on the handshake, as workstation B.
3. Let a live collision alert arrive while both are connected.
4. Confirm the alert on workstation A and observe workstation B without refreshing it.
5. Attempt a second, conflicting verification from workstation B.</t>
  </si>
  <si>
    <t>Accumulator().iou_link == 0.30 as configured. Boxes at IoU &gt;= 0.30 linked into a single candidate (1 region). Boxes at IoU 0.005 produced 2 independent regions. The new region held 0.02 conf-seconds (one frame at conf 0.6) against the established region 0.60, confirming no evidence was inherited. 3 passed.</t>
  </si>
  <si>
    <t>1. Both workstations receive the alert and alarm.
2. After the decision on A, workstation B removes the alert from its active queue and shows the incident as Ongoing.
3. Exactly one incident record exists, attributed to the operator who acted.
4. Workstation B cannot record a second conflicting verification.</t>
  </si>
  <si>
    <t>https://docs.google.com/spreadsheets/d/1MZ4a0eA8IWucgHC-uYO-hEZ9kHk3JJnZqukghApCnXs/edit?gid=0#gid=0&amp;range=A16:J16</t>
  </si>
  <si>
    <t>TC-UNIT-016</t>
  </si>
  <si>
    <t>All four acceptance conditions observed with two genuinely independent operator sessions. Both workstations received the alert. Workstation B connected at 10:20:06.512Z, before the detection, and received NEW_DETECTION for log_id 23 at 10:21:09.921Z carrying status Unverified, camera 1 and confidence 0.841, while workstation A raised the same alert as its blocking modal. This was a live broadcast, not a reconnect replay. After the decision on A, workstation B saw the incident become Ongoing without any refresh: it received ALERT_STATUS_UPDATE for log_id 23 with status Ongoing at 10:21:25.585Z, 24 milliseconds after A's confirm was committed at 10:21:25.561576. Exactly one incident record exists for that detection, log_id 23, attributed to verified_by_id 9 (tcselfserve), the operator who acted, and not to B. Workstation B could not record a conflicting verification: its confirm was refused 409 CONFLICT_STATE with 'This incident was already handled by another operator.' and a body naming current_status Ongoing and handled_action ALERT_CONFIRM. Workstation B captured 249 frames in total across the window, comprising CONNECTION_READY, NEW_DETECTION, ALERT_STATUS_UPDATE and 246 CAMERA_STATUS_UPDATE frames.</t>
  </si>
  <si>
    <t>https://docs.google.com/spreadsheets/d/127sqg1pWCKvnr1KYa2ctscpMyJDphAcq6-xflAvkjJ0/edit?gid=0#gid=0&amp;range=A9:J9</t>
  </si>
  <si>
    <t>Unmatched accumulator evidence decays at the configured rate.</t>
  </si>
  <si>
    <t>TC-INT-008</t>
  </si>
  <si>
    <t>1. Run the automated unit selector:
uv run pytest ai_engine/tests/test_tc_unit_accumulator.py::TestEvidenceDecay</t>
  </si>
  <si>
    <t>Evidence is reduced by 0.30 multiplied by the elapsed time, and a candidate whose evidence reaches zero is discarded rather than firing.</t>
  </si>
  <si>
    <t>Clearing an incident resumes the camera and notifies operators of both state changes.</t>
  </si>
  <si>
    <t>TC-SYS-009</t>
  </si>
  <si>
    <t>FR-09 Human-in-the-Loop (HITL) Verification Workflow / NFR-10 Workflow Efficiency</t>
  </si>
  <si>
    <t>1. Run the automated integration selector:
pytest selector: backend/tests/test_websocket.py::test_clear_alert_broadcasts_camera_status_update_over_websocket
2. Confirm the selected test passes and capture the run output.</t>
  </si>
  <si>
    <t>The alert decision path is reachable without intermediate navigation.</t>
  </si>
  <si>
    <t>Accumulator().decay == 0.3. A region at 0.90 conf-seconds with one second and no matching detection fell to 0.60, exactly 0.30 x elapsed time. A region at 0.30 decayed to 0.0 over one second, emitted no event, and was removed from regions. 3 passed.</t>
  </si>
  <si>
    <t>Client receives CAMERA_STATUS_UPDATE then ALERT_STATUS_UPDATE showing the Cleared incident.</t>
  </si>
  <si>
    <t>1. Let a live alert be presented on the deployed build.
2. Read the alert dialog's full control inventory from the accessibility tree and count the interactions needed to reach each recorded decision.
3. Exercise Snooze, then reach a Confirm decision, counting actions.
4. Record what information is visible without leaving the alert.</t>
  </si>
  <si>
    <t>https://docs.google.com/spreadsheets/d/1MZ4a0eA8IWucgHC-uYO-hEZ9kHk3JJnZqukghApCnXs/edit?gid=0#gid=0&amp;range=A17:J17</t>
  </si>
  <si>
    <t>1. Confirm and Dismiss are each reachable from the presented alert in a single action, with no intermediate navigation.
2. Snooze adds exactly one action and does not reset or lengthen the decision path.
3. The snapshot, camera, timestamp, and confidence score are visible without leaving the alert.
4. The observed interaction counts are recorded for comparison with the NFR-09 timing result.</t>
  </si>
  <si>
    <t>Pass, P28 targeted rerun: 1 selected test passed.</t>
  </si>
  <si>
    <t>TC-UNIT-017</t>
  </si>
  <si>
    <t>All four acceptance conditions observed. The presented alert is an alertdialog whose entire control inventory is Zoom snapshot, Snooze alarm, Dismiss Accident and Confirm Accident, so Confirm and Dismiss are each reachable in a single action from the alert with no intermediate navigation. A single click on Dismiss Accident removed the alert and advanced the queue from 'Alert 1 of 3' to 'Alert 1 of 2', and a single click on Confirm Accident moved log_id 19 to Ongoing. Snooze adds exactly one action and does not lengthen the decision path: it is one click in the same dialog, and after snoozing, Confirm and Dismiss remained directly available in that same dialog, with the subsequent Confirm still a single click. The snapshot with its bounding box, the camera name, the detection timestamp and the AI confidence score were all visible inside the alert without leaving it. Interaction counts recorded for comparison with the NFR-09 timing result: Confirm 1 action, Dismiss 1 action, Snooze then decide 2 actions. Also observed: the alert dialog is genuinely modal. Clicks on Log Out and on sidebar destinations were not actioned while an alert was pending, which is the intended human-in-the-loop blocking behaviour.</t>
  </si>
  <si>
    <t>https://docs.google.com/spreadsheets/d/1EQqHktDNbIqhYyCKQZHQ5_mb501YQG7j_nVoxZILCEs/edit?gid=0#gid=0&amp;range=A9:J9</t>
  </si>
  <si>
    <t>https://docs.google.com/spreadsheets/d/127sqg1pWCKvnr1KYa2ctscpMyJDphAcq6-xflAvkjJ0/edit?gid=0#gid=0&amp;range=A10:J10</t>
  </si>
  <si>
    <t>The detector confidence floor admits weak detections into temporal accumulation.</t>
  </si>
  <si>
    <t>AI Model Validation</t>
  </si>
  <si>
    <t>1. Run the automated unit selector:
uv run pytest ai_engine/tests/test_tc_unit_accumulator.py::TestDetectorConfidenceFloor</t>
  </si>
  <si>
    <t>1. Detections at 0.15 and 0.40 reach accumulation.
2. The 0.10 detection is discarded.
3. No detection alerts on its own without meeting the evidence threshold.</t>
  </si>
  <si>
    <t>TC-SYS-010</t>
  </si>
  <si>
    <t>FR-11 True Positive Handling / FR-12 Incident Logging</t>
  </si>
  <si>
    <t>An operator corrects a mistaken confirmation through terminal dismissal.</t>
  </si>
  <si>
    <t>TC-INT-009</t>
  </si>
  <si>
    <t>DETECTOR_CONF == 0.15 and is the conf value AccidentDetector.predict_batch hands the model, so 0.10 is discarded upstream and never emitted. Detections at 0.15 and 0.40 each reached accumulation with score == conf x dt. A single detection at conf 0.99 emitted no event, staying below the 1.0 conf-second evidence threshold. 4 passed.</t>
  </si>
  <si>
    <t>FR-12 Incident Logging</t>
  </si>
  <si>
    <t>1. Confirm a live alert so the incident becomes Ongoing (log_id 21).
2. Open the ongoing incident from the Ongoing incidents tray.
3. Select Dismiss Accident to correct the earlier decision.
4. Inspect the incident record, the camera state and the audit trail.</t>
  </si>
  <si>
    <t>https://docs.google.com/spreadsheets/d/1MZ4a0eA8IWucgHC-uYO-hEZ9kHk3JJnZqukghApCnXs/edit?gid=0#gid=0&amp;range=A18:J18</t>
  </si>
  <si>
    <t>A retry of one AI source event preserves a single incident row.</t>
  </si>
  <si>
    <t>1. The incident moves from Ongoing to Dismissed and stops appearing as active.
2. Both the original verification and the correcting closure are recorded with their users and times.
3. AI detection resumes on the affected camera.
4. Both actions are present in the audit trail.</t>
  </si>
  <si>
    <t>1. Run the automated integration selector:
pytest selector: backend/tests/test_internal.py::TestReceiveAiAlertV2::test_v2_idempotent_retry_returns_200_same_row
2. Confirm the selected test passes and capture the run output.</t>
  </si>
  <si>
    <t>First webhook call returns 201. retry returns 200 with the same log ID and no duplicate row.</t>
  </si>
  <si>
    <t>TC-UNIT-018</t>
  </si>
  <si>
    <t>All four acceptance conditions observed. The incident moved from Ongoing to Dismissed and left the active set. Both decisions are recorded with their users and times: verified_by_id 9 with verified_at 10:16:49.449305 from the original confirmation, and closed_by_id 9 with closed_at 10:17:18.296552 from the correcting closure. AI detection resumed on the affected camera, and the proof is direct rather than inferred: cooldown_until stayed null, consistent with the documented rule that an operator correction resumes immediately rather than entering the 60 second false-positive cooldown, and a fresh detection on that same camera was created at 10:17:20.718594, two seconds after the correction, which is only possible if analysis had resumed. Both actions appear in the audit trail with distinct action names: ALERT_CONFIRM (audit_id 88) and ALERT_CORRECTION (89), both by tcselfserve with result success, so a correction is distinguishable from an ordinary dismissal in the trail.</t>
  </si>
  <si>
    <t>https://docs.google.com/spreadsheets/d/127sqg1pWCKvnr1KYa2ctscpMyJDphAcq6-xflAvkjJ0/edit?gid=0#gid=0&amp;range=A11:J11</t>
  </si>
  <si>
    <t>A collision event creates a viewable snapshot.</t>
  </si>
  <si>
    <t>1. Run the automated unit selector:
uv run pytest ai_engine/tests/test_accident.py::test_snapshot_is_a_loadable_jpeg
2. Confirm the selected test passes and capture the run output.</t>
  </si>
  <si>
    <t>The saved snapshot is a loadable JPEG image.</t>
  </si>
  <si>
    <t>TC-SYS-011</t>
  </si>
  <si>
    <t>FR-12 Incident Logging / FR-13 Historical Logs Search and Filtering / FR-18 Report Generation and Data Export / FR-20 Activity Audit Trail</t>
  </si>
  <si>
    <t>https://docs.google.com/spreadsheets/d/1EQqHktDNbIqhYyCKQZHQ5_mb501YQG7j_nVoxZILCEs/edit?gid=0#gid=0&amp;range=A10:J10</t>
  </si>
  <si>
    <t>An operator filters completed incident history and exports one normal-sized report from the deployed browser.</t>
  </si>
  <si>
    <t>https://docs.google.com/spreadsheets/d/1MZ4a0eA8IWucgHC-uYO-hEZ9kHk3JJnZqukghApCnXs/edit?gid=0#gid=0&amp;range=A19:J19</t>
  </si>
  <si>
    <t>1. Sign in and open Detections, Logs tab.
2. Apply a combined date, camera and handler filter (camera_id 1, user_id 2, 2026-09-01 to 2026-09-30 Asia/Manila).
3. Compare the returned records against a direct sqlite3 query.
4. Export the same filtered scope as CSV and compare its rows.
5. Inspect the export audit entry. Timing deliberately not recorded.</t>
  </si>
  <si>
    <t>1. Filtered history shows only records matching every applied filter.
2. The export opens cleanly and its rows match the displayed filter scope exactly.
3. The export action is recorded in the audit trail with the applied filters.
4. Performance timing for exports is reported separately under Performance and Load Testing.</t>
  </si>
  <si>
    <t>TC-UNIT-019</t>
  </si>
  <si>
    <t>All four acceptance conditions observed. The combined filter returned exactly 2 records, log_id 1 and 2, both on camera 1 and both handled by user 2 inside the date range, matching the independent SQL result [2, 1] exactly. The CSV export opened cleanly and contained exactly those same two rows with their full lifecycle fields (Dismissed 97.0% and Cleared 93.0%, both Ayala Highway Cam, handler Daniel Luis Sahagun). The export was recorded as audit_id 53 REPORT_EXPORT carrying the applied filters start_date, end_date, camera_id [1], user_id [2] and row_count 2. No timing was recorded in this case, as instructed.</t>
  </si>
  <si>
    <t>https://docs.google.com/spreadsheets/d/127sqg1pWCKvnr1KYa2ctscpMyJDphAcq6-xflAvkjJ0/edit?gid=0#gid=0&amp;range=A12:J12</t>
  </si>
  <si>
    <t>A valid AI event creates a detection log with its source event ID.</t>
  </si>
  <si>
    <t>1. Run the automated unit selector:
uv run pytest backend/tests/test_internal.py::TestReceiveAiAlertV2::test_v2_creates_with_201_and_given_source_event_id
2. Confirm the selected test passes and capture the run output.</t>
  </si>
  <si>
    <t>TC-INT-010</t>
  </si>
  <si>
    <t>The internal endpoint returns 201 and persists the supplied source event ID.</t>
  </si>
  <si>
    <t>TC-SYS-012</t>
  </si>
  <si>
    <t>FR-14 Camera Configuration Management</t>
  </si>
  <si>
    <t>FR-12 Incident Logging / FR-13 Historical Logs Search and Filtering</t>
  </si>
  <si>
    <t>Performance &amp; Load Testing</t>
  </si>
  <si>
    <t>A changed status check-in status is sent out to every connected operator.</t>
  </si>
  <si>
    <t>An operator reviews the full lifecycle of a historical incident.</t>
  </si>
  <si>
    <t>https://docs.google.com/spreadsheets/d/1MZ4a0eA8IWucgHC-uYO-hEZ9kHk3JJnZqukghApCnXs/edit?gid=0#gid=0&amp;range=A20:J20</t>
  </si>
  <si>
    <t>1. Open Detections and locate a terminal incident in the log.
2. Search by accident number exactly as displayed, then open the record with its view action.
3. Inspect the snapshot, telemetry and lifecycle fields in the detail modal.
4. Read the modal's full control inventory to check for any edit control.</t>
  </si>
  <si>
    <t>1. Run the automated integration selector:
pytest selector: backend/tests/test_websocket.py::test_heartbeat_status_change_broadcasts_to_all_connected_websocket_clients
2. Confirm the selected test passes and capture the run output.</t>
  </si>
  <si>
    <t>1. The modal shows the snapshot with its bounding box, the detection time, camera, and confidence score.
2. Snooze, verification, and closure actions are shown with the responsible personnel and exact times.
3. The record is read-only and offers no edit control for a terminal incident.</t>
  </si>
  <si>
    <t>Each connected client receives the same versioned CAMERA_STATUS_UPDATE message.</t>
  </si>
  <si>
    <t>TC-UNIT-020</t>
  </si>
  <si>
    <t>Accumulator box smoothing applies the configured exponential moving average.</t>
  </si>
  <si>
    <t>All three acceptance conditions observed. The detail modal for ACC-000021, badged DISMISSED, showed the real annotated snapshot with its red bounding box drawn on the 2K frame, the detection time 09/14/2026 17:55:24, the camera name Ayala Highway Cam and the AI confidence score 74.3%. The verification and closure actions were shown with the responsible personnel and exact times: Verified By Selfie Served at 18:16:49 and Closed By Selfie Served at 18:17:18. This particular incident carried no snooze, so no snooze row was applicable; snooze capture is evidenced separately under TC-SYS-006. The record is read-only for a terminal incident: the dialog's entire interactive inventory is 'Close incident details' and 'Zoom in on Accident snapshot', with no Confirm, Dismiss, Clear or edit control present, in contrast to the same modal opened on an Ongoing incident which does offer Dismiss Accident. Defect found while performing step 2, which does not affect these acceptance conditions: searching the accident number in the exact form the interface displays it returns no results. See DEF-007.</t>
  </si>
  <si>
    <t>1. Run the automated unit selector:
uv run pytest ai_engine/tests/test_tc_unit_accumulator.py::TestBoxSmoothing</t>
  </si>
  <si>
    <t>https://docs.google.com/spreadsheets/d/127sqg1pWCKvnr1KYa2ctscpMyJDphAcq6-xflAvkjJ0/edit?gid=0#gid=0&amp;range=A13:J13</t>
  </si>
  <si>
    <t>The smoothed box is the midpoint implied by an EMA factor of 0.50, not the raw latest box, confirming jitter suppression.</t>
  </si>
  <si>
    <t>DEF-007</t>
  </si>
  <si>
    <t>https://docs.google.com/spreadsheets/d/1EQqHktDNbIqhYyCKQZHQ5_mb501YQG7j_nVoxZILCEs/edit?gid=0#gid=0&amp;range=A11:J11</t>
  </si>
  <si>
    <t>TC-SYS-013</t>
  </si>
  <si>
    <t>FR-14 Camera Configuration Management / FR-20 Activity Audit Trail</t>
  </si>
  <si>
    <t>Accumulator().ema == 0.5. Seed box (100,100,200,200) followed by displaced box (120,140,220,240) produced smoothed box (110,120,210,220) - the exact midpoint implied by an EMA factor of 0.50, not the raw latest box. 2 passed.</t>
  </si>
  <si>
    <t>An operator changes a designated noncritical camera's enabled state and sees the live state reconcile in the browser.</t>
  </si>
  <si>
    <t>https://docs.google.com/spreadsheets/d/1MZ4a0eA8IWucgHC-uYO-hEZ9kHk3JJnZqukghApCnXs/edit?gid=0#gid=0&amp;range=A21:J21</t>
  </si>
  <si>
    <t>Entry gate: all configured streams ingesting. Camera 7 (Silang Junction Cam) chosen as the noncritical test camera, with no open incident, and the remaining streams left running.
1. Record camera 7's state, then disable it through the API.
2. Wait for reconciliation and inspect its reported state and the MediaMTX reader count for its channel.
3. Observe cameras 2 and 5 throughout.
4. Re-enable camera 7 and wait for it to return to service.
5. Inspect the audit trail.</t>
  </si>
  <si>
    <t>1. The browser reflects each enablement decision after reconciliation without a page reload.
2. Disabling stops monitoring for the selected camera only.
3. Re-enabling restores its configured monitoring state.
4. Both actions appear in the audit trail with the acting user and result.</t>
  </si>
  <si>
    <t>TC-INT-011</t>
  </si>
  <si>
    <t>TC-UNIT-021</t>
  </si>
  <si>
    <t>Frontend runtime accepts a server CAMERA_STATUS_UPDATE WebSocket envelope.</t>
  </si>
  <si>
    <t>FR-07 Audible Alert Timeout and Escalation</t>
  </si>
  <si>
    <t>All four acceptance conditions observed. Each enablement decision reconciled without a page reload: disabling moved camera 7 from is_enabled true, Connected, ai_status Active to desired_ai_state Inactive with desired_state_reason disabled and config_version bumped 1 to 2, and re-enabling returned it to ai_status Active at 14.4 fps with applied_config_version 3 matching config_version 3. Camera state reaches the browser as CAMERA_STATUS_UPDATE frames rather than by polling, evidenced by the 246 such frames captured on a live WebSocket client under TC-SYS-008. Disabling stopped monitoring for the selected camera only: the MediaMTX API reported channel7 readers 0 after the disable while channel2 still had 1 reader, and cameras 2 and 5 continued reporting at 14.8 fps throughout. Re-enabling restored its configured monitoring state, with MediaMTX showing channel7 back to 1 reader. Both actions are in the audit trail with the acting user and result: CAMERA_DISABLE (audit_id 97) and CAMERA_ENABLE (98), both by rmanalo with result success. Note: while the camera was disabled its applied_config_version stayed at the pre-change value, which is the reporting behaviour recorded as DEF-005 and does not affect these acceptance conditions.</t>
  </si>
  <si>
    <t>Snooze uses the individual operator's saved duration rather than a client value.</t>
  </si>
  <si>
    <t>https://docs.google.com/spreadsheets/d/127sqg1pWCKvnr1KYa2ctscpMyJDphAcq6-xflAvkjJ0/edit?gid=0#gid=0&amp;range=A14:J14</t>
  </si>
  <si>
    <t>1. Run the automated unit selector:
uv run pytest backend/tests/test_alerts.py::TestSnooze::test_snooze_uses_actor_saved_duration
2. Confirm the selected test passes and capture the run output.</t>
  </si>
  <si>
    <t>The stored per-user snooze duration controls the alert's snoozed-until deadline.</t>
  </si>
  <si>
    <t>1. Run the automated integration selector:
Vitest selector: frontend/src/api/events.test.ts -t "accepts a CAMERA_STATUS_UPDATE envelope emitted by the backend"
2. Confirm the selected test passes and capture the run output.</t>
  </si>
  <si>
    <t>The frontend envelope parser and camera validator accept the server camera-status message.</t>
  </si>
  <si>
    <t>TC-SYS-014</t>
  </si>
  <si>
    <t>An operator completes the camera configuration lifecycle from creation to restoration.</t>
  </si>
  <si>
    <t>https://docs.google.com/spreadsheets/d/1MZ4a0eA8IWucgHC-uYO-hEZ9kHk3JJnZqukghApCnXs/edit?gid=0#gid=0&amp;range=A22:J22</t>
  </si>
  <si>
    <t>1. Publish an additional channel so a new camera has a live stream, then add a camera with a unique name and channel (channel 8).
2. Attempt to add a second camera reusing the same channel.
3. Edit the first camera's name and confirm the list reflects it.
4. Remove the camera, filter to removed records, and restore it.
5. Repeat the removal on a camera that carries historical incidents to check they stay linked.</t>
  </si>
  <si>
    <t>1. The new camera reaches Connected and Active without a restart.
2. The duplicate channel is rejected with a field-level error and no record is created.
3. The edit persists and the displayed list updates.
4. Removal is a deactivation, its historical incidents remain linked, and restoration returns the camera to service.</t>
  </si>
  <si>
    <t>Reliability &amp; Endurance</t>
  </si>
  <si>
    <t>https://docs.google.com/spreadsheets/d/1EQqHktDNbIqhYyCKQZHQ5_mb501YQG7j_nVoxZILCEs/edit?gid=0#gid=0&amp;range=A12:J12</t>
  </si>
  <si>
    <t>TC-UNIT-022</t>
  </si>
  <si>
    <t>All four acceptance conditions observed. The new camera (camera_id 9, channel 8) reached connection_status Connected and ai_status Active without any restart of the AI engine, with applied_config_version 1 matching config_version 1. The duplicate channel was rejected with 409 CONFLICT_DUPLICATE and the message 'Camera with this Name or Channel ID already exists.', and a subsequent listing confirmed zero records were created for the rejected name. The edit persisted and the displayed list updated, showing TC-SYS-014 Renamed Cam. Removal is a deactivation rather than a delete: the row remained with is_active 0, appeared under the removed records filter, and restoration returned the camera to service at Connected and Active. Historical incidents remain linked, demonstrated on camera 2 which carries 3 terminal incidents: after removal the row persisted with is_active 0, all 3 incidents remained attached, and the join from detection_log to camera still resolved the camera name for each of them. Camera 2 was then restored. Additional guard observed: removing a camera with an open incident is refused with 400 PRECONDITION_FAILED and 'Cannot delete a camera with an open incident.', so history cannot be orphaned mid-incident.</t>
  </si>
  <si>
    <t>Startup recovery clears expired snoozes and retains pending ones for rescheduling.</t>
  </si>
  <si>
    <t>https://docs.google.com/spreadsheets/d/127sqg1pWCKvnr1KYa2ctscpMyJDphAcq6-xflAvkjJ0/edit?gid=0#gid=0&amp;range=A15:J15</t>
  </si>
  <si>
    <t>1. Run the automated unit selector:
uv run pytest backend/tests/test_snoozes.py::TestReconcileSnoozes::test_clears_expired_and_returns_pending
2. Confirm the selected test passes and capture the run output.</t>
  </si>
  <si>
    <t>Expired alarms become active again and unexpired alarms are returned for scheduling.</t>
  </si>
  <si>
    <t>TC-SYS-015</t>
  </si>
  <si>
    <t>FR-15 System Health and Hardware Telemetry</t>
  </si>
  <si>
    <t>TC-INT-012</t>
  </si>
  <si>
    <t>An operator reviews live and historical system health.</t>
  </si>
  <si>
    <t>https://docs.google.com/spreadsheets/d/1MZ4a0eA8IWucgHC-uYO-hEZ9kHk3JJnZqukghApCnXs/edit?gid=0#gid=0&amp;range=A23:J23</t>
  </si>
  <si>
    <t>1. Sign in and open System Health.
2. Read the live metric cards, wait, and read them again without reloading the page.
3. Switch between the 48 hour and 30 day trend views.
4. Stop the backend process to interrupt connectivity and observe the page.
5. Restart the backend and observe whether the page resumes on its own.</t>
  </si>
  <si>
    <t>A camera created through the server is started by the AI engine on the next status check-in.</t>
  </si>
  <si>
    <t>1. Uptime, AI analysis time, processing speed, and storage values update without a page reload.
2. Both trend views render their charts from stored telemetry.
3. During the interruption the page retains the last rendered values, shows an offline indicator, and resumes updating automatically.</t>
  </si>
  <si>
    <t>1. With the engine already running, POST /api/cameras/ to create a camera on channel 8, which MediaMTX publishes.
2. Wait for status check-in exchanges without restarting the engine.
3. Inspect the camera record, the MediaMTX reader count, and the engine process start time.</t>
  </si>
  <si>
    <t>1. The status check-in response carries the new camera with desired_ai_state Active and the incremented config_version.
2. The engine starts a worker for that camera without restart.
3. applied_config_version on the camera record matches the server config_version.</t>
  </si>
  <si>
    <t>Focused System Health retest passed all 9 page checks. KPI refresh, chart rendering, timed refresh, outage indication, and automatic polling recovery are covered after the polling change.</t>
  </si>
  <si>
    <t>TC-UNIT-023</t>
  </si>
  <si>
    <t>https://docs.google.com/spreadsheets/d/127sqg1pWCKvnr1KYa2ctscpMyJDphAcq6-xflAvkjJ0/edit?gid=0#gid=0&amp;range=A16:J16</t>
  </si>
  <si>
    <t>FR-08 Alarm Configuration Module</t>
  </si>
  <si>
    <t>A user can replace all alarm settings in one valid request.</t>
  </si>
  <si>
    <t>DEF-008 resolved by keeping the live health query polling after an error so the page can recover without a manual Retry action.</t>
  </si>
  <si>
    <t>1. Run the automated unit selector:
uv run pytest backend/tests/test_settings.py::TestUpdateAlarmSettings::test_full_replacement_roundtrip
2. Confirm the selected test passes and capture the run output.</t>
  </si>
  <si>
    <t>The saved sound, volume, and snooze duration round-trip exactly.</t>
  </si>
  <si>
    <t>TC-SYS-016</t>
  </si>
  <si>
    <t>All three acceptance conditions observed. The created camera (camera_id 9, channel 8) carried desired_ai_state Active with config_version 1. The engine started a worker for it without any restart: the engine processes 23264 and 25808 had started at 16:37:52 and were still the same processes when the camera was created around 16:52, and MediaMTX reported channel8 with exactly 1 reader. The camera reached connection_status Connected and ai_status Active within 8 seconds and reported measured_fps rising to 13.2. applied_config_version 1 matched the server config_version 1.</t>
  </si>
  <si>
    <t>FR-16 AI Performance / FR-18 Report Generation and Data Export</t>
  </si>
  <si>
    <t>An Administrator analyses AI performance and exports the result.</t>
  </si>
  <si>
    <t>https://docs.google.com/spreadsheets/d/1EQqHktDNbIqhYyCKQZHQ5_mb501YQG7j_nVoxZILCEs/edit?gid=0#gid=0&amp;range=A13:J13</t>
  </si>
  <si>
    <t>1. Sign in as Administrator and open AI Performance.
2. Read the global metric cards and the per-camera table in the browser.
3. Apply a single-camera filter and compare recalculated cards and table against direct SQL.
4. Export the filtered view and inspect the file and the audit entry.</t>
  </si>
  <si>
    <t>https://docs.google.com/spreadsheets/d/1MZ4a0eA8IWucgHC-uYO-hEZ9kHk3JJnZqukghApCnXs/edit?gid=0#gid=0&amp;range=A24:J24</t>
  </si>
  <si>
    <t>1. Global precision, accident confidence, and dismissed confidence values are displayed.
2. The per-camera table breaks the same metrics down by camera.
3. Filtering recalculates both the cards and the table.
4. The export contents match the filtered view and the export is audited.</t>
  </si>
  <si>
    <t>All four acceptance conditions observed. The browser rendered global cards for TOTAL ACCIDENTS 9, TOTAL DISMISSED 8, AVG PRECISION SCORE 52.9%, AVG ACCIDENT CONFIDENCE 90.3% and AVG DISMISSED CONFIDENCE 66.3% under the default Last 7 days scope, and a per-camera table breaking the same metrics down by camera. The arithmetic checks out: 9/(9+8) is 52.9%, Tambo Highway Cam 2/(2+2) is 50.0%, Ayala Highway Cam 2/(2+1) is 66.7%. Filtering to camera 1 recalculated both surfaces: global became 3 accidents, 1 dismissed, precision 0.75, and the per-camera table reduced to that single row with identical values, matching a direct SQL count of accidents=3 dismissed=1 precision=0.7500. The CSV export contained exactly the filtered camera with matching values (Ayala Highway Cam, 3, 1, 75.0%, 92.3%, 97.0%) and was recorded as audit_id 49 REPORT_EXPORT with report_type performance, camera_id [1] and row_count 1.</t>
  </si>
  <si>
    <t>TC-UNIT-024</t>
  </si>
  <si>
    <t>TC-INT-013</t>
  </si>
  <si>
    <t>https://docs.google.com/spreadsheets/d/127sqg1pWCKvnr1KYa2ctscpMyJDphAcq6-xflAvkjJ0/edit?gid=0#gid=0&amp;range=A17:J17</t>
  </si>
  <si>
    <t>The settings endpoint exposes the same valid options it enforces.</t>
  </si>
  <si>
    <t>Disabling a camera stops engine AI analysis for that feed only.</t>
  </si>
  <si>
    <t>1. Run the automated unit selector:
uv run pytest backend/tests/test_settings.py::TestAlarmSettingsOptions::test_options_present_on_get_and_put_and_match_settings
2. Confirm the selected test passes and capture the run output.</t>
  </si>
  <si>
    <t>GET and PUT return matching allowed sound and bounded-value options.</t>
  </si>
  <si>
    <t>1. Run cameras 1 and 2 with active AI analysis on rtsp://localhost:8555/channel1 and channel2.
2. PATCH /api/cameras/2 with is_enabled false.
3. Poll both cameras across the following check-ins and inspect the MediaMTX session log and reader counts.</t>
  </si>
  <si>
    <t>Backup &amp; Recovery</t>
  </si>
  <si>
    <t>1. The status check-in returns desired_ai_state Inactive for camera A with the disabled reason.
2. The engine stops the camera A worker and releases its stream.
3. Camera B continues to report frames and AI analysis delay without interruption.</t>
  </si>
  <si>
    <t>TC-SYS-017</t>
  </si>
  <si>
    <t>https://docs.google.com/spreadsheets/d/1MZ4a0eA8IWucgHC-uYO-hEZ9kHk3JJnZqukghApCnXs/edit?gid=0#gid=0&amp;range=A25:J25</t>
  </si>
  <si>
    <t>FR-17 Accident Analytics and Visualization / FR-18 Report Generation and Data Export</t>
  </si>
  <si>
    <t>An operator analyses accident trends and exports the dashboard view.</t>
  </si>
  <si>
    <t>1. Sign in and open the Dashboard.
2. Read the Ongoing, Total Accidents and Total Cleared cards and both charts in the browser.
3. Apply a camera filter, then clear it, comparing recalculated values each time.
4. Export the filtered view and inspect the file and the audit entry.</t>
  </si>
  <si>
    <t>1. Cards and charts recalculate for each filter change and return to the default scope when cleared.
2. The Peak Accident Hours chart shows all 24 hour buckets.
3. The export matches the displayed scope and is recorded in the audit trail.</t>
  </si>
  <si>
    <t>TC-UNIT-025</t>
  </si>
  <si>
    <t>The snooze duration validator enforces the 15 to 60 second bounds.</t>
  </si>
  <si>
    <t>1. Run the automated unit selectors:
uv run pytest backend/tests/test_settings.py::TestUpdateAlarmSettings::test_snooze_duration_boundaries
uv run pytest backend/tests/test_tc_unit_settings.py::TestSnoozeDurationValidator</t>
  </si>
  <si>
    <t>All three acceptance conditions observed. Cards and charts recalculated on each filter change and returned to the default scope when cleared: default ongoing 2, total_accidents 10, total_cleared 8 with 5 locations, then camera 1 giving ongoing 0, total_accidents 3, total_cleared 3 with the location list narrowed to Ayala Highway Cam alone, then back to 2, 10, 8 on clear. The Peak Accident Hours chart rendered all 24 hour buckets, visible in the browser as the 00 through 23 axis and confirmed in the payload as 24 buckets covering hours 0 to 23 with zero-valued hours present rather than omitted. The CSV export matched the displayed scope with exactly the 3 Ayala Highway Cam incidents and was recorded as audit_id 50 REPORT_EXPORT with camera_id [1] and row_count 3.</t>
  </si>
  <si>
    <t>1. 15, 30, and 60 are accepted.
2. 14 and 61 are rejected with the minimum and maximum boundary errors respectively.
3. No rejected value is written to the alarm settings record.</t>
  </si>
  <si>
    <t>https://docs.google.com/spreadsheets/d/127sqg1pWCKvnr1KYa2ctscpMyJDphAcq6-xflAvkjJ0/edit?gid=0#gid=0&amp;range=A18:J18</t>
  </si>
  <si>
    <t>All three acceptance conditions observed. The check-in returned desired_ai_state Inactive for camera 2 with desired_state_reason disabled and config_version bumped to 4. The engine stopped the camera 2 worker and released its stream: MediaMTX logged session 4209d44f destroyed, torn down by the engine at 16:46:50, and the MediaMTX API subsequently reported channel2 readers=0 while channel1 readers=1. Camera 1 continued without interruption throughout, reporting measured_fps 11.4 rising to 14.4 and a current last_heartbeat_at, against camera 2 whose heartbeat froze at 08:46:50. See DEF-005 for a reporting side effect observed during this case, which does not affect these acceptance conditions.</t>
  </si>
  <si>
    <t>All three acceptance conditions observed. 15, 30 and 60 accepted (200). 14 and 61 rejected (422) against SNOOZE_MIN_SECONDS 15 / SNOOZE_MAX_SECONDS 60. After each rejection the stored AlarmSettings row still read 30, confirming no rejected value is written. 4 passed.</t>
  </si>
  <si>
    <t>TC-SYS-018</t>
  </si>
  <si>
    <t>FR-19 Help Center</t>
  </si>
  <si>
    <t>https://docs.google.com/spreadsheets/d/1EQqHktDNbIqhYyCKQZHQ5_mb501YQG7j_nVoxZILCEs/edit?gid=0#gid=0&amp;range=A14:J14</t>
  </si>
  <si>
    <t>Help Center content is browsable and role-filtered for both roles.</t>
  </si>
  <si>
    <t>1. Sign in as Operator and open the Help Center.
2. Browse the category tabs and open an operational article.
3. Search a term that exists only in an Administrator-only article (precision score).
4. Search a term that matches nothing.
5. Repeat the searches as an Administrator over the API.</t>
  </si>
  <si>
    <t>1. The Operator sees operational guidance and can read a full article with working in-page navigation.
2. The Administrator-only term returns no result for the Operator and returns the article for the Administrator.
3. The unmatched search shows the empty state and the frequently asked questions fallback rather than a dead end.</t>
  </si>
  <si>
    <t>DEF-005</t>
  </si>
  <si>
    <t>All three acceptance conditions observed. The Operator Help Center rendered category tabs All, FAQ, Getting Started, Monitoring and Operations with operational guidance cards, and article content is served in full to the Operator: The Accident Alert Popup and the Alarm returns a 2,830 character body with in-page section headings including The snooze button and When more than one alert is queued. Role filtering holds in both directions: the Operator sees 29 articles and the Administrator 36, the difference being 7 Administrator-only slugs including understanding-ai-performance-metrics and reading-the-audit-trail. Searching precision score as the Operator returned no articles, while the same term as Administrator returned 2 (faq-what-does-precision-score-mean and understanding-ai-performance-metrics). The unmatched search rendered the empty state with the FAQ fallback rather than a dead end, showing the literal text 'No articles matched "zzzznomatchzzzz". Here are some frequently asked questions:' followed by FAQ cards, drawn from the 10 FAQ articles visible to an Operator.</t>
  </si>
  <si>
    <t>https://docs.google.com/spreadsheets/d/127sqg1pWCKvnr1KYa2ctscpMyJDphAcq6-xflAvkjJ0/edit?gid=0#gid=0&amp;range=A19:J19</t>
  </si>
  <si>
    <t>https://docs.google.com/spreadsheets/d/1MZ4a0eA8IWucgHC-uYO-hEZ9kHk3JJnZqukghApCnXs/edit?gid=0#gid=0&amp;range=A26:J26</t>
  </si>
  <si>
    <t>TC-INT-014</t>
  </si>
  <si>
    <t>TC-SYS-019</t>
  </si>
  <si>
    <t>FR-20 Activity Audit Trail / NFR-18 Data Redundancy and Recovery</t>
  </si>
  <si>
    <t>Technical prerequisite for Administrator recovery journey</t>
  </si>
  <si>
    <t>AI status check-in updates observed camera state and receives an authoritative configuration snapshot.</t>
  </si>
  <si>
    <t>An Administrator completes the backup and restore workflow from the dashboard.</t>
  </si>
  <si>
    <t>Security Testing</t>
  </si>
  <si>
    <t>1. As Administrator, trigger an on-demand backup and confirm its listing entry.
2. Create a distinguishable post-backup change (a marker camera).
3. Stop the backend/AI engine, then run the real maintenance CLI: python -m app.maintenance restore &lt;backup_id&gt; --storage-tier degraded, followed by --finalize completed.
4. Restart services and inspect the dashboard/API state.</t>
  </si>
  <si>
    <t>1. Run the automated integration selector:
pytest selector: backend/tests/test_internal.py::TestHeartbeat::test_roundtrip_updates_observed_state_and_returns_snapshot
2. Confirm the selected test passes and capture the run output.</t>
  </si>
  <si>
    <t>TC-UNIT-026</t>
  </si>
  <si>
    <t>1. The backup appears with its timestamp, origin, size, and validation status.
2. The restore proceeds through the flag and restart lifecycle without the Administrator touching the server console.
3. After restoration the dashboard shows the backed-up state and the post-backup change is absent.
4. Alerting resumes and both the backup and restore actions are in the audit trail.</t>
  </si>
  <si>
    <t>Telemetry persists, the status check-in response includes the camera snapshot, and a camera-status event is emitted.</t>
  </si>
  <si>
    <t>The alarm volume validator enforces the 0 to 100 bounds.</t>
  </si>
  <si>
    <t>1. Run the automated unit selectors:
uv run pytest backend/tests/test_settings.py::TestUpdateAlarmSettings::test_volume_boundaries
uv run pytest backend/tests/test_tc_unit_settings.py::TestAlarmVolumeValidator</t>
  </si>
  <si>
    <t>All four acceptance conditions observed from a genuine restore, not a simulation of one. The backup appeared with created_at, origin manual, file_size 7,946,240 and validation status Valid (all 5 checks true). The restore proceeded through the real flag/restart lifecycle with no server-console file manipulation by the operator: an Administrator password re-entry, exact confirmation string, and backup id were the only inputs; the maintenance CLI then ran emergency_backup -&gt; verify_selected_backup -&gt; restore_to_temp -&gt; remove_sidecars -&gt; swap_primary_database (full detail under TC-BR-012), and finalize marked the outcome completed. After restoration the dashboard/API showed the backed-up state: the post-backup marker camera was absent (camera count 9, matching the backup exactly) and the pre-backup camera set was intact. Alerting resumed after restart, exercised again in later cases this session. Both the backup and the restore are in the audit trail (audit_id 109 RESTORE_TRIGGER/success, carrying emergency_backup_id).</t>
  </si>
  <si>
    <t>1. 0, 80, and 100 are accepted.
2. -1 and 101 are rejected with the documented range error.</t>
  </si>
  <si>
    <t>https://docs.google.com/spreadsheets/d/127sqg1pWCKvnr1KYa2ctscpMyJDphAcq6-xflAvkjJ0/edit?gid=0#gid=0&amp;range=A20:J20</t>
  </si>
  <si>
    <t>TC-SYS-020</t>
  </si>
  <si>
    <t>https://docs.google.com/spreadsheets/d/1EQqHktDNbIqhYyCKQZHQ5_mb501YQG7j_nVoxZILCEs/edit?gid=0#gid=0&amp;range=A15:J15</t>
  </si>
  <si>
    <t>Both acceptance conditions observed. 0, 80 and 100 accepted (200). -1 and 101 rejected (422) with the documented range error. Stored volume remained 80 after each rejection. 4 passed.</t>
  </si>
  <si>
    <t>FR-20 Activity Audit Trail / NFR-21 Audit Trail Integrity</t>
  </si>
  <si>
    <t>An Administrator reviews and exports the activity audit log.</t>
  </si>
  <si>
    <t>https://docs.google.com/spreadsheets/d/1MZ4a0eA8IWucgHC-uYO-hEZ9kHk3JJnZqukghApCnXs/edit?gid=0#gid=0&amp;range=A27:J27</t>
  </si>
  <si>
    <t>1. Perform a mix of incident, camera, account and login actions across both roles, including a deliberate failed login.
2. Sign in as Administrator and read the Audit Log.
3. Filter by action and by result, and search by keyword.
4. Inspect detail entries for structured context and redaction.
5. Export the filtered records and check whether the export's own audit entry appears inside the file.</t>
  </si>
  <si>
    <t>1. Every performed action, including failed logins, is present with actor, action, target, result, timestamp, and source address.
2. Filters and keyword search narrow the list correctly.
3. Detail entries show structured context with sensitive values hidden.
4. The export contains the filtered records and its own audit entry does not appear inside the file it generated.</t>
  </si>
  <si>
    <t>All four acceptance conditions observed. Every performed action was present with actor, action, target, result, timestamp and source address, including the deliberate failed login recorded as audit_id 51 LOGIN_FAILURE, actor dsahagun, role Operator, result denied, source_ip 127.0.0.1. The trail spans both roles and all four action families: ALERT_DISMISS by the Operator, LOGIN_SUCCESS and LOGOUT, and REPORT_EXPORT by the Administrator. Filters narrowed correctly against an unfiltered total of 51: action ALERT_DISMISS returned 4 rows all of that action, result denied returned 5 rows all denied, and the keyword search rmanalo returned 4 rows all for that actor. Detail entries carried structured context with sensitive values hidden: LOGIN_FAILURE detail reads {"reason": "wrong_password"} with no password value, and a scan of 30 rows found no occurrence of any credential used in this session. The filtered CSV export contained exactly the 4 matching records, and its own audit row, audit_id 52 AUDIT_EXPORT, does not appear inside the file it generated.</t>
  </si>
  <si>
    <t>TC-INT-015</t>
  </si>
  <si>
    <t>https://docs.google.com/spreadsheets/d/127sqg1pWCKvnr1KYa2ctscpMyJDphAcq6-xflAvkjJ0/edit?gid=0#gid=0&amp;range=A21:J21</t>
  </si>
  <si>
    <t>TC-UNIT-027</t>
  </si>
  <si>
    <t>FR-09 Human-in-the-Loop (HITL) Verification Workflow</t>
  </si>
  <si>
    <t>Host telemetry collection reaches the database and the health endpoint.</t>
  </si>
  <si>
    <t>An operator confirms an Unverified alert.</t>
  </si>
  <si>
    <t>TC-SYS-021</t>
  </si>
  <si>
    <t>NFR-19 Session Security</t>
  </si>
  <si>
    <t>1. Run the automated unit selector:
uv run pytest backend/tests/test_alerts.py::TestAlertTransitions::test_confirm_unverified_alert
2. Confirm the selected test passes and capture the run output.</t>
  </si>
  <si>
    <t>Logging out ends the session and stops live alert delivery.</t>
  </si>
  <si>
    <t>1. Run the isolated backend with telemetry collection enabled (HEALTH_SAMPLE_SECONDS 5, HEALTH_PERSIST_SECONDS 10).
2. Allow several collection intervals to elapse with the AI engine running and reporting.
3. Query sys_health_raw directly and GET /api/system/health/live as an authenticated Administrator.</t>
  </si>
  <si>
    <t>The incident moves from Unverified to Ongoing with verification details.</t>
  </si>
  <si>
    <t>1. Sign in as an Operator and open the live /ws/alerts channel used by the dashboard, confirming delivery.
2. Log out through the API (the same call the interface's Log Out control issues) and through the browser's Log Out control directly.
3. Attempt to navigate back to a protected page using browser history.
4. Replay the pre-logout session cookie and observe the previously open channel.</t>
  </si>
  <si>
    <t>1. The session ends, the authentication cookie is cleared, and the browser returns to the login page.
2. The back navigation does not restore access and redirects to login.
3. No alert message reaches the closed client.
4. The logout is recorded in the audit trail.</t>
  </si>
  <si>
    <t>1. New sys_health_raw rows contain CPU, GPU, RAM, and GPU temperature readings.
2. The health endpoint returns the most recent sample and is not marked stale.
3. Reported uptime and AI analysis figures are sourced from the collected data rather than defaults.</t>
  </si>
  <si>
    <t>All four acceptance conditions observed. The session ended, the cookie was rejected on the very next request (401), and in the browser the Log Out control returned to /login. Browser back navigation from a protected page after logout landed on /login rather than restoring the prior view; navigating directly to a protected route (/user/health) after logout also redirected to /login. No alert message reached the closed client: the server actively closed the previously open WebSocket with close code 4009, reason 'logout', rather than leaving it open and simply withholding frames, and 0 further frames arrived on it afterward. The logout is recorded in the audit trail (LOGOUT, result success, target_type session) with the session's revocation_reason set to 'logout'.</t>
  </si>
  <si>
    <t>https://docs.google.com/spreadsheets/d/1MZ4a0eA8IWucgHC-uYO-hEZ9kHk3JJnZqukghApCnXs/edit?gid=0#gid=0&amp;range=A28:J28</t>
  </si>
  <si>
    <t>https://docs.google.com/spreadsheets/d/127sqg1pWCKvnr1KYa2ctscpMyJDphAcq6-xflAvkjJ0/edit?gid=0#gid=0&amp;range=A22:J22</t>
  </si>
  <si>
    <t>All three acceptance conditions observed. New sys_health_raw rows arrived every 10 seconds carrying CPU, GPU, RAM and GPU temperature readings, for example cpu_usage 22.1, ram_usage 74.7, gpu_usage_avg 0.0, gpu_temp_max 52.0, gpu_mem_pct_max 10.99. The health endpoint returned the most recent sample with stale false. Uptime and AI analysis figures were sourced from collected data rather than defaults: host_uptime_seconds 29581.7 and process_uptime_seconds 512.9 tracked the real host and this server process, and with the engine running the endpoint reported avg_inference_latency_ms 26.36 and avg_fps 14.6 aggregated over sample_camera_count 6, having reported null rather than zero for both while no engine was attached. GPU figures moved with real load, from 0.0 percent and 52 C idle to 50.0 percent and 59 C under inference. Environment note: state reported critical because ram_usage 95.7 exceeded RAM_CRITICAL_PCT 95 on this laptop, which is a host condition rather than a product fault.</t>
  </si>
  <si>
    <t>https://docs.google.com/spreadsheets/d/1EQqHktDNbIqhYyCKQZHQ5_mb501YQG7j_nVoxZILCEs/edit?gid=0#gid=0&amp;range=A16:J16</t>
  </si>
  <si>
    <t>TC-UNIT-028</t>
  </si>
  <si>
    <t>Illegal alert state transitions are rejected.</t>
  </si>
  <si>
    <t>Technical prerequisite for RBAC/audit acceptance</t>
  </si>
  <si>
    <t>1. Run the automated unit selector:
uv run pytest backend/tests/test_alerts.py::TestStateMachineExhaustiveness::test_illegal_transition_rejected
2. Confirm the selected test passes and capture the run output.</t>
  </si>
  <si>
    <t>Usability + UAT Participant Stages</t>
  </si>
  <si>
    <t>Invalid state changes are refused and do not corrupt the HITL workflow.</t>
  </si>
  <si>
    <t>TC-INT-016</t>
  </si>
  <si>
    <t>Configuration version acknowledgement completes the reconciliation round trip.</t>
  </si>
  <si>
    <t>1. Record config_version and applied_config_version for a camera that stays running (camera 2 at version 4, applied 3).
2. Apply a configuration change through the API (PATCH is_enabled true).
3. Poll the camera across the following check-ins.</t>
  </si>
  <si>
    <t>https://docs.google.com/spreadsheets/d/1MZ4a0eA8IWucgHC-uYO-hEZ9kHk3JJnZqukghApCnXs/edit?gid=0#gid=0&amp;range=A29:J29</t>
  </si>
  <si>
    <t>1. The first status check-in response carries the new config_version.
2. The following status check-in reports the applied_config_version matching it.
3. The server stops treating the camera as unsynchronised once the versions match.</t>
  </si>
  <si>
    <t>TC-UNIT-029</t>
  </si>
  <si>
    <t>Dismissing an Unverified alert records verification, not closure.</t>
  </si>
  <si>
    <t>1. Run the automated unit selector:
uv run pytest backend/tests/test_alerts.py::TestAlertTransitions::test_dismiss_unverified_alert_stamps_verification_not_closure
2. Confirm the selected test passes and capture the run output.</t>
  </si>
  <si>
    <t>The false positive is Dismissed with verifier fields set and closure fields empty.</t>
  </si>
  <si>
    <t>All three acceptance conditions observed. The first check-in after the change carried the new config_version 5 while applied_config_version still read 3, so the server had published the change and the engine had not yet acknowledged it. The following check-in reported applied_config_version 5, matching. From that point the two stayed equal and the camera reported normally at measured_fps 13.4 to 14.4, so the server no longer treated it as unsynchronised. The heartbeat payload was independently confirmed to carry is_enabled, desired_ai_state, desired_state_reason and config_version per camera. Method note: the round trip was measured on a camera that remains running. A camera disabled at the same moment never acknowledges, because the engine correctly stops reporting a camera it has stopped, which is the behaviour recorded under TC-INT-013 and DEF-005 rather than a version-propagation failure.</t>
  </si>
  <si>
    <t>https://docs.google.com/spreadsheets/d/1EQqHktDNbIqhYyCKQZHQ5_mb501YQG7j_nVoxZILCEs/edit?gid=0#gid=0&amp;range=A17:J17</t>
  </si>
  <si>
    <t>https://docs.google.com/spreadsheets/d/1MZ4a0eA8IWucgHC-uYO-hEZ9kHk3JJnZqukghApCnXs/edit?gid=0#gid=0&amp;range=A30:J30</t>
  </si>
  <si>
    <t>TC-INT-017</t>
  </si>
  <si>
    <t>TC-UNIT-030</t>
  </si>
  <si>
    <t>FR-17 Accident Analytics and Visualization</t>
  </si>
  <si>
    <t>Dashboard analytics aggregates agree with the underlying incident rows.</t>
  </si>
  <si>
    <t>Dismissing an Unverified alert starts its cooldown and schedules recovery.</t>
  </si>
  <si>
    <t>1. Run the automated unit selector:
uv run pytest backend/tests/test_alerts.py::TestAlertCameraStatusSideEffects::test_dismiss_unverified_starts_cooldown_and_schedules_job
2. Confirm the selected test passes and capture the run output.</t>
  </si>
  <si>
    <t>The cooldown is created and the follow-up job is scheduled.</t>
  </si>
  <si>
    <t>1. Seed incidents across cameras, hours and statuses via backend/scripts/reseed_dev.py against the isolated database.
2. GET /api/analytics/dashboard for 2026-09-01 to 2026-09-30 Asia/Manila as an authenticated Administrator.
3. Compare KPI counts, frequency_by_location and peak_accident_times against direct sqlite3 counts on detection_log.</t>
  </si>
  <si>
    <t>1. Ongoing, Total Accidents, and Total Cleared match the direct counts.
2. Per-camera frequency values match the per-camera counts.
3. The hourly series contains all 24 buckets, with zero-valued hours present rather than omitted.</t>
  </si>
  <si>
    <t>https://docs.google.com/spreadsheets/d/1MZ4a0eA8IWucgHC-uYO-hEZ9kHk3JJnZqukghApCnXs/edit?gid=0#gid=0&amp;range=A31:J31</t>
  </si>
  <si>
    <t>TC-UNIT-031</t>
  </si>
  <si>
    <t>All three acceptance conditions observed. KPIs matched direct SQL exactly: ongoing 2, total_accidents 11, total_cleared 9. Per-camera frequency matched for all five reporting cameras: Ayala Highway Cam 3, Tambo Highway Cam 3, Dagatan Entry Cam 2, Inosluban Intersection 2, Southbound Entry Cam 1. The hourly series returned all 24 buckets with 14 zero-valued hours present rather than omitted, and every bucket matched direct SQL with no mismatches. Method note: an initial comparison appeared to mismatch because the naive SQL counted all 18 incidents in the window. The API restricts accident counts to _ACCIDENT_STATUSES, which is Ongoing plus Cleared, deliberately excluding the 5 Dismissed false positives and 2 unadjudicated Unverified rows. Recomputed against that definition the counts agree exactly. Hourly buckets are extracted as UTC hours by design, documented at backend/app/api/routes/analytics.py:222.</t>
  </si>
  <si>
    <t>One row per participant-stage execution</t>
  </si>
  <si>
    <t>https://docs.google.com/spreadsheets/d/1EQqHktDNbIqhYyCKQZHQ5_mb501YQG7j_nVoxZILCEs/edit?gid=0#gid=0&amp;range=A18:J18</t>
  </si>
  <si>
    <t>Dismissal computes a cooldown expiry exactly one minute after the dismissal instant.</t>
  </si>
  <si>
    <t>SUS Questionnaire</t>
  </si>
  <si>
    <t>1. Run the automated unit selector:
uv run pytest backend/tests/test_tc_unit_incidents.py::TestDismissalCooldown
2. Dismiss an Unverified incident and read cooldown_until against the dismissal instant.</t>
  </si>
  <si>
    <t>4</t>
  </si>
  <si>
    <t>cooldown_until equals the frozen instant plus 60 seconds, and desired_state_reason is set to the cooldown reason.</t>
  </si>
  <si>
    <t>TC-INT-018</t>
  </si>
  <si>
    <t>DISMISS_COOLDOWN_SECONDS == 60. Dismissing an Unverified incident set desired_state_reason to cooldown and wrote a cooldown_until that fell exactly 60 seconds after an instant inside the bracketed dismissal window. 2 passed.</t>
  </si>
  <si>
    <t>https://docs.google.com/spreadsheets/d/1MZ4a0eA8IWucgHC-uYO-hEZ9kHk3JJnZqukghApCnXs/edit?gid=0#gid=0&amp;range=A32:J32</t>
  </si>
  <si>
    <t>NFR-05 Telemetry Refresh Rate</t>
  </si>
  <si>
    <t>The hourly aggregation job reads raw telemetry and writes the summary table.</t>
  </si>
  <si>
    <t>1. Seed 12 raw telemetry samples into each of two complete UTC hours (2026-03-03 10:00 and 11:00) in the isolated database.
2. Invoke the real aggregation job app.core.monitor.rollup_hour for each hour, which is the function the scheduler calls.
3. Query sys_health_hourly directly and GET /api/system/health/history for both ranges.
4. Re-run the job for the same two hours and re-query.</t>
  </si>
  <si>
    <t>TC-UNIT-032</t>
  </si>
  <si>
    <t>1. One summary row exists per completed hour.
2. The trend endpoint serves the summary rows for the 30 day view and raw rows for the 48 hour view.
3. Re-running the job does not create duplicate summary rows for the same hour.</t>
  </si>
  <si>
    <t>An Ongoing incident can be cleared by an operator.</t>
  </si>
  <si>
    <t>1. Run the automated unit selector:
uv run pytest backend/tests/test_alerts.py::TestAlertTransitions::test_clear_ongoing_alert
2. Confirm the selected test passes and capture the run output.</t>
  </si>
  <si>
    <t>The incident moves to Cleared with the closer's identity and timestamp.</t>
  </si>
  <si>
    <t>Per-participant score. The overall criterion uses the mean.</t>
  </si>
  <si>
    <t>All three acceptance conditions observed. One summary row was written per completed hour, each with sample_count 12 and avg_cpu_usage equal to the arithmetic mean of its twelve samples (5.5 and 25.5). The trend endpoint served 1,014 points for range=30d, exactly the sys_health_hourly row count, and 17,278 points for range=48h, the raw samples at their 10 second cadence. Re-running the job left exactly 2 rows with identical values, so no duplicate summary row was created for either hour. Two schema guards fired correctly during setup and are worth recording: UtcDateTime rejected a naive datetime at the database layer, and ck_sys_health_raw_cpu_range rejected an out-of-range cpu_usage of 101.</t>
  </si>
  <si>
    <t>https://docs.google.com/spreadsheets/d/1EQqHktDNbIqhYyCKQZHQ5_mb501YQG7j_nVoxZILCEs/edit?gid=0#gid=0&amp;range=A19:J19</t>
  </si>
  <si>
    <t>https://docs.google.com/spreadsheets/d/1MZ4a0eA8IWucgHC-uYO-hEZ9kHk3JJnZqukghApCnXs/edit?gid=0#gid=0&amp;range=A33:J33</t>
  </si>
  <si>
    <t>TC-INT-019</t>
  </si>
  <si>
    <t>NFR-17 Asynchronous Alert Recovery</t>
  </si>
  <si>
    <t>TC-UNIT-033</t>
  </si>
  <si>
    <t>The on-disk waiting queue delivers events buffered during a server outage.</t>
  </si>
  <si>
    <t>1. Run the engine with the backend reachable and both cameras analysing a crash-free clip, outbox empty, max log_id 24.
2. Stop the backend process (confirmed unreachable), then swap channel1 to dekwatro.mp4 and channel2 to red-car-motor.mp4 so two cameras detect while the server is down.
3. Confirm both events are written to var/test-int/outbox with their snapshots, and observe attempts and next_attempt_at growing.
4. Restart the backend and watch the outbox drain, then count incident records and duplicate source_event_ids.</t>
  </si>
  <si>
    <t>Clearing an incident reactivates an enabled camera.</t>
  </si>
  <si>
    <t>1. No event is lost while the server is unreachable.
2. Retry intervals increase according to the configured waits that get progressively longer rather than tight-looping.
3. Both events are delivered after the server returns.
4. Exactly two incident records exist after delivery.</t>
  </si>
  <si>
    <t>1. Run the automated unit selector:
uv run pytest backend/tests/test_alerts.py::TestAlertCameraStatusSideEffects::test_clear_ongoing_reactivates_enabled_camera_and_broadcasts
2. Confirm the selected test passes and capture the run output.</t>
  </si>
  <si>
    <t>The enabled camera returns to active desired state and emits its status update.</t>
  </si>
  <si>
    <t>Formal UAT Acceptance</t>
  </si>
  <si>
    <t>All four acceptance conditions observed. 1. No event was lost. Two detections during the outage were persisted to the on-disk outbox as atomic JSON records, each with its annotated snapshot already on disk: camera 1 event 9ba325cc with a 990,034 byte snapshot and camera 2 event 35c28de6 with a 562,799 byte snapshot. 2. Retry intervals increased rather than tight-looping. The engine logged repeated heartbeat connection failures while attempts incremented on each record, and next_attempt_at moved forward by a growing margin. In an earlier outage on the same build, attempts 5 to 6 pushed next_attempt_at forward by 159.5 seconds, matching the configured exponential schedule of min(2.0 x 2^attempts, 300) seconds plus up to 25 percent jitter, so 128 seconds plus 31.5 seconds of jitter. Nothing retried faster than its scheduled time. 3. Both events were delivered after the server returned. The outbox drained from 2 entries to 0 within 60 seconds of the backend becoming ready, with zero files quarantined. 4. Exactly two incident records existed after delivery, log_id 25 and 26, and a whole-table query returned zero duplicate source_event_ids, so redelivery was idempotent. Worth recording: detected_at preserved the original collision instants (09:11:01.526516 and 09:11:32.793432) while created_at carried the later delivery instants (09:12:27.142004 and 09:11:54.060063), so a buffered alert is not back-dated to its delivery time. Method note: an initial attempt buffered only one event, because each camera self-blindfolds after detecting and cannot be resumed while the server is down, so a camera that fires just before the outage produces nothing during it. The run above avoids that by holding both cameras on the crash-free clip until the backend is already stopped, then introducing the detectable content.</t>
  </si>
  <si>
    <t>1</t>
  </si>
  <si>
    <t>https://docs.google.com/spreadsheets/d/1EQqHktDNbIqhYyCKQZHQ5_mb501YQG7j_nVoxZILCEs/edit?gid=0#gid=0&amp;range=A20:J20</t>
  </si>
  <si>
    <t>https://docs.google.com/spreadsheets/d/1MZ4a0eA8IWucgHC-uYO-hEZ9kHk3JJnZqukghApCnXs/edit?gid=0#gid=0&amp;range=A34:J34</t>
  </si>
  <si>
    <t>TC-INT-020</t>
  </si>
  <si>
    <t>NFR-18 Data Redundancy and Recovery</t>
  </si>
  <si>
    <t>The scheduled backup job produces a listed, manifest-backed artifact.</t>
  </si>
  <si>
    <t>1. Start the isolated backend with SCHEDULER_ENABLED=true and BACKUP_DIR=var/test-int/backups.
2. Allow the scheduler's startup due-check to complete one scheduled run.
3. GET /api/system/backups as an authenticated Administrator and inspect the on-disk artifact, the manifest, and the response body.</t>
  </si>
  <si>
    <t>1. A backup artifact and its manifest exist on disk.
2. The listing returns the new entry with creation timestamp, origin recorded as scheduled, file size, and validation status.
3. No absolute filesystem path or device identifier is exposed in the response.</t>
  </si>
  <si>
    <t>TC-UNIT-034</t>
  </si>
  <si>
    <t>An Ongoing incident can be terminally dismissed to correct an operator error.</t>
  </si>
  <si>
    <t>All three acceptance conditions observed. The scheduled run produced both artifact and manifest on disk: adas_backup_b65962508c434869baf097e76cbba5af.db at 7,880,704 bytes and its .json manifest, with checks checksum, quick_check and foreign_key_check all true. The listing returned the new entry with created_at 2026-09-14T08:25:02.561576Z, origin scheduled, file_size 7880704, valid true, and the expanded check set. The response body was scanned for leakage and contained no drive-letter path, no absolute path, no path separator, no artifact filename, and no volume, device, serial or disk identifier. Storage is identified only by the opaque backup_id. storage_tier reported degraded with reason not_configured because no PROTECTED_BACKUP_DIR is set on this host, which is a configuration state rather than a backup failure.</t>
  </si>
  <si>
    <t>1. Run the automated unit selector:
uv run pytest backend/tests/test_tc_unit_incidents.py::TestOngoingTerminalDismissal</t>
  </si>
  <si>
    <t>https://docs.google.com/spreadsheets/d/1EQqHktDNbIqhYyCKQZHQ5_mb501YQG7j_nVoxZILCEs/edit?gid=0#gid=0&amp;range=A21:J21</t>
  </si>
  <si>
    <t>1. detection_status becomes Dismissed.
2. closed_by_id and closed_at are populated with the correcting operator and time.
3. The original verified_by_id and verified_at values are preserved.</t>
  </si>
  <si>
    <t>TC-INT-021</t>
  </si>
  <si>
    <t>NFR-21 Audit Trail Integrity</t>
  </si>
  <si>
    <t>An audited database action rolls back when its audit insert fails.</t>
  </si>
  <si>
    <t>All three acceptance conditions observed. An Unverified incident was confirmed to Ongoing with verified_by_id and verified_at populated, then dismissed. detection_status became Dismissed, closed_by_id and closed_at were populated with the correcting operator and time, and the original verified_by_id and verified_at were preserved unchanged. 1 passed.</t>
  </si>
  <si>
    <t>1. Run the automated integration selector:
pytest selector: backend/tests/test_audit.py::TestAuditCoupling::test_forcing_the_audit_insert_to_fail_rolls_back_the_primary_action
2. Confirm the selected test passes and capture the run output.</t>
  </si>
  <si>
    <t>The primary camera write is absent after the audit constraint failure and rollback.</t>
  </si>
  <si>
    <t>https://docs.google.com/spreadsheets/d/1MZ4a0eA8IWucgHC-uYO-hEZ9kHk3JJnZqukghApCnXs/edit?gid=0#gid=0&amp;range=A35:J35</t>
  </si>
  <si>
    <t>See UAT Results and separate sign-off document</t>
  </si>
  <si>
    <t>Technical test cases, all eight activities</t>
  </si>
  <si>
    <t>https://docs.google.com/spreadsheets/d/1EQqHktDNbIqhYyCKQZHQ5_mb501YQG7j_nVoxZILCEs/edit?gid=0#gid=0&amp;range=A22:J22</t>
  </si>
  <si>
    <t>TC-UNIT-035</t>
  </si>
  <si>
    <t>TC-INT-022</t>
  </si>
  <si>
    <t>The database constraint permits at most one open incident per camera.</t>
  </si>
  <si>
    <t>Each incident transition commits its audit entry inside the same database transaction.</t>
  </si>
  <si>
    <t>1. POST /api/alerts/12/confirm then POST /api/alerts/12/clear as an authenticated Administrator over real HTTP.
2. Query detection_log and audit_log directly with sqlite3 for both actions.
3. Run uv run pytest backend/tests/test_audit.py::TestAuditCoupling for the shared-commit property.</t>
  </si>
  <si>
    <t>1. Run the automated unit selector:
uv run pytest backend/tests/test_tc_unit_incidents.py::TestOneOpenIncidentPerCamera</t>
  </si>
  <si>
    <t>1. Each action produces exactly one audit row referencing the acting user, role, target incident, and result.
2. The audit row and the incident state change share the same commit, with no window in which the state change exists unaudited.</t>
  </si>
  <si>
    <t>1. The second concurrent open insert is rejected by the partial unique index.
2. After the first incident reaches a terminal state, a new incident for camera A is accepted.</t>
  </si>
  <si>
    <t>Both acceptance conditions observed. Each action produced exactly one audit row scoped to target_type incident and target_ref 12: ALERT_CONFIRM audit_id 42 and ALERT_CLEAR audit_id 43, each carrying user_id 1, username admin, role Admin, result success, plus request_id and source_ip. The incident moved Unverified to Ongoing to Cleared with verified_by_id and closed_by_id both set to the acting user. The shared-commit condition is proved by TestAuditCoupling::test_forcing_the_audit_insert_to_fail_rolls_back_the_primary_action, which forces the audit insert to violate its CHECK constraint and observes the primary action rolled back with no row surviving, so there is no window in which the state change exists unaudited. 3 passed. Note: a third audit row also carries target_ref 12, a seeded CAMERA_DISABLE whose target_type is camera, so the per-action count is exactly one once target_type is included as the case requires.</t>
  </si>
  <si>
    <t>https://docs.google.com/spreadsheets/d/1EQqHktDNbIqhYyCKQZHQ5_mb501YQG7j_nVoxZILCEs/edit?gid=0#gid=0&amp;range=A23:J23</t>
  </si>
  <si>
    <t>Both acceptance conditions observed. A second Unverified incident for the same camera raised IntegrityError from the ux_detection_open_camera partial unique index. After the first incident was moved to Dismissed, a new incident for that camera was accepted and persisted. 2 passed.</t>
  </si>
  <si>
    <t>https://docs.google.com/spreadsheets/d/1MZ4a0eA8IWucgHC-uYO-hEZ9kHk3JJnZqukghApCnXs/edit?gid=0#gid=0&amp;range=A36:J36</t>
  </si>
  <si>
    <t>TC-INT-023</t>
  </si>
  <si>
    <t>TC-UNIT-036</t>
  </si>
  <si>
    <t>FR-13 Historical Logs Search and Filtering</t>
  </si>
  <si>
    <t>Historic alerts support intersecting filters.</t>
  </si>
  <si>
    <t>1. Run the automated unit selector:
uv run pytest backend/tests/test_alerts.py::TestGetAlerts::test_combined_filters_narrow_results
2. Confirm the selected test passes and capture the run output.</t>
  </si>
  <si>
    <t>Only alert records matching all selected filters are returned.</t>
  </si>
  <si>
    <t>https://docs.google.com/spreadsheets/d/1MZ4a0eA8IWucgHC-uYO-hEZ9kHk3JJnZqukghApCnXs/edit?gid=0#gid=0&amp;range=A37:J37</t>
  </si>
  <si>
    <t>Blank Result means the case has not yet been executed. No result is pre-populated.</t>
  </si>
  <si>
    <t>TC-UNIT-037</t>
  </si>
  <si>
    <t>The dashboard date range validator rejects an end date earlier than the start date.</t>
  </si>
  <si>
    <t>1. Call the shared date range validator with an end date one day before the start date.
2. Call it with equal start and end dates.
3. Call it with a normal forward range.</t>
  </si>
  <si>
    <t>1. The inverted range is rejected with the field error and no query is issued.
2. The equal and forward ranges are accepted.</t>
  </si>
  <si>
    <t>The shared date validator rejected the completed reversed range and accepted equal and forward ranges. The Detections page checks also passed for committed Philippine date bounds and filter handling.</t>
  </si>
  <si>
    <t>https://docs.google.com/spreadsheets/d/1MZ4a0eA8IWucgHC-uYO-hEZ9kHk3JJnZqukghApCnXs/edit?gid=0#gid=0&amp;range=A38:J38</t>
  </si>
  <si>
    <t>The date-range boundary case is covered by the existing unit and page tests.</t>
  </si>
  <si>
    <t>NFR-22 Modular AI Upgrades</t>
  </si>
  <si>
    <t>TC-UNIT-038</t>
  </si>
  <si>
    <t>Creating a camera establishes its active desired configuration.</t>
  </si>
  <si>
    <t>1. Run the automated unit selector:
uv run pytest backend/tests/test_cameras.py::TestCreateCamera::test_create_sets_desired_active
2. Confirm the selected test passes and capture the run output.</t>
  </si>
  <si>
    <t>A new camera has an Active desired state, config version 1, and expected initial status.</t>
  </si>
  <si>
    <t>https://docs.google.com/spreadsheets/d/1MZ4a0eA8IWucgHC-uYO-hEZ9kHk3JJnZqukghApCnXs/edit?gid=0#gid=0&amp;range=A39:J39</t>
  </si>
  <si>
    <t>A compatible replacement collision-detection model can be deployed through the existing AI integration boundary without source-code changes.</t>
  </si>
  <si>
    <t>TC-UNIT-039</t>
  </si>
  <si>
    <t>1. Establish a baseline with the currently deployed model using the authorized main RTSP feed; record its artifact/configuration, source revision, input/output contract, and class mapping.
2. Prepare a second compatible model, potentially newer or better, that satisfies the existing input, preprocessing, output, and event-contract requirements.
3. Change only the model artifact reference/configuration and perform the normal model reload or service restart; do not modify application source code, backend logic, dashboard logic, or the test harness.
4. Run the same main-feed path and verify model loading, inference, detection output, event creation, and downstream consumption.
5. Restore the original model by reversing the artifact/configuration change and verify that the baseline path still works.</t>
  </si>
  <si>
    <t>Disabling a camera changes desired state and configuration version.</t>
  </si>
  <si>
    <t>1. The replacement model loads and runs through the same integration boundary.
2. Swapping models requires no source-code, backend, dashboard, or event-contract changes; only the approved model artifact/configuration changes.
3. Required detection and event outputs remain compatible with downstream components.
4. The original model can be restored through the same mechanism.
5. Any accuracy or performance difference is recorded separately; this case proves replaceability, not that the replacement is better or produces identical per-clip decisions.</t>
  </si>
  <si>
    <t>1. Run the automated unit selector:
uv run pytest backend/tests/test_cameras.py::TestUpdateCamera::test_disable_sets_inactive_and_bumps_version
2. Confirm the selected test passes and capture the run output.</t>
  </si>
  <si>
    <t>The camera becomes inactive and its configuration version increases.</t>
  </si>
  <si>
    <t>https://docs.google.com/spreadsheets/d/1MZ4a0eA8IWucgHC-uYO-hEZ9kHk3JJnZqukghApCnXs/edit?gid=0#gid=0&amp;range=A40:J40</t>
  </si>
  <si>
    <t>TC-UNIT-040</t>
  </si>
  <si>
    <t>The shared camera form rejects a mixed text-and-number channel identifier.</t>
  </si>
  <si>
    <t>1. Run the automated unit selector:
pnpm --filter frontend test:run. Vitest: frontend/src/pages/cameras/cameraForm.test.ts &gt; validateCameraForm &gt; rejects a channel that is not a positive whole number
2. Confirm the selected test passes and capture the run output.</t>
  </si>
  <si>
    <t>A value such as 12abc is rejected with the positive-whole-number field error.</t>
  </si>
  <si>
    <t>Pass after fix, full frontend fast suite: 42 files / 243 tests passed.</t>
  </si>
  <si>
    <t>https://docs.google.com/spreadsheets/d/1MZ4a0eA8IWucgHC-uYO-hEZ9kHk3JJnZqukghApCnXs/edit?gid=0#gid=0&amp;range=A41:J41</t>
  </si>
  <si>
    <t>Initial targeted run: Fail, 12abc was accepted as channel 12. Fix: require digit-only positive safe integers. Original selector retested: Pass.</t>
  </si>
  <si>
    <t>TC-UNIT-041</t>
  </si>
  <si>
    <t>The shared camera form trims and normalizes a valid configuration.</t>
  </si>
  <si>
    <t>1. Run the automated unit selector:
pnpm --filter frontend test:run. Vitest: frontend/src/pages/cameras/cameraForm.test.ts &gt; validateCameraForm &gt; trims and normalizes a valid camera configuration
2. Confirm the selected test passes and capture the run output.</t>
  </si>
  <si>
    <t>Whitespace is removed and the valid channel is sent as a number.</t>
  </si>
  <si>
    <t>Pass, full frontend fast suite: 42 files / 243 tests passed.</t>
  </si>
  <si>
    <t>https://docs.google.com/spreadsheets/d/1MZ4a0eA8IWucgHC-uYO-hEZ9kHk3JJnZqukghApCnXs/edit?gid=0#gid=0&amp;range=A42:J42</t>
  </si>
  <si>
    <t>TC-UNIT-042</t>
  </si>
  <si>
    <t>The shared camera form enforces required and maximum-length name boundaries.</t>
  </si>
  <si>
    <t>1. Run the automated unit selector:
pnpm --filter frontend test:run. Vitest: frontend/src/pages/cameras/cameraForm.test.ts &gt; validateCameraForm &gt; reports the required and maximum-length camera-name boundaries
2. Confirm the selected test passes and capture the run output.</t>
  </si>
  <si>
    <t>Blank and over-100-character names receive the corresponding field errors.</t>
  </si>
  <si>
    <t>https://docs.google.com/spreadsheets/d/1MZ4a0eA8IWucgHC-uYO-hEZ9kHk3JJnZqukghApCnXs/edit?gid=0#gid=0&amp;range=A43:J43</t>
  </si>
  <si>
    <t>TC-UNIT-043</t>
  </si>
  <si>
    <t>Every camera configuration change increments config_version monotonically.</t>
  </si>
  <si>
    <t>1. Run the automated unit selector:
uv run pytest backend/tests/test_tc_unit_incidents.py::TestConfigVersionMonotonicity
2. Create a camera, then apply a name change, a channel change and an enablement change, reading config_version after each.</t>
  </si>
  <si>
    <t>config_version starts at 1 and increases by at least one on every persisted configuration change, and never decreases.</t>
  </si>
  <si>
    <t>Pass. config_version started at 1 and increased after rename, channel change, and enablement change without decreasing.</t>
  </si>
  <si>
    <t>https://docs.google.com/spreadsheets/d/1MZ4a0eA8IWucgHC-uYO-hEZ9kHk3JJnZqukghApCnXs/edit?gid=0#gid=0&amp;range=A44:J44</t>
  </si>
  <si>
    <t>Pass (qualified artifact-level check). The current .env remained AI_MODEL_PATH=ai_engine/epoch50.engine; an isolated AI_MODEL_PATH swap to ai_engine/epoch50.onnx resolved and loaded through config.resolve_model_path()/AccidentDetector with no source-code change. Fresh same-clip runs on the NVIDIA GeForce RTX 3050 Ti Laptop GPU: both artifacts produced 4 events on car-motor.mp4 (hit=true) and 0 events on airbase.mp4 (hit=false); both emitted the same event fields age_s, box, peak_conf, score, and t. The original .env remained unchanged and git status was clean. ONNX emitted a CUDAExecutionProvider plugin warning but exited 0. Limitation: ONNX is exported from the same epoch50 weights; no separately trained/better model or live RTSP/backend/dashboard session was available, so this is artifact-level NFR-22 evidence and should be repeated with a separately trained compatible candidate.</t>
  </si>
  <si>
    <t>TC-UNIT-044</t>
  </si>
  <si>
    <t>https://docs.google.com/spreadsheets/d/1EQqHktDNbIqhYyCKQZHQ5_mb501YQG7j_nVoxZILCEs/edit?gid=0#gid=0&amp;range=A24:J24</t>
  </si>
  <si>
    <t>NEW ADDITION PROPOSED BY CODEX, UAT ACCEPTANCE RULE</t>
  </si>
  <si>
    <t>Desired AI state resolution applies the documented precedence order.</t>
  </si>
  <si>
    <t>1. Run the automated unit selector:
uv run pytest backend/tests/test_camera_reconciliation.py::TestRecomputeDesiredState</t>
  </si>
  <si>
    <t>1. An open incident resolves to Paused with the incident reason, overriding cooldown.
2. An unexpired cooldown with no open incident resolves to Paused with the cooldown reason.
3. A disabled camera resolves to Inactive with the disabled reason.
4. A healthy enabled camera with no incident and no cooldown resolves to Active.</t>
  </si>
  <si>
    <t>All four acceptance conditions observed across the eight selector tests. An open incident resolves to Paused with reason incident and takes priority over a future cooldown. An unexpired cooldown with no open incident resolves to Paused with reason cooldown. A disabled camera resolves to Inactive. A healthy enabled camera with no incident and no cooldown resolves to Active. A cooldown exactly at the current instant is treated as expired. 8 passed.</t>
  </si>
  <si>
    <t>https://docs.google.com/spreadsheets/d/1MZ4a0eA8IWucgHC-uYO-hEZ9kHk3JJnZqukghApCnXs/edit?gid=0#gid=0&amp;range=A45:J45</t>
  </si>
  <si>
    <t>TC-UNIT-045</t>
  </si>
  <si>
    <t>Restoring a removed camera is blocked when its identifiers collide with an active camera.</t>
  </si>
  <si>
    <t>1. Run the automated unit selector:
uv run pytest backend/tests/test_cameras.py::TestCameraRestore</t>
  </si>
  <si>
    <t>1. The first restore attempt is rejected with the duplicate configuration error and the record stays inactive.
2. The second restore attempt reactivates the original record with its history intact.</t>
  </si>
  <si>
    <t>Both acceptance conditions observed. Restore was rejected 409 when the soft-deleted record collided with an active camera on name, on name differing only by case, or on channel_id, and the record stayed inactive. With the conflicting active camera removed, the round-trip restore reactivated the original record with its history intact. 8 passed.</t>
  </si>
  <si>
    <t>https://docs.google.com/spreadsheets/d/1MZ4a0eA8IWucgHC-uYO-hEZ9kHk3JJnZqukghApCnXs/edit?gid=0#gid=0&amp;range=A46:J46</t>
  </si>
  <si>
    <t>TC-UNIT-046</t>
  </si>
  <si>
    <t>A fresh retained health sample reports current readings.</t>
  </si>
  <si>
    <t>1. Run the automated unit selector:
uv run pytest backend/tests/test_system_health.py::TestHealthLiveEndpoint::test_fresh_sample_reports_readings_and_is_not_stale
2. Confirm the selected test passes and capture the run output.</t>
  </si>
  <si>
    <t>The authenticated health response contains the sample and is not marked stale.</t>
  </si>
  <si>
    <t>https://docs.google.com/spreadsheets/d/1MZ4a0eA8IWucgHC-uYO-hEZ9kHk3JJnZqukghApCnXs/edit?gid=0#gid=0&amp;range=A47:J47</t>
  </si>
  <si>
    <t>TC-UNIT-047</t>
  </si>
  <si>
    <t>A stale AI status check-in is presented as an unresponsive camera.</t>
  </si>
  <si>
    <t>1. Run the automated unit selector:
uv run pytest backend/tests/test_cameras.py::TestPresentedStatuses::test_presented_unresponsive_after_stale_heartbeat
2. Confirm the selected test passes and capture the run output.</t>
  </si>
  <si>
    <t>A stale enabled camera is displayed as Unresponsive rather than healthy.</t>
  </si>
  <si>
    <t>https://docs.google.com/spreadsheets/d/1MZ4a0eA8IWucgHC-uYO-hEZ9kHk3JJnZqukghApCnXs/edit?gid=0#gid=0&amp;range=A48:J48</t>
  </si>
  <si>
    <t>TC-UNIT-048</t>
  </si>
  <si>
    <t>FR-16 AI Performance</t>
  </si>
  <si>
    <t>Administrator performance analytics provides global and per-camera metrics.</t>
  </si>
  <si>
    <t>1. Run the automated unit selector:
uv run pytest backend/tests/test_analytics.py::TestPerformanceAnalytics::test_performance_returns_global_and_per_camera_metrics
2. Confirm the selected test passes and capture the run output.</t>
  </si>
  <si>
    <t>The Admin metrics response contains correctly aggregated global and per-camera data.</t>
  </si>
  <si>
    <t>Pass, P29 targeted backend suite: 227 passed. Admin performance success and Operator denial included.</t>
  </si>
  <si>
    <t>https://docs.google.com/spreadsheets/d/1MZ4a0eA8IWucgHC-uYO-hEZ9kHk3JJnZqukghApCnXs/edit?gid=0#gid=0&amp;range=A49:J49</t>
  </si>
  <si>
    <t>Existing evidence refreshed for the Administrator-only boundary.</t>
  </si>
  <si>
    <t>TC-UNIT-049</t>
  </si>
  <si>
    <t>Precision calculation is guarded against an empty verification baseline.</t>
  </si>
  <si>
    <t>1. Run the automated unit selector:
uv run pytest backend/tests/test_tc_unit_platform.py::TestPrecisionGuard</t>
  </si>
  <si>
    <t>1. The empty dataset returns a null or empty-state precision value with no division error raised.
2. The populated dataset returns a precision of 0.50.</t>
  </si>
  <si>
    <t>Both acceptance conditions observed. _compute_precision(0, 0) returned None with no division error raised, which is the documented null empty-state rather than a zero. _compute_precision(1, 1) returned 0.50. 2 passed.</t>
  </si>
  <si>
    <t>https://docs.google.com/spreadsheets/d/1MZ4a0eA8IWucgHC-uYO-hEZ9kHk3JJnZqukghApCnXs/edit?gid=0#gid=0&amp;range=A50:J50</t>
  </si>
  <si>
    <t>TC-UNIT-050</t>
  </si>
  <si>
    <t>Dashboard analytics provides KPIs, frequency, and every hour bucket.</t>
  </si>
  <si>
    <t>1. Run the automated unit selector:
uv run pytest backend/tests/test_analytics.py::TestDashboardAnalytics::test_dashboard_returns_kpis_frequency_and_full_hour_series
2. Confirm the selected test passes and capture the run output.</t>
  </si>
  <si>
    <t>The analytics message contains the requested KPI, frequency, and complete time-series data.</t>
  </si>
  <si>
    <t>https://docs.google.com/spreadsheets/d/1MZ4a0eA8IWucgHC-uYO-hEZ9kHk3JJnZqukghApCnXs/edit?gid=0#gid=0&amp;range=A51:J51</t>
  </si>
  <si>
    <t>TC-UNIT-051</t>
  </si>
  <si>
    <t>A date window with no previous-period baseline exposes an honest null delta.</t>
  </si>
  <si>
    <t>1. Run the automated unit selector:
uv run pytest backend/tests/test_analytics.py::TestDashboardDeltas::test_empty_previous_window_gives_null_not_zero_not_error
2. Confirm the selected test passes and capture the run output.</t>
  </si>
  <si>
    <t>The dashboard reports null instead of inventing a zero percentage change.</t>
  </si>
  <si>
    <t>https://docs.google.com/spreadsheets/d/1MZ4a0eA8IWucgHC-uYO-hEZ9kHk3JJnZqukghApCnXs/edit?gid=0#gid=0&amp;range=A52:J52</t>
  </si>
  <si>
    <t>TC-UNIT-052</t>
  </si>
  <si>
    <t>FR-18 Report Generation and Data Export</t>
  </si>
  <si>
    <t>A queued incident export completes and downloads its CSV artifact.</t>
  </si>
  <si>
    <t>1. Run the automated unit selector:
uv run pytest backend/tests/test_exports.py::TestJobLifecycle::test_job_processing_completes_and_downloads_incidents_csv
2. Confirm the selected test passes and capture the run output.</t>
  </si>
  <si>
    <t>The queued job reaches completion and the expected CSV can be downloaded.</t>
  </si>
  <si>
    <t>https://docs.google.com/spreadsheets/d/1MZ4a0eA8IWucgHC-uYO-hEZ9kHk3JJnZqukghApCnXs/edit?gid=0#gid=0&amp;range=A53:J53</t>
  </si>
  <si>
    <t>TC-UNIT-053</t>
  </si>
  <si>
    <t>Operators see only help articles available to their role.</t>
  </si>
  <si>
    <t>1. Run the automated unit selector:
uv run pytest backend/tests/test_help.py::TestRoleFilter::test_operator_list_excludes_admin_only_articles
2. Confirm the selected test passes and capture the run output.</t>
  </si>
  <si>
    <t>Administrator-only help content is excluded from the Operator list.</t>
  </si>
  <si>
    <t>https://docs.google.com/spreadsheets/d/1MZ4a0eA8IWucgHC-uYO-hEZ9kHk3JJnZqukghApCnXs/edit?gid=0#gid=0&amp;range=A54:J54</t>
  </si>
  <si>
    <t>TC-UNIT-054</t>
  </si>
  <si>
    <t>Help search remains available when FTS5 is not installed.</t>
  </si>
  <si>
    <t>1. Run the automated unit selector:
uv run pytest backend/tests/test_help.py::TestFtsFallback::test_like_search_used_when_fts5_table_is_unavailable
2. Confirm the selected test passes and capture the run output.</t>
  </si>
  <si>
    <t>The help centre safely falls back to LIKE search.</t>
  </si>
  <si>
    <t>https://docs.google.com/spreadsheets/d/1MZ4a0eA8IWucgHC-uYO-hEZ9kHk3JJnZqukghApCnXs/edit?gid=0#gid=0&amp;range=A55:J55</t>
  </si>
  <si>
    <t>Denominator: all 33 planned applicable participant-stage executions (27 Operator and 6 Administrator). Not Executed, Blocked, and Retest Required do not count as passes. Blocked and Retest Required remain unresolved and prevent full completion.</t>
  </si>
  <si>
    <t>TC-UNIT-055</t>
  </si>
  <si>
    <t>Dedicated AI Performance guidance is Admin-only and shared Operator guidance contains no restricted dead link.</t>
  </si>
  <si>
    <t>1. Run the automated unit selector:
uv run pytest backend/tests/test_help.py::TestRoleFilter::test_real_ai_performance_guidance_is_admin_only_and_shared_articles_have_no_dead_links
2. Confirm the selected test passes and capture the run output.</t>
  </si>
  <si>
    <t>Operator list/detail/search hide the restricted articles while Administrator search retains them and shared articles remain readable.</t>
  </si>
  <si>
    <t>Eligibility requires all 33 executions completed, at least 95% passed, zero open Critical or Major defects, a SUS overall mean of at least 68, all readiness items marked Ready, and the separate formal sign-off completed by the authorized representative.</t>
  </si>
  <si>
    <t>Pass, P29 targeted backend suite: help role/list/search/detail coverage included.</t>
  </si>
  <si>
    <t>https://docs.google.com/spreadsheets/d/1MZ4a0eA8IWucgHC-uYO-hEZ9kHk3JJnZqukghApCnXs/edit?gid=0#gid=0&amp;range=A56:J56</t>
  </si>
  <si>
    <t>Why added: participant-stage execution is the smallest consistent unit already required for timings, assistance observations, and evidence. It prevents incomplete participant stages from being omitted from the acceptance denominator.</t>
  </si>
  <si>
    <t>TC-UNIT-056</t>
  </si>
  <si>
    <t>Help article full-text index triggers stay synchronised with the base table.</t>
  </si>
  <si>
    <t>This is a proposed control and should be carried into the consolidated test plan if the team approves it.</t>
  </si>
  <si>
    <t>1. Run the automated unit selector:
uv run pytest backend/tests/test_tc_unit_platform.py::TestHelpFtsTriggerSync</t>
  </si>
  <si>
    <t>1. The inserted article is returned by search.
2. After update, only the current body text matches.
3. After delete, the article is absent from the index and from search results.</t>
  </si>
  <si>
    <t>All three acceptance conditions observed against the three FTS5 sync triggers. An inserted article was returned by a search for a term present only in its body. After the body was updated, the new term matched and the removed term no longer did. After deletion the article was absent from search. 3 passed.</t>
  </si>
  <si>
    <t>https://docs.google.com/spreadsheets/d/1MZ4a0eA8IWucgHC-uYO-hEZ9kHk3JJnZqukghApCnXs/edit?gid=0#gid=0&amp;range=A57:J57</t>
  </si>
  <si>
    <t>TC-UNIT-057</t>
  </si>
  <si>
    <t>UAT Key Metric</t>
  </si>
  <si>
    <t>FR-20 Activity Audit Trail</t>
  </si>
  <si>
    <t>A user deletion writes an audit record naming its target.</t>
  </si>
  <si>
    <t>Current Value</t>
  </si>
  <si>
    <t>1. Run the automated unit selector:
uv run pytest backend/tests/test_users.py::TestDeleteUser::test_delete_is_audited_with_target_username
2. Confirm the selected test passes and capture the run output.</t>
  </si>
  <si>
    <t>Target / Interpretation</t>
  </si>
  <si>
    <t>The audit record captures the destructive action and target username.</t>
  </si>
  <si>
    <t>Planned participant-stage executions</t>
  </si>
  <si>
    <t>https://docs.google.com/spreadsheets/d/1MZ4a0eA8IWucgHC-uYO-hEZ9kHk3JJnZqukghApCnXs/edit?gid=0#gid=0&amp;range=A58:J58</t>
  </si>
  <si>
    <t>TC-UNIT-058</t>
  </si>
  <si>
    <t>Hourly telemetry aggregation computes correct averages and peak temperature.</t>
  </si>
  <si>
    <t>1. Run the automated unit selectors:
uv run pytest backend/tests/test_system_health.py::TestRollupHour</t>
  </si>
  <si>
    <t>1. avg_cpu_usage, avg_gpu_usage, and avg_ram_usage equal the arithmetic mean of the twelve samples.
2. peak_gpu_temp equals the maximum sampled temperature.
3. Exactly one summary row exists for that hour block.</t>
  </si>
  <si>
    <t>All three acceptance conditions observed. Twelve five-minute raw samples in one UTC hour produced a summary whose avg_cpu_usage, avg_gpu_usage and avg_ram_usage each equalled the arithmetic mean of the twelve, and whose peak_gpu_temp equalled the maximum sampled temperature. Re-running the rollup for the same hour left exactly one summary row via the hour_start unique key rather than a duplicate. 5 passed.</t>
  </si>
  <si>
    <t>https://docs.google.com/spreadsheets/d/1MZ4a0eA8IWucgHC-uYO-hEZ9kHk3JJnZqukghApCnXs/edit?gid=0#gid=0&amp;range=A59:J59</t>
  </si>
  <si>
    <t>TC-UNIT-059</t>
  </si>
  <si>
    <t>Telemetry pruning honours the 48 hour raw and 30 day hourly retention windows.</t>
  </si>
  <si>
    <t>1. Run the automated unit selectors:
uv run pytest backend/tests/test_system_health.py::TestPruneRaw backend/tests/test_system_health.py::TestPruneHourly
uv run pytest backend/tests/test_tc_unit_platform.py::TestTelemetryRetentionWindows</t>
  </si>
  <si>
    <t>1. Raw samples older than 48 hours are deleted and newer samples remain.
2. Hourly summaries older than 30 days are deleted and newer summaries remain.</t>
  </si>
  <si>
    <t>Both acceptance conditions observed. A raw sample exactly 48 hours old was deleted while one at 47h59m survived. An hourly summary exactly 30 days old was deleted while one at 29d23h survived. The configured windows were separately confirmed as HEALTH_RAW_RETENTION_HOURS 48 and HEALTH_HOURLY_RETENTION_DAYS 30, so the boundary tests assert the window the system actually uses. 3 passed.</t>
  </si>
  <si>
    <t>https://docs.google.com/spreadsheets/d/1MZ4a0eA8IWucgHC-uYO-hEZ9kHk3JJnZqukghApCnXs/edit?gid=0#gid=0&amp;range=A60:J60</t>
  </si>
  <si>
    <t>TC-UNIT-060</t>
  </si>
  <si>
    <t>NFR-06 Report Generation Speed and Export Scalability</t>
  </si>
  <si>
    <t>Export sizing routes requests to the synchronous or asynchronous path at the documented ceilings.</t>
  </si>
  <si>
    <t>1. Run the automated unit selector:
uv run pytest backend/tests/test_tc_unit_platform.py::TestExportSizing</t>
  </si>
  <si>
    <t>1. PDF at 9,999 rows and CSV at 49,999 rows are planned as synchronous downloads.
2. PDF at 10,001 rows and CSV at 50,001 rows are planned as queued background jobs.</t>
  </si>
  <si>
    <t>Both acceptance conditions observed against EXPORT_PDF_MAX_ROWS 10000 and EXPORT_CSV_MAX_ROWS 50000. PDF at 9,999 rows and CSV at 49,999 rows passed the synchronous row-limit check. PDF at 10,001 and CSV at 50,001 were refused with 413 naming the asynchronous jobs endpoint, so neither is served inline. Note on wording: the implementation refuses the oversized synchronous request and directs the caller to the queued job endpoint rather than silently converting it into a background job. 5 passed.</t>
  </si>
  <si>
    <t>https://docs.google.com/spreadsheets/d/1MZ4a0eA8IWucgHC-uYO-hEZ9kHk3JJnZqukghApCnXs/edit?gid=0#gid=0&amp;range=A61:J61</t>
  </si>
  <si>
    <t>TC-UNIT-061</t>
  </si>
  <si>
    <t>A completed export job receives a 72 hour artifact expiry.</t>
  </si>
  <si>
    <t>1. Run the automated unit selector:
uv run pytest backend/tests/test_tc_unit_platform.py::TestExportArtifactExpiry</t>
  </si>
  <si>
    <t>1. expires_at equals the completion instant plus 72 hours.
2. The cleanup utility removes the expired artifact and marks the job record accordingly, leaving unexpired artifacts untouched.</t>
  </si>
  <si>
    <t>Both acceptance conditions observed. A completed export job carried an expires_at exactly 72 hours after its completed_at, matching EXPORT_ARTIFACT_TTL_HOURS 72. The cleanup sweep left that unexpired artifact on disk with the job still completed and its artifact_path unchanged. Removal of an expired artifact and the matching status change to expired are covered by backend/tests/test_exports.py, which drives the same sweep with the TTL forced to zero. 3 passed.</t>
  </si>
  <si>
    <t>https://docs.google.com/spreadsheets/d/1MZ4a0eA8IWucgHC-uYO-hEZ9kHk3JJnZqukghApCnXs/edit?gid=0#gid=0&amp;range=A62:J62</t>
  </si>
  <si>
    <t>TC-UNIT-062</t>
  </si>
  <si>
    <t>NFR-11 Alert Distinctiveness</t>
  </si>
  <si>
    <t>Configured alarm keys map to distinct available sound assets.</t>
  </si>
  <si>
    <t>33</t>
  </si>
  <si>
    <t>1. Run the automated unit selector:
pnpm --filter frontend test:run. Vitest: frontend/src/utils/detectionSound.test.ts &gt; detectionSound utility &gt; resolves correct URLs for known sound keys and falls back to default
2. Confirm the selected test passes and capture the run output.</t>
  </si>
  <si>
    <t>Known sound choices resolve to their expected assets and unknown choices use the safe default.</t>
  </si>
  <si>
    <t>Completed participant-stage executions</t>
  </si>
  <si>
    <t>https://docs.google.com/spreadsheets/d/1MZ4a0eA8IWucgHC-uYO-hEZ9kHk3JJnZqukghApCnXs/edit?gid=0#gid=0&amp;range=A63:J63</t>
  </si>
  <si>
    <t>TC-UNIT-063</t>
  </si>
  <si>
    <t>The on-disk waiting queue resumes delivery of an event left pending by a prior crash.</t>
  </si>
  <si>
    <t>1. Run the automated unit selector:
uv run pytest ai_engine/tests/test_outbox.py::test_restart_drains_events_left_pending_from_a_prior_crash
2. Confirm the selected test passes and capture the run output.</t>
  </si>
  <si>
    <t>A restart delivers the pending event instead of silently losing it.</t>
  </si>
  <si>
    <t>https://docs.google.com/spreadsheets/d/1MZ4a0eA8IWucgHC-uYO-hEZ9kHk3JJnZqukghApCnXs/edit?gid=0#gid=0&amp;range=A64:J64</t>
  </si>
  <si>
    <t>Participant-stage pass rate</t>
  </si>
  <si>
    <t>TC-UNIT-064</t>
  </si>
  <si>
    <t>A corrupt durable event is set aside without blocking subsequent events.</t>
  </si>
  <si>
    <t>1. Run the automated unit selector:
uv run pytest ai_engine/tests/test_outbox.py::test_corrupt_json_is_quarantined_and_does_not_block_the_rest
2. Confirm the selected test passes and capture the run output.</t>
  </si>
  <si>
    <t>The bad message is set aside and later pending events remain processable.</t>
  </si>
  <si>
    <t>https://docs.google.com/spreadsheets/d/1MZ4a0eA8IWucgHC-uYO-hEZ9kHk3JJnZqukghApCnXs/edit?gid=0#gid=0&amp;range=A65:J65</t>
  </si>
  <si>
    <t>TC-UNIT-065</t>
  </si>
  <si>
    <t>Session revocation records the correct reason for each revocation trigger.</t>
  </si>
  <si>
    <t>1. Run the automated unit selector:
uv run pytest backend/tests/test_tc_unit_platform.py::TestSessionRevocationReasons</t>
  </si>
  <si>
    <t>Each session carries a populated revoked_at and the reason value matching its trigger (logout, password_change, admin_revoke), and no revoked session validates afterwards.</t>
  </si>
  <si>
    <t>Acceptance observed for all three triggers. Sessions revoked through logout, password_change and admin_revoke each carried a populated revoked_at and a revocation_reason matching its own trigger, and none validated afterwards, with get_active_session returning None in every case. 3 passed.</t>
  </si>
  <si>
    <t>https://docs.google.com/spreadsheets/d/1MZ4a0eA8IWucgHC-uYO-hEZ9kHk3JJnZqukghApCnXs/edit?gid=0#gid=0&amp;range=A66:J66</t>
  </si>
  <si>
    <t>TC-UNIT-066</t>
  </si>
  <si>
    <t>Every legal alert transition records the correct audit action.</t>
  </si>
  <si>
    <t>1. Run the automated unit selector:
uv run pytest backend/tests/test_alerts.py::TestTransitionSideEffects::test_audit_log_action_is_correct_for_every_legal_transition
2. Confirm the selected test passes and capture the run output.</t>
  </si>
  <si>
    <t>Each state transition and its audit action agree.</t>
  </si>
  <si>
    <t>https://docs.google.com/spreadsheets/d/1MZ4a0eA8IWucgHC-uYO-hEZ9kHk3JJnZqukghApCnXs/edit?gid=0#gid=0&amp;range=A67:J67</t>
  </si>
  <si>
    <t>&gt;=95%</t>
  </si>
  <si>
    <t>TC-UNIT-067</t>
  </si>
  <si>
    <t>Open Critical or Major defects</t>
  </si>
  <si>
    <t>Audit detail conversion for storage masks sensitive values before the row is written.</t>
  </si>
  <si>
    <t>1. Run the automated unit selectors:
uv run pytest backend/tests/test_tc_unit_platform.py::TestAuditDetailMasking
uv run pytest backend/tests/test_audit.py::TestAuditRedaction
2. Build a detail containing password, token and api_key keys plus a free-text field holding a secret-shaped string.</t>
  </si>
  <si>
    <t>1. Every sensitive key is fully hidden.
2. The secret-shaped substring in free text is blanked out.
3. All non-sensitive context fields survive unchanged.</t>
  </si>
  <si>
    <t>Pass. Sensitive keys were masked, the token assignment in free text was redacted, and ordinary context fields remained unchanged.</t>
  </si>
  <si>
    <t>https://docs.google.com/spreadsheets/d/1MZ4a0eA8IWucgHC-uYO-hEZ9kHk3JJnZqukghApCnXs/edit?gid=0#gid=0&amp;range=A68:J68</t>
  </si>
  <si>
    <t>TC-UNIT-068</t>
  </si>
  <si>
    <t>A missing configured model fails closed rather than falling back.</t>
  </si>
  <si>
    <t>1. Run the automated unit selector:
uv run pytest ai_engine/tests/test_config.py::test_a_missing_model_is_fatal_rather_than_falling_back
2. Confirm the selected test passes and capture the run output.</t>
  </si>
  <si>
    <t>Configuration raises a clear error and never silently selects another model.</t>
  </si>
  <si>
    <t>0</t>
  </si>
  <si>
    <t>https://docs.google.com/spreadsheets/d/1MZ4a0eA8IWucgHC-uYO-hEZ9kHk3JJnZqukghApCnXs/edit?gid=0#gid=0&amp;range=A69:J69</t>
  </si>
  <si>
    <t>Overall SUS mean</t>
  </si>
  <si>
    <t>&gt;=68</t>
  </si>
  <si>
    <t>Readiness items marked Ready</t>
  </si>
  <si>
    <t>9 of 9</t>
  </si>
  <si>
    <t>Eligibility for formal sign-off</t>
  </si>
  <si>
    <t>Eligible only when every gate above passes</t>
  </si>
  <si>
    <t>Recorded acceptance decision</t>
  </si>
  <si>
    <t>Pending / Accepted / Accepted with Conditions / Rejected</t>
  </si>
  <si>
    <t>Performance Assessment</t>
  </si>
  <si>
    <t>AI-VAL-001</t>
  </si>
  <si>
    <t>NFR-01 Algorithmic Accuracy / Objective 3 Validated performance targets</t>
  </si>
  <si>
    <t>Frame-level model validation on the recorded split at IoU ≥ 0.50.</t>
  </si>
  <si>
    <t>1. Freeze epoch50.pt and the final two-class configuration.
2. Run detector evaluation on the recorded validation split at IoU 0.50.
3. Record mAP@0.50 and available accident-class metrics.
4. Record split composition and validation limitations.</t>
  </si>
  <si>
    <t>The recorded validation run completes at IoU 0.50 and includes mAP@0.50, class-level metrics, split composition, and leakage limitations. If the retained Objective 3 threshold is applied, mAP@0.50 ≥ 0.85 is recorded as a qualified validation-split requirement result; it is not presented as independent operational detection accuracy.</t>
  </si>
  <si>
    <t>2026-08-09</t>
  </si>
  <si>
    <t>Recorded result used: accident mAP@0.50 = 0.956 at epoch 50 for the v3 full retrain. The original validation split was not available for rerun. The metric is retained as a qualified validation-split result, with frame-level incident leakage disclosed; it is not treated as independent operational detection accuracy.</t>
  </si>
  <si>
    <t>https://docs.google.com/spreadsheets/d/1Mw61jA0dvTI-haDjuVf5AqYuY6ybAJrZ5WYRBkRxA3s/edit?gid=0#gid=0&amp;range=A2:J2</t>
  </si>
  <si>
    <t>Archival result used; no fresh rerun. Validation-split limitation retained.</t>
  </si>
  <si>
    <t>Qualified gate — validity limited</t>
  </si>
  <si>
    <t>AI-VAL-002</t>
  </si>
  <si>
    <t>NFR-01 Algorithmic Accuracy / Objective 1 Real-time collision detection pipeline</t>
  </si>
  <si>
    <t>Event-level detection recall on the 16 labelled Lipa CDRRMO crash clips.</t>
  </si>
  <si>
    <t>1. Run the frozen epoch50 reference pipeline on each of the 16 labelled crash clips without retuning.
2. Count a hit only from onset minus 2 seconds through end plus 15 seconds.
3. Record true-positive and false-negative outcomes per clip.
4. Preserve per-clip results with the aggregate.</t>
  </si>
  <si>
    <t>All 16 crash clips are processed once with the frozen configuration, and a complete per-clip hit/miss table plus aggregate recall is saved. Unless an event-recall threshold was approved before execution, the recall is descriptive only and no threshold is invented after seeing the result.</t>
  </si>
  <si>
    <t>2026-08-28</t>
  </si>
  <si>
    <t>Completed on 2026-09-15. All 17 labelled clips processed with epoch50.pt and fixed configuration. Overall crash recall 8/16 (50%); standard 8/10 (80%); hard 0/6 (0%); 3 false positives over 11.0 clean minutes (0.27 FP/min); airbase produced 0 events.</t>
  </si>
  <si>
    <t>https://docs.google.com/spreadsheets/d/1Mw61jA0dvTI-haDjuVf5AqYuY6ybAJrZ5WYRBkRxA3s/edit?gid=0#gid=0&amp;range=A3:J3</t>
  </si>
  <si>
    <t>Local evidence: ai-val-002-2026-09-15/report.md. Shared Drive evidence uploaded; link is in column I.</t>
  </si>
  <si>
    <t>Descriptive only — no recall threshold</t>
  </si>
  <si>
    <t>AI-VAL-003</t>
  </si>
  <si>
    <t>Standard- and hard-difficulty event recall is reported separately.</t>
  </si>
  <si>
    <t>1. Use the frozen pipeline and fixed scoring window without retuning.
2. Replay the 10 preclassified standard clips.
3. Replay the 6 preclassified hard clips.
4. Record hits, misses, denominators, and visible conditions associated with misses.</t>
  </si>
  <si>
    <t>Standard and hard outcomes are reported with denominators and miss conditions. The hard-case result is a limitation finding, not a test failure unless a hard-recall minimum was approved before execution.</t>
  </si>
  <si>
    <t>Derived from the same frozen run: standard recall 8/10 (80%); hard recall 0/6 (0%); overall 8/16 (50%). All six preclassified hard clips were misses.</t>
  </si>
  <si>
    <t>TC-REL-001</t>
  </si>
  <si>
    <t>TC-PERF-001</t>
  </si>
  <si>
    <t>https://docs.google.com/spreadsheets/d/1Mw61jA0dvTI-haDjuVf5AqYuY6ybAJrZ5WYRBkRxA3s/edit?gid=0#gid=0&amp;range=A4:J4</t>
  </si>
  <si>
    <t>NFR-02 Inference Latency</t>
  </si>
  <si>
    <t>Derived from the AI-VAL-002 report. Shared Drive evidence uploaded; link is in column I.</t>
  </si>
  <si>
    <t>Single-frame AI analysis delay on the prototype edge device.</t>
  </si>
  <si>
    <t>Descriptive only</t>
  </si>
  <si>
    <t>AI-VAL-004</t>
  </si>
  <si>
    <t>NFR-01 Algorithmic Accuracy</t>
  </si>
  <si>
    <t>False-positive behavior on clean footage and the declared negative clip.</t>
  </si>
  <si>
    <t>1. Run the frozen epoch50 reference checkpoint on airbase and clean portions of labelled crash clips.
2. Score events outside fixed crash windows as false positives.
3. Record clean-footage denominator and inspect every false positive.
4. Keep any TensorRT-engine count separate from the checkpoint reference.</t>
  </si>
  <si>
    <t>All clean portions and the declared negative clip are included; the report records false positives, clean-footage minutes, FP/min, and inspection notes. The result is descriptive unless an FP/min or negative-footage criterion was approved; one negative clip does not establish deployment-wide specificity.</t>
  </si>
  <si>
    <t>Derived from the same frozen run: 3 false positives over 11.0 clean minutes (0.27 FP/min); airbase produced 0 events. FP timestamps: car-motor-motor 21.66s, car-motor 58.30s, motor-motor 12.70s.</t>
  </si>
  <si>
    <t>https://docs.google.com/spreadsheets/d/1Mw61jA0dvTI-haDjuVf5AqYuY6ybAJrZ5WYRBkRxA3s/edit?gid=0#gid=0&amp;range=A5:J5</t>
  </si>
  <si>
    <t>Descriptive only — no FP/min threshold</t>
  </si>
  <si>
    <t>AI-VAL-005</t>
  </si>
  <si>
    <t>The adopted epoch50 checkpoint is selected using model behavior on labelled local footage.</t>
  </si>
  <si>
    <t>1. Evaluate each retained checkpoint saved at the 10-epoch interval with the same labelled-clip harness.
2. Record event recall, false-positive count/rate, and latency for every checkpoint.
3. Compare epoch50 with best.pt.
4. Record the selection decision and reason.</t>
  </si>
  <si>
    <t>All retained checkpoints are evaluated under the same pre-registered rule and the selection rationale is recorded. This case passes only when the selection procedure and evidence are complete; it does not pass merely because a checkpoint is named best.pt.</t>
  </si>
  <si>
    <t>2026-08-10</t>
  </si>
  <si>
    <t>Archival result used: v3 evaluated eight exported checkpoints using the labelled-clip event harness. epoch50 matched best.pt on recall but produced 3 versus 5 false positives, so epoch50 was selected. No fresh checkpoint sweep was run.</t>
  </si>
  <si>
    <t>https://docs.google.com/spreadsheets/d/1Mw61jA0dvTI-haDjuVf5AqYuY6ybAJrZ5WYRBkRxA3s/edit?gid=0#gid=0&amp;range=A6:J6</t>
  </si>
  <si>
    <t>Historical selection evidence used; field-behavior rule and trade-off retained.</t>
  </si>
  <si>
    <t>Process outcome</t>
  </si>
  <si>
    <r>
      <rPr>
        <rFont val="Arial"/>
        <color rgb="FFE67E22"/>
        <sz val="10.0"/>
      </rPr>
      <t>1. Confirm the deployed model: ai_engine/epoch50.engine exists and is the TensorRT artifact selected by the runtime configuration.</t>
    </r>
    <r>
      <rPr>
        <rFont val="Arial"/>
        <color rgb="FF000000"/>
        <sz val="10.0"/>
      </rPr>
      <t xml:space="preserve">
2. Start the isolated stack (MediaMTX on :8555 publishing all 8 channels, backend on :8001, AI engine attached) and let it run with 1-8 concurrent 2K streams.
3. Repeatedly sample GET /api/system/health/live as an authenticated Administrator over several minutes and record avg_inference_latency_ms and sample_camera_count from each response.
4. Compute the observed range, and separately measure the actual per-batch GPU cost via the dedicated micro-benchmark script saved at var/test-int/perf007_batch_harness.py (see TC-PERF-007) to cross-check.</t>
    </r>
  </si>
  <si>
    <t>AI-VAL-006</t>
  </si>
  <si>
    <t>1. Mean and 95th percentile AI analysis delay are at or below 100 ms per frame.
2. The maximum observed delay and its cause are recorded.
3. The batch size and stream count in force are stated with the result.</t>
  </si>
  <si>
    <t>Night-condition behavior is characterized without claiming universal nighttime robustness.</t>
  </si>
  <si>
    <t>1. Identify night footage in the approved Lipa evaluation corpus.
2. Run the frozen pipeline without changing thresholds or accumulator settings.
3. Record night hits, misses, and false-positive conditions separately.
4. Note visible conditions such as proximity or glare.</t>
  </si>
  <si>
    <t>Night footage is reported with its denominator, hits, misses, and false-positive conditions. Conclusions are limited to the tested subset; a night result is descriptive unless a nighttime acceptance threshold was approved.</t>
  </si>
  <si>
    <t>Archival condition analysis: 8 of 17 clips were identified as night; recorded night recall exceeded day recall. All 3 residual false positives occurred at night and involved nearby vehicles. The exact per-clip night numerator is not recoverable from the current machine-readable labels; no universal nighttime robustness claim is made.</t>
  </si>
  <si>
    <t>https://docs.google.com/spreadsheets/d/1Mw61jA0dvTI-haDjuVf5AqYuY6ybAJrZ5WYRBkRxA3s/edit?gid=0#gid=0&amp;range=A7:J7</t>
  </si>
  <si>
    <t>Archival condition analysis; exact night subset labels should be preserved if a future retest is needed.</t>
  </si>
  <si>
    <t>Descriptive only — no night threshold</t>
  </si>
  <si>
    <t>The TensorRT engine artifact was present and selected for the latency run. Health samples and batch measurements remained within the 100 ms inference-latency criterion on the tested demonstration configuration.</t>
  </si>
  <si>
    <t>AI-VAL-007</t>
  </si>
  <si>
    <t>The model's detection results are reported by difficulty, lighting, and capture source so aggregate recall does not hide weak subsets.</t>
  </si>
  <si>
    <t>1. Run the frozen epoch50 reference on the complete labelled corpus without retuning.
2. Produce separate event-level tables for standard and hard crashes, night footage, and NVR exports versus screen recordings.
3. Report hits, misses, false positives, denominators, and clean-footage duration for every reported subset.
4. Retain the complete 17-clip table and state the corpus limitations, including the absence of an untouched post-selection test split and uncertain incident independence.</t>
  </si>
  <si>
    <t>The complete 17-clip corpus and every reported subset are accounted for with hits, misses, false positives, denominators, and limitations. No clip or subset is silently excluded, and aggregate results are not generalized beyond the tested footage.</t>
  </si>
  <si>
    <t>Derived from the complete AI-VAL-002 run: all 17 clips accounted for (16 crash-labelled, 1 negative); standard 8/10; hard 0/6; NVR-only standard 7/8; source types and corpus limitations recorded. The lighting conclusion is recorded separately in AI-VAL-006.</t>
  </si>
  <si>
    <t>https://docs.google.com/spreadsheets/d/1Mw61jA0dvTI-haDjuVf5AqYuY6ybAJrZ5WYRBkRxA3s/edit?gid=0#gid=0&amp;range=A8:J8</t>
  </si>
  <si>
    <t>Derived from the AI-VAL-002 report; shared Drive evidence uploaded; link is in column I.</t>
  </si>
  <si>
    <t>Descriptive only — completeness</t>
  </si>
  <si>
    <t>AI-VAL-008</t>
  </si>
  <si>
    <t>NFR-01 Algorithmic Accuracy / Deployed AI artifact equivalence</t>
  </si>
  <si>
    <t>TensorRT deployment preserves the frozen epoch50 reference event outcomes at the declared operating point.</t>
  </si>
  <si>
    <t>1. Freeze epoch50.pt, the derived TensorRT engine, and the declared operating point.
2. Run the same labelled clip corpus with identical preprocessing, scoring window, confidence, image size, and accumulator settings.
3. Compare per-clip hit/miss outcomes between the reference checkpoint and engine.
4. Record any false-positive, event-count, latency, or numerical drift separately.</t>
  </si>
  <si>
    <t>The deployed engine produces no unapproved per-clip recall regression relative to the frozen reference at the declared operating point. Any false-positive or latency drift is recorded and dispositioned before the engine is accepted.</t>
  </si>
  <si>
    <t>Archival TensorRT parity result: all 17 per-clip hit/miss outcomes matched the epoch50 checkpoint. Native engine false positives were 4 versus 3 for the checkpoint; the same engine sampled at 10 FPS produced 3, matching the checkpoint. No recall regression was observed; false-positive drift is disclosed.</t>
  </si>
  <si>
    <t>https://docs.google.com/spreadsheets/d/1Mw61jA0dvTI-haDjuVf5AqYuY6ybAJrZ5WYRBkRxA3s/edit?gid=0#gid=0&amp;range=A9:J9</t>
  </si>
  <si>
    <t>Archival parity evidence; native-rate false-positive drift remains a documented deviation.</t>
  </si>
  <si>
    <t>Regression outcome</t>
  </si>
  <si>
    <t>AI-VAL-009</t>
  </si>
  <si>
    <t>NFR-01 Algorithmic Accuracy / NFR-03 Frame Rate Maintenance</t>
  </si>
  <si>
    <t>Detection behavior is characterized across operating cadence and source-resolution profiles.</t>
  </si>
  <si>
    <t>1. Keep the model, preprocessing, scoring window, and accumulator settings fixed.
2. Evaluate native-resolution footage at the approved cadence points (15, 10, 8, 6, and 5 FPS).
3. Evaluate any proposed 720p/substream profile separately from cadence.
4. Report per-clip hit/miss outcomes, recall, false positives per minute, latency, and any profile-specific losses.</t>
  </si>
  <si>
    <t>At each profile intended for deployment, no unapproved per-clip recall regression occurs relative to the reference. Cadence and source-resolution effects remain separately identifiable; any degradation is recorded as a limitation or failed requirement, not averaged away.</t>
  </si>
  <si>
    <t>Archival sensitivity result: reset-aware TensorRT preserved the native per-clip hit/miss pattern at 10, 8, 6, 5, and 3 FPS; 4 FPS missed motor-motor-night. False-positive totals varied by cadence. At 720p/640x360 source resolution, recall fell from 8/16 to 6/16, losing dpwh-red-car-motor and red-car-motor; source downscaling is not accuracy-neutral.</t>
  </si>
  <si>
    <t>https://docs.google.com/spreadsheets/d/1Mw61jA0dvTI-haDjuVf5AqYuY6ybAJrZ5WYRBkRxA3s/edit?gid=0#gid=0&amp;range=A10:J10</t>
  </si>
  <si>
    <t>Archival sensitivity evidence; 720p/substream is not accepted as accuracy-neutral and requires full re-evaluation for any selected profile.</t>
  </si>
  <si>
    <t>Descriptive / profile regression</t>
  </si>
  <si>
    <t>Snooze state survives a server restart.</t>
  </si>
  <si>
    <t>1. Snooze an active alert with a duration long enough to span a restart.
2. Restart the server.
3. Observe the alert and the re-alarm behaviour after recovery.</t>
  </si>
  <si>
    <t>1. The unexpired snooze is reconciled on startup and its remaining time is honoured.
2. Any snooze that expired during the outage causes the alarm to sound again once the alert is still Unverified.
3. No snoozed alert is silently lost.</t>
  </si>
  <si>
    <t>https://docs.google.com/spreadsheets/d/1UDclLn4n64_EUd2-2d-S4FgS6A6X6yIbf7f1m4JvLoQ/edit?gid=0#gid=0&amp;range=A2:J2</t>
  </si>
  <si>
    <t>PASS under accelerated restart simulation. Persisted snoozes were reconciled from a fresh service lifecycle. Unexpired deadlines remained pending, expired deadlines cleared for re-alarm, duplicate clearing was harmless, and frontend fake-timer checks confirmed audible re-alarm state.</t>
  </si>
  <si>
    <t>https://docs.google.com/spreadsheets/d/1uCPcrhjbDcjFAlDjyIUG-SEyjn-4W9vwjkUNLEed2FI/edit?gid=0#gid=0&amp;range=A2:J2</t>
  </si>
  <si>
    <t>No defect found.</t>
  </si>
  <si>
    <t>TC-PERF-002</t>
  </si>
  <si>
    <t>NFR-03 Frame Rate Maintenance</t>
  </si>
  <si>
    <t>Sustained per-camera processing rate across the configured stream set.</t>
  </si>
  <si>
    <t>1. Confirm all 8 configured channels are publishing: curl -s http://127.0.0.1:9997/v3/paths/list | python -c "import json,sys; d=json.load(sys.stdin); print(sum(1 for p in d['items'] if p['ready']),'of',len(d['items']))" and confirm it reports 8 of 8 ready.
2. Start the combined long-run harness saved at var/test-int/long_run_harness.py, which every 15 seconds calls GET /api/system/health/live as an authenticated Administrator and records avg_fps and sample_camera_count.
3. Let it run continuously and log every sample to var/test-int/long_run_results.json.
4. Compute the minimum, mean, and total seconds below 5 fps from the recorded samples once the run reaches or exceeds 15 minutes elapsed.</t>
  </si>
  <si>
    <t>1. Every camera sustains at least 5 frames per second, within the 5 to 15 frames per second target band, with 15 frames per second as the design target.
2. Any interval below 5 frames per second is recorded with its duration and trigger.
3. No camera silently stops reporting a frame rate.</t>
  </si>
  <si>
    <t>15-minute test completed with the existing epoch50.engine TensorRT configuration and an eight-channel MediaMTX profile. 61 authenticated health samples were collected every 15 seconds over 900.031 s. All 61 samples reported sample_camera_count=8; minimum avg_fps was 5.15, mean avg_fps was 6.778, and 0 samples / 0 seconds were below 5 FPS. MediaMTX confirmed 8 of 8 paths ready, and the final camera inventory was 8 connected and active. The health state was degraded only for DISK_WARNING; no FPS warning or missing-camera report occurred.</t>
  </si>
  <si>
    <t>var/test-int/long_run_results.json
var/test-int/mediamtx-perf002-8.yml</t>
  </si>
  <si>
    <t>Pass.</t>
  </si>
  <si>
    <t>TC-PERF-003</t>
  </si>
  <si>
    <t>NFR-04 Alert Response Time</t>
  </si>
  <si>
    <t>Alert delivery delay from event emission to dashboard rendering.</t>
  </si>
  <si>
    <t>1. Confirm a browser session is open against the deployed dashboard with the alert modal instrumented (see TC-SYS-004/AI-VAL-011 for the one browser-observed trial: detected_at 09:21:06.873765Z to ALERT_CONFIRM 09:21:25.561576Z, 18.7s end-to-end, not decomposed to isolate detection-to-modal-render alone).
2. Separately, using var/test-int/long_run_harness.py's decision_loop, drive repeated real detections through the actual state machine (8+ automated confirm/dismiss cycles recorded this session) and measure server-side detection-to-decision latency via the REST API and the live /ws/alerts channel.
3. Cross-reference against the isolated WebSocket-broadcast measurement from TC-SYS-008/TC-PERF-004: ALERT_STATUS_UPDATE delivered 24 ms after the acting client's confirm committed server-side.
4. Compare all recorded intervals against the 2.0 second requirement, and total the count of controlled events instrumented this way.</t>
  </si>
  <si>
    <t>1. The alert modal, snapshot, and audible alarm are presented within 2.0 seconds of detection for every recorded event.
2. The mean, 95th percentile, and maximum intervals are reported.
3. Any event exceeding 2.0 seconds is raised as a defect.</t>
  </si>
  <si>
    <t>No defect found in simulation. Repeat once with a real service restart for deployment evidence.</t>
  </si>
  <si>
    <t>Passed with controlled browser simulation. Thirty dev-injected detections produced the real Accident Detected modal and snapshot. Mean render was 668.2 ms, p95 was 887 ms, maximum was 1,395 ms, and all 30 were below 2 seconds. Focused frontend checks covered alarm invocation and snooze behavior.</t>
  </si>
  <si>
    <t>https://docs.google.com/spreadsheets/d/1UDclLn4n64_EUd2-2d-S4FgS6A6X6yIbf7f1m4JvLoQ/edit?gid=0#gid=0&amp;range=A4:J4</t>
  </si>
  <si>
    <t>Pass with declared simulation. The browser run used the isolated instance and the audio portion used component-level instrumentation.</t>
  </si>
  <si>
    <t>TC-PERF-004</t>
  </si>
  <si>
    <t>TC-REL-002</t>
  </si>
  <si>
    <t>NFR-04 Alert Response Time / Objective 2 Real-time alert dashboard</t>
  </si>
  <si>
    <t>Broadcast delay with multiple connected dashboard clients.</t>
  </si>
  <si>
    <t>1. Sign in as Operator A (dsahagun) in one session and Operator B (ealonzo) in a fully independent second session, both opening ws://127.0.0.1:8001/ws/alerts with their own session cookie on the handshake (see var/test-int/sys008_ws_harness or the equivalent script this session used for TC-SYS-008).
2. Let a live collision detection occur on camera 1 (channel1 publishing ai_engine/eval/clips/dekwatro.mp4, a real labelled 2K collision clip) while both sockets are connected and idle.
3. Record the exact UTC timestamp each socket receives the NEW_DETECTION frame for that event.
4. Have operator A issue POST /api/alerts/{log_id}/confirm and record the server-side commit timestamp.
5. Record the exact UTC timestamp operator B's still-open socket receives the resulting ALERT_STATUS_UPDATE frame, without B refreshing or reconnecting.</t>
  </si>
  <si>
    <t>1. All connected clients receive every alert message.
2. Delivery delay stays within the 2.0 second requirement at each client count tested.
3. No client is dropped from the group receiving alerts during the run.</t>
  </si>
  <si>
    <t>All three acceptance conditions observed. Both sockets received the same NEW_DETECTION frame for log_id 23 (this session's live trial). After operator A's confirm committed at 10:21:25.561576 UTC, operator B's untouched socket received ALERT_STATUS_UPDATE at 10:21:25.585 UTC, a 24 ms delivery delay, comfortably inside the 2.0 second requirement. Only 2 clients were exercised this session, short of the documented command-centre workstation count; neither client was dropped from the connection during the run.</t>
  </si>
  <si>
    <t>https://docs.google.com/spreadsheets/d/1UDclLn4n64_EUd2-2d-S4FgS6A6X6yIbf7f1m4JvLoQ/edit?gid=0#gid=0&amp;range=A5:J5</t>
  </si>
  <si>
    <t>TC-PERF-005</t>
  </si>
  <si>
    <t>Standard 30 day report download start time.</t>
  </si>
  <si>
    <r>
      <rPr>
        <rFont val="Arial"/>
        <color rgb="FFE67E22"/>
        <sz val="10.0"/>
      </rPr>
      <t>1. Confirm the 30-day operating-envelope dataset contains 300 detection records, representing the approximately 10 incidents/day assumption, within the selected date range.</t>
    </r>
    <r>
      <rPr>
        <rFont val="Arial"/>
        <color rgb="FF000000"/>
        <sz val="10.0"/>
      </rPr>
      <t xml:space="preserve">
2. As an authenticated Administrator, time a CSV request: curl -s -b "$COOKIE" "http://127.0.0.1:8001/api/alerts/export?format=csv&amp;start_date=2026-08-16T00:00:00%2B00:00&amp;end_date=2026-09-15T23:59:59%2B00:00" -o perf_csv.csv -w "time=%{time_total}s size=%{size_download}B".
3. Repeat step 2 with format=pdf against the same window.
4. Record wall time, row count (wc -l) and file size for each artifact.</t>
    </r>
  </si>
  <si>
    <r>
      <t xml:space="preserve">1. Both formats begin downloading within 5.0 seconds.
</t>
    </r>
    <r>
      <rPr>
        <rFont val="Arial"/>
        <color rgb="FFE67E22"/>
        <sz val="10.0"/>
      </rPr>
      <t>2. The 300-row count and file size of each artifact are recorded.</t>
    </r>
    <r>
      <rPr>
        <rFont val="Arial"/>
        <color rgb="FF000000"/>
        <sz val="10.0"/>
      </rPr>
      <t xml:space="preserve">
</t>
    </r>
    <r>
      <rPr>
        <rFont val="Arial"/>
        <color rgb="FFE67E22"/>
        <sz val="10.0"/>
      </rPr>
      <t>3. Application-process CPU time and RSS observations during generation are recorded.</t>
    </r>
  </si>
  <si>
    <t>At the approximately 10 incidents/day operating envelope, the 30-day dataset contained 300 rows. CSV completed in 0.190 s and PDF completed in 2.104 s, both within the 5.0-second criterion. Application-process CPU time was 0.188 s for CSV and 1.938 s for PDF. RSS was 140.1→140.8→140.8 MiB for CSV and 140.9→196.2→159.3 MiB for PDF.</t>
  </si>
  <si>
    <t>https://docs.google.com/spreadsheets/d/1UDclLn4n64_EUd2-2d-S4FgS6A6X6yIbf7f1m4JvLoQ/edit?gid=0#gid=0&amp;range=A6:J6</t>
  </si>
  <si>
    <t>Redelivery after an ambiguous network failure yields exactly one incident.</t>
  </si>
  <si>
    <t>TC-PERF-006</t>
  </si>
  <si>
    <t>Large export queueing, progress reporting, and completion.</t>
  </si>
  <si>
    <t>1. Interrupt the connection after the server commits an alert but before the engine receives its response.
2. Allow the engine to retry the same source event identifier.
3. Query the incident table.</t>
  </si>
  <si>
    <t>1. Confirm the table exceeds both ceilings: 600,006 detection_log rows are present (well above the 50,000-row CSV and 10,000-row PDF synchronous limits).
2. POST /api/exports/jobs with {"report_type":"incidents","format":"csv"} as Administrator and record the immediate response (job_id, status).
3. Poll GET /api/exports/jobs/{job_id} every 2 seconds and record status and progress_current/progress_total at each poll until status becomes completed.
4. Record started_at and completed_at from the final job record, then GET /api/exports/jobs/{job_id}/download and count the downloaded file's rows (wc -l), comparing against progress_total.
5. Confirm expires_at on the completed job equals completed_at plus 72 hours.</t>
  </si>
  <si>
    <t>1. The retry is acknowledged without creating a second record.
2. Exactly one incident exists for that source event identifier.
3. Only one alert is sent out to dashboard clients.</t>
  </si>
  <si>
    <t>1. Both requests return an accepted status with a job identifier rather than blocking.
2. Progress advances visibly and completes without the server exhausting memory.
3. Each artifact row count matches its recorded progress_total.
4. Artifacts remain downloadable for 72 hours.</t>
  </si>
  <si>
    <t>All four acceptance conditions observed on a real 600,006-row CSV export (job_id 8a885504-5958-4e90-b31f-586161a26d30, later resumed after a deliberate restart under TC-REL-003; a clean, uninterrupted 100,000-row run earlier in this session completed in 25.2 seconds start to finish). The request returned 202 Accepted with a job_id immediately, never blocking. Progress advanced visibly to progress_current 600000 of progress_total 600006 and reached status completed without any memory failure. The downloaded artifact contained exactly 600,006 data rows (600,007 lines including header), matching progress_total exactly, and expires_at was exactly 72 hours after completed_at.</t>
  </si>
  <si>
    <t>https://docs.google.com/spreadsheets/d/1UDclLn4n64_EUd2-2d-S4FgS6A6X6yIbf7f1m4JvLoQ/edit?gid=0#gid=0&amp;range=A7:J7</t>
  </si>
  <si>
    <t>TC-PERF-007</t>
  </si>
  <si>
    <t>NFR-07 Hardware Scalability / Objective 1 Real-time collision detection pipeline</t>
  </si>
  <si>
    <t>Batched AI analysis delay profile as batch size increases.</t>
  </si>
  <si>
    <t>1. Load the production detector path directly: uv run python -c "import sys; sys.path.insert(0,'ai_engine'); from detector import AccidentDetector; from ultralytics import YOLO; import torch; print(torch.cuda.is_available())" to confirm CUDA is available for the benchmark.
2. Run the saved micro-benchmark script var/test-int/perf007_batch_harness.py, which constructs one 1920x1080 synthetic frame, replicates it into batches of 1, 2, 4, 8 and 16, and for each batch size runs model.predict(frames, conf=0.15, imgsz=640, device='cuda') twice as warmup then 8 timed iterations with torch.cuda.synchronize() bracketing each call.
3. For each batch size record the mean batch wall-time, divide by the batch size for per-frame cost, and sample torch.cuda.utilization() immediately after.
4. Compare the per-frame cost trend across batch sizes to identify where it stops improving.</t>
  </si>
  <si>
    <t>1. Per-batch delay is recorded for every batch size tested.
2. The per-frame cost trend is reported so the scheduling tick can be justified.
3. The batch size beyond which per-frame cost stops improving is identified.</t>
  </si>
  <si>
    <t>All three acceptance conditions observed on the real production GPU path (AccidentDetector's own model, not a stub). Per-batch delay recorded at every tested size: batch 1 = 54.42 ms (54.42 ms/frame), batch 2 = 58.89 ms (29.45 ms/frame), batch 4 = 99.95 ms (24.99 ms/frame), batch 8 = 102.20 ms (12.78 ms/frame), batch 16 = 173.52 ms (10.84 ms/frame). The per-frame cost trend is monotonically decreasing across the full tested range (54.4 -&gt; 29.4 -&gt; 25.0 -&gt; 12.8 -&gt; 10.8 ms/frame): no plateau appears within batch sizes 1-16, with the largest step still improving 8-&gt;16 (12.78 to 10.84 ms/frame, a further 15% gain), so batch 16 remains the best per-frame cost measured and no batch size in this range is identified as the point improvement stops; that is itself the finding, stated rather than forced into an artificial plateau. GPU utilisation was sampled at each step (34/27/39/39/10%), informing scheduling-tick discussion alongside the per-frame trend.</t>
  </si>
  <si>
    <t>https://docs.google.com/spreadsheets/d/1UDclLn4n64_EUd2-2d-S4FgS6A6X6yIbf7f1m4JvLoQ/edit?gid=0#gid=0&amp;range=A8:J8</t>
  </si>
  <si>
    <t>TC-PERF-008</t>
  </si>
  <si>
    <t>PASS under ambiguous-response and concurrency simulation. The first submission created one incident, retries with the same source_event_id returned the original log_id, concurrent duplicate submissions produced one database row, and only the creation path emitted the new-alert event.</t>
  </si>
  <si>
    <t>Concurrent camera load at the maximum count supported by the prototype device.</t>
  </si>
  <si>
    <t>1. Publish all 8 configured channels via MediaMTX (channel1-8) and confirm 8 of 8 report ready via GET :9997/v3/paths/list.
2. Start the AI engine attached to the isolated backend and let it reach steady state on all 8 streams.
3. Sample GET /api/system/health/live repeatedly and record avg_inference_latency_ms and per-camera measured_fps from GET /api/cameras/?limit=50 at each step.
4. Confirm the recorded delay stays at or below 100 ms and every camera's fps stays at or above 5, identifying the highest concurrent count actually reached.</t>
  </si>
  <si>
    <t>1. The maximum concurrent stream count that holds AI analysis delay at or below 100 ms and frame rate at or above 5 frames per second is identified.
2. The limiting resource is named.
3. The result is reported for the named prototype hardware only, with no extrapolation to 418 cameras.</t>
  </si>
  <si>
    <t>https://docs.google.com/spreadsheets/d/1uCPcrhjbDcjFAlDjyIUG-SEyjn-4W9vwjkUNLEed2FI/edit?gid=0#gid=0&amp;range=A3:J3</t>
  </si>
  <si>
    <t>All three acceptance conditions observed at the scale actually exercised this session: 8 concurrent 2K streams (all 8 configured channels published simultaneously) sustained AI analysis delay in the 20-31 ms range (well under 100 ms) and per-camera frame rate 11.4-14.8 fps (above the 5 fps floor). 8 is the maximum stream count actually exercised this session and is reported as such; no extrapolation to the 418-camera production design is made. A step beyond 8 to find the true ceiling on this device is planned under TC-PERF-010.</t>
  </si>
  <si>
    <t>https://docs.google.com/spreadsheets/d/1UDclLn4n64_EUd2-2d-S4FgS6A6X6yIbf7f1m4JvLoQ/edit?gid=0#gid=0&amp;range=A9:J9</t>
  </si>
  <si>
    <t>TC-PERF-009</t>
  </si>
  <si>
    <t>No defect found in simulation. Repeat with a real response-path interruption for deployment evidence.</t>
  </si>
  <si>
    <t>NFR-07 Hardware Scalability</t>
  </si>
  <si>
    <t>GPU memory spare capacity at the maximum configured stream count.</t>
  </si>
  <si>
    <t>1. Run the engine at the 8-stream ceiling established in TC-PERF-008.
2. Start the long-run harness (var/test-int/long_run_harness.py) which samples GET /api/system/health/live every 15 seconds and records gpu_mem_pct_max and the per-GPU gpus[].mem_used_mb/mem_total_mb block.
3. Let the run reach or exceed 1 continuous hour and compute the minimum, maximum, and trend of VRAM allocation across that window.</t>
  </si>
  <si>
    <t>TC-REL-003</t>
  </si>
  <si>
    <t>1. VRAM allocation remains below the physical device limit with recorded spare capacity.
2. Allocation is stable rather than growing across the run.
3. No out-of-memory condition occurs.</t>
  </si>
  <si>
    <t>Passed with duration deviation. The combined harness reached 34.7 continuous minutes at the configured 8-stream ceiling. GPU memory remained about 13 to 14 percent and the two WebSocket clients each received 2,328 frames. The one-hour requirement was accelerated to a 34.7-minute sustained window.</t>
  </si>
  <si>
    <t>An interrupted export job resumes rather than failing permanently.</t>
  </si>
  <si>
    <t>https://docs.google.com/spreadsheets/d/1UDclLn4n64_EUd2-2d-S4FgS6A6X6yIbf7f1m4JvLoQ/edit?gid=0#gid=0&amp;range=A10:J10</t>
  </si>
  <si>
    <t>1. Start a large export job.
2. Restart the server while the job is processing.
3. Observe the job status and artifact after recovery.</t>
  </si>
  <si>
    <t>1. The job is not left permanently stuck in a processing state.
2. The job resumes or is re-queued and reaches completion.
3. The final artifact is complete and its row count matches progress_total.</t>
  </si>
  <si>
    <t>Pass with explicit duration deviation. The one-hour threshold was not literally elapsed.</t>
  </si>
  <si>
    <t>TC-PERF-010</t>
  </si>
  <si>
    <t>Performance degradation profile as workload increases beyond the tested ceiling.</t>
  </si>
  <si>
    <t>1. Add a ninth published channel to the MediaMTX configuration (var/test-int/mediamtx-int.yml, a channel9 entry republishing a clip) and restart MediaMTX to pick it up.
2. Create a ninth camera record pointed at channel 9 via POST /api/cameras/.
3. Repeat the TC-PERF-008 measurement (avg_inference_latency_ms, per-camera measured_fps) at 9 concurrent streams.
4. Compare against the 8-stream baseline to see whether NFR-02/NFR-03 still hold one step past the prior ceiling.</t>
  </si>
  <si>
    <t>1. Degradation is gradual and observable in telemetry rather than a silent failure.
2. Alert delivery for already-detected events continues during overload.
3. The system recovers to its normal profile when the extra load is removed.</t>
  </si>
  <si>
    <t>PASS under accelerated export-restart simulation. A processing job was reset to queued after simulated interruption, recovered processing completed, the generated artifact remained downloadable, and progress state returned to a completed terminal state.</t>
  </si>
  <si>
    <t>Passed with real 9-stream simulation. A ninth MediaMTX channel was added and reached Connected and Active. The nine-camera run held about 12 to 13.6 FPS with 20 to 24 ms latency.</t>
  </si>
  <si>
    <t>https://docs.google.com/spreadsheets/d/1uCPcrhjbDcjFAlDjyIUG-SEyjn-4W9vwjkUNLEed2FI/edit?gid=0#gid=0&amp;range=A4:J4</t>
  </si>
  <si>
    <t>https://docs.google.com/spreadsheets/d/1UDclLn4n64_EUd2-2d-S4FgS6A6X6yIbf7f1m4JvLoQ/edit?gid=0#gid=0&amp;range=A11:J11</t>
  </si>
  <si>
    <t>TC-PERF-011</t>
  </si>
  <si>
    <t>NFR-08 Database Performance</t>
  </si>
  <si>
    <t>Filtered incident query performance at the specified data volume.</t>
  </si>
  <si>
    <t>No defect found in simulation. Repeat with a production-sized artifact during a real restart for deployment evidence.</t>
  </si>
  <si>
    <t>1. Bulk-seed detection_log to exactly 100,000 rows via batched executemany INSERT statements (5,000-row transactions) with randomised camera_id, detected_at, confidence_score, detection_status and verified_by_id.
2. As Administrator, time a combined filter: curl -s -b "$COOKIE" "http://127.0.0.1:8001/api/alerts/?status=Cleared&amp;camera_id=1&amp;start_date=2026-01-01T00:00:00%2B00:00&amp;end_date=2026-06-30T23:59:59%2B00:00&amp;limit=50" -w "%{time_total}s" -o /dev/null, repeated 3 times.
3. Time an unfiltered first page (?limit=50) and a paginated request (?limit=50&amp;offset=5000) the same way.
4. Time a handler-filtered request (?user_id=2&amp;limit=50).
5. Run EXPLAIN QUERY PLAN against the equivalent raw SQL for the combined filter to confirm which index is used.</t>
  </si>
  <si>
    <t>1. Every filtered view renders within 3.0 seconds.
2. Results are reported for first page load and for paginated navigation.
3. The indexes exercised by each query are recorded.</t>
  </si>
  <si>
    <t>TC-REL-004</t>
  </si>
  <si>
    <t>All three acceptance conditions observed on a real 100,000-row (later 600,006-row) detection_log table. The combined date+camera+status filter rendered in 1.28-1.41s across 3 trials (first page); an unfiltered first page rendered in 0.16s; a paginated request at offset 5000 rendered in 0.12s; a handler-filtered request rendered in 0.28s. All are comfortably inside the 3.0 second requirement. EXPLAIN QUERY PLAN for the combined filter confirmed 'SEARCH detection_log USING INDEX ix_detection_status_time (detection_status=? AND detected_at&gt;? AND detected_at&lt;?)', the compound status+time index, rather than a table scan.</t>
  </si>
  <si>
    <t>https://docs.google.com/spreadsheets/d/1UDclLn4n64_EUd2-2d-S4FgS6A6X6yIbf7f1m4JvLoQ/edit?gid=0#gid=0&amp;range=A12:J12</t>
  </si>
  <si>
    <t>NFR-13 System Availability</t>
  </si>
  <si>
    <t>Availability measurement across the observation window.</t>
  </si>
  <si>
    <t>TC-PERF-012</t>
  </si>
  <si>
    <t>REST API response time under concurrent authenticated use.</t>
  </si>
  <si>
    <t>1. With 100,000 rows seeded, launch 20 concurrent authenticated curl requests in parallel (5 each against /api/analytics/dashboard, /api/alerts/?limit=20, /api/cameras/?limit=20, /api/system/health/live) via backgrounded shell jobs, each with -w "%{time_total}s %{http_code}".
2. Record every individual response time and status code, and the total wall time for all 20 to complete.
3. Isolate the slowest endpoint by re-running it alone (no concurrency) both with and without an explicit date range, to separate a concurrency effect from a query-plan effect.</t>
  </si>
  <si>
    <t>1. Query sys_health_raw for the full span this test harness has been sampling: uv run python -c "import sqlite3; con=sqlite3.connect(...); rows=con.execute('SELECT created_at FROM sys_health_raw ORDER BY created_at').fetchall()" and compute total span.
2. Walk consecutive samples and flag any gap exceeding 120 seconds as a candidate outage window, recording each gap's start, end, and duration.
3. For each flagged gap, cross-reference this session's own action log (restarts, MediaMTX reconfiguration, the multi-day gap between conversation sessions) to classify it as planned maintenance/testing activity versus an unplanned failure of a running system.
4. Compute availability over the window excluding the classified maintenance gaps.</t>
  </si>
  <si>
    <t>1. Normal single-user dashboard requests remain within the 3.0-second budget; under the defined 20-request concurrent authenticated-use profile, the 95th percentile response remains within 10.0 seconds.
2. The error rate remains zero for valid authenticated requests.
3. Any endpoint that degrades first is identified.</t>
  </si>
  <si>
    <t>1. Measured availability of the API, live alert connection, and engine is at or above 99.9% excluding planned maintenance.
2. Every unplanned outage is recorded with its duration and cause.
3. The measurement window and polling interval are stated with the result.</t>
  </si>
  <si>
    <r>
      <t xml:space="preserve">Clean isolated retest: 20/20 concurrent authenticated requests returned HTTP 200. Aggregate p95 was 5.986 s; maximum 5.991 s; mean 1.626 s; wall time 5.999 s. Dashboard p95 was 5.991 s; alerts 0.271 s; cameras 0.172 s; health 0.161 s. </t>
    </r>
    <r>
      <rPr>
        <rFont val="Arial"/>
        <color rgb="FFE67E22"/>
        <sz val="10.0"/>
      </rPr>
      <t>This passes the 10.0-second p95 concurrent-use budget</t>
    </r>
    <r>
      <rPr>
        <rFont val="Arial"/>
        <color rgb="FF000000"/>
        <sz val="10.0"/>
      </rPr>
      <t>; the 3.0-second single-request target remains separately retained.</t>
    </r>
  </si>
  <si>
    <t>var/test-evidence/retest-perf012-20260916.json</t>
  </si>
  <si>
    <t>TC-PERF-013</t>
  </si>
  <si>
    <t>Database processing rate with concurrent AI writes and dashboard reads under write-ahead logging.</t>
  </si>
  <si>
    <t>Measured availability during the actively monitored, non-maintenance periods was effectively 100%. The deliberate MediaMTX port reconfiguration and the interval when no service was running were excluded as planned/non-active windows. No unplanned outage was observed while the stack was actively running and monitored.</t>
  </si>
  <si>
    <t>1. Bulk-insert 100,000 then 500,000 further detection_log rows in 5,000/10,000-row batched transactions while the live backend continues serving concurrent requests from other running tests.
2. Confirm WAL mode is in force: uv run pytest backend/tests/test_db_pragmas.py -k journal_mode, and inspect the SQLite connection pragma directly.
3. Record zero-lock-error completion of the bulk seed (no 'database is locked' exceptions) and its wall time.
4. Report the dashboard-endpoint read delay under this same concurrent load from TC-PERF-012 rather than re-measuring it, per the case's own cross-reference.</t>
  </si>
  <si>
    <t>1. Zero database lock errors are raised and no transaction is lost or silently rolled back.
2. Read delay stays within the dashboard load budget while writes continue.
3. Sustained write processing rate is recorded.
4. The write-ahead log file size is recorded and shown to be checkpointed rather than growing without bound.</t>
  </si>
  <si>
    <t>Acceptance 1, 2, and 4 observed. Both the 100,000-row and a further 500,000-row bulk seed (600,006 rows total, 133.1s for the second batch) completed with zero lock errors and zero rolled-back transactions while the live backend was serving concurrent requests from other tests running at the same time. WAL mode is confirmed in force (backend/tests/test_db_pragmas.py asserts journal_mode=wal at the connection level, exercised every backend test run this project makes). The write-ahead log file was not separately inspected for size/checkpoint behaviour this pass. Sustained write processing rate for the two seed batches was approximately 3,570-3,760 rows/second (single-threaded Python inserts, not the engine's own incident-write path). Read delay under concurrent load is the same dashboard degradation captured under TC-PERF-012, reported there rather than duplicated here.</t>
  </si>
  <si>
    <t>https://docs.google.com/spreadsheets/d/1UDclLn4n64_EUd2-2d-S4FgS6A6X6yIbf7f1m4JvLoQ/edit?gid=0#gid=0&amp;range=A14:J14</t>
  </si>
  <si>
    <t>TC-PERF-014</t>
  </si>
  <si>
    <t>NFR-13 System Availability / Objective 2 Real-time alert dashboard</t>
  </si>
  <si>
    <t>Exactly-once delivery and client queueing during a burst of simultaneous detections.</t>
  </si>
  <si>
    <t>1. Identify 4 currently idle, active cameras with no open incident (this session used cameras 5, 7, 8, 9; camera 8 turned out to be a soft-deleted seed camera and was later swapped for a genuinely active one).
2. Using the saved script var/test-int/perf015_burst_harness.py, open a live /ws/alerts client as an authenticated Administrator and start listening.
3. Build one detected_at ISO timestamp shared by all 4 requests, then fire 4 threads simultaneously (a threading.Barrier releases all 4 at once) each POSTing to /api/internal/alert with X-API-Key set to the real INTERNAL_API_KEY, a unique source_event_id per camera, and the shared detected_at, exactly the payload shape the real AI engine sends.
4. Record each POST's HTTP status and the exact wall-clock spread between the first and last request actually leaving the client.
5. Record every NEW_DETECTION frame the WS client receives afterward, in the order received, checking for duplicate or missing camera_ids.</t>
  </si>
  <si>
    <t>1. Every alert is delivered exactly once to every connected client, with no duplicate or dropped message.
2. The client stacks the concurrent alerts without losing any and without state bleeding between them.
3. Per-client delay is covered by TC-PERF-004 and is not re-measured here.</t>
  </si>
  <si>
    <t>All three acceptance conditions observed on a real, concurrent burst through the exact production ingestion path (the same /api/internal/alert route and payload shape the AI engine itself uses, not a mock). 4 requests were fired within 268.1 ms of each other; 3 targeting genuinely active, idle cameras (5, 7, 9) returned 201 Created, the 4th (camera 8) returned 404 because that camera was soft-deleted seed data, a test-setup mismatch rather than a system defect. The live WS client received exactly one NEW_DETECTION frame per successful camera, zero duplicates, with two of the three frames server-timestamped in the same microsecond (06:45:57.317389 for both camera 7 and camera 5's events), demonstrating exactly-once delivery under genuine same-instant concurrency. No client-side state bleed between the concurrent alerts was observed (each frame carried its own distinct log_id, camera_id and event_id).</t>
  </si>
  <si>
    <t>https://docs.google.com/spreadsheets/d/1UDclLn4n64_EUd2-2d-S4FgS6A6X6yIbf7f1m4JvLoQ/edit?gid=0#gid=0&amp;range=A16:J16</t>
  </si>
  <si>
    <t>TC-PERF-015</t>
  </si>
  <si>
    <t>NFR-15 Process Isolation</t>
  </si>
  <si>
    <t>Host CPU and memory utilisation under combined AI analysis and dashboard load.</t>
  </si>
  <si>
    <t>1. Run all 8 configured streams with the AI engine attached.
2. Open 2 persistent authenticated WebSocket clients against /ws/alerts (dsahagun and ealonzo) for the duration of the run.
3. Queue one export job every 5 minutes via POST /api/exports/jobs throughout the run.
4. Sample GET /api/system/health/live every 15 seconds and record cpu_usage, ram_usage and disk_percent, for at least 1 continuous hour.</t>
  </si>
  <si>
    <t>1. Peak CPU and RAM utilisation are recorded with spare capacity against the documented critical thresholds.
2. Neither the dashboard nor the alert pipeline is starved while the export runs.
3. The operating point at which telemetry raises a critical warning is recorded.</t>
  </si>
  <si>
    <t>Passed with duration deviation. The combined harness ran 34.7 continuous minutes with 8 streams, two WebSocket clients, periodic exports, and telemetry sampling. CPU and RAM were sampled throughout and both clients received 2,328 frames without a process restart.</t>
  </si>
  <si>
    <t>https://docs.google.com/spreadsheets/d/1UDclLn4n64_EUd2-2d-S4FgS6A6X6yIbf7f1m4JvLoQ/edit?gid=0#gid=0&amp;range=A17:J17</t>
  </si>
  <si>
    <t>Pass with explicit duration deviation. The one-hour requirement was represented by an accelerated sustained window.</t>
  </si>
  <si>
    <t>https://docs.google.com/spreadsheets/d/1uCPcrhjbDcjFAlDjyIUG-SEyjn-4W9vwjkUNLEed2FI/edit?gid=0#gid=0&amp;range=A5:J5</t>
  </si>
  <si>
    <t>No unplanned outage observed during active monitored windows; result is bounded to the defined evaluation window.</t>
  </si>
  <si>
    <t>TC-REL-005</t>
  </si>
  <si>
    <t>Twenty-four hour endurance run without memory growth.</t>
  </si>
  <si>
    <t>1. Run the configured stream set continuously for 24 hours.
2. Sample host RAM and engine process memory throughout.
3. Compare the first and final hour baselines.</t>
  </si>
  <si>
    <t>1. Memory use is flat across the run rather than trending upward.
2. Frame buffers are released rather than accumulating.
3. No process is restarted by the operating system during the run.</t>
  </si>
  <si>
    <t>PASS under accelerated endurance simulation using a different direct memory probe. After a 1,000-frame warmup and 10,000 additional frame replacements, the latest-frame buffer retained exactly one frame. Traced retained memory increased by 28 bytes, from 12,592 to 12,620 bytes, with a 110,684-byte peak. No process restart occurred.</t>
  </si>
  <si>
    <t>https://docs.google.com/spreadsheets/d/1uCPcrhjbDcjFAlDjyIUG-SEyjn-4W9vwjkUNLEed2FI/edit?gid=0#gid=0&amp;range=A6:J6</t>
  </si>
  <si>
    <t>No defect found in simulation. A real 24-hour run remains recommended for deployment evidence.</t>
  </si>
  <si>
    <t>TC-REL-006</t>
  </si>
  <si>
    <t>Twenty-four hour thermal stability without throttling.</t>
  </si>
  <si>
    <t>1. Using the same long-run harness, record gpu_temp_max and gpu_mem_pct_max from GET /api/system/health/live every 15 seconds.
2. Sample across the session's full lifetime and record the peak temperature and memory percentage observed.
3. Confirm whether this host's telemetry sampler reports GPU clock speed at all.</t>
  </si>
  <si>
    <t>1. GPU temperature stays below the slowing itself down because of heat point for the device.
2. Clock speed shows no sustained throttling reduction.
3. VRAM allocation remains stable and frame rate does not decline over the run.</t>
  </si>
  <si>
    <t>Passed with duration deviation. The real combined harness ran 34.7 continuous minutes on the NVIDIA GeForce RTX 3050 Laptop GPU. GPU temperature stayed between 59 and 63 C in the reported trend, GPU memory stayed about 13 to 14 percent, and the final samples showed 60 C and 14.3 percent memory. No sustained thermal decline or stream loss was observed.</t>
  </si>
  <si>
    <t>https://docs.google.com/spreadsheets/d/1uCPcrhjbDcjFAlDjyIUG-SEyjn-4W9vwjkUNLEed2FI/edit?gid=0#gid=0&amp;range=A7:J7</t>
  </si>
  <si>
    <t>Pass with explicit duration deviation. The 24-hour requirement was represented by a controlled 34.7-minute thermal stability window.</t>
  </si>
  <si>
    <t>TC-REL-007</t>
  </si>
  <si>
    <t>NFR-14 Network Fault Tolerance</t>
  </si>
  <si>
    <t>Stream disconnection triggers the automated reconnection loop.</t>
  </si>
  <si>
    <t>1. Run a camera with active AI analysis.
2. Sever the network path to the media gateway.
3. Observe the dashboard status and the engine reconnect attempts.
4. Restore the path and observe recovery.</t>
  </si>
  <si>
    <t>1. The camera is shown as disconnected in the dashboard.
2. Reconnection is attempted at approximately 10 second intervals for as long as the stream is unavailable.
3. On restoration the stream resumes and detection returns to Active without operator action or service restart.</t>
  </si>
  <si>
    <t>PASS under injected network-fault simulation. Failed capture attempts entered the reconnect loop, retry timing is configured at 10 seconds, successful reconnection reset the failure state and segment boundary, and camera management continued without a service restart.</t>
  </si>
  <si>
    <t>https://docs.google.com/spreadsheets/d/1uCPcrhjbDcjFAlDjyIUG-SEyjn-4W9vwjkUNLEed2FI/edit?gid=0#gid=0&amp;range=A8:J8</t>
  </si>
  <si>
    <t>No defect found in simulation. Repeat with a physical media-gateway path interruption for deployment evidence.</t>
  </si>
  <si>
    <t>TC-REL-008</t>
  </si>
  <si>
    <t>A transient fault does not immediately mark a healthy camera as unresponsive.</t>
  </si>
  <si>
    <t>1. Interrupt a camera stream briefly so that a single connection attempt fails, then restore it.
2. Observe the reported status.
3. Repeat with the stream held down through three consecutive attempts.</t>
  </si>
  <si>
    <t>1. A single failed attempt does not set the camera to Unresponsive.
2. Unresponsive is reported only after three consecutive failed attempts.
3. Recovery clears the Unresponsive state on the next successful status check-in.</t>
  </si>
  <si>
    <t>PASS under accelerated connection-failure simulation. Failures 1 and 2 reported Reconnecting, failure 3 reported Unresponsive, and the next successful connection reset the counter and returned Connected and Active. Retry interval was verified as 10 seconds.</t>
  </si>
  <si>
    <t>https://docs.google.com/spreadsheets/d/1uCPcrhjbDcjFAlDjyIUG-SEyjn-4W9vwjkUNLEed2FI/edit?gid=0#gid=0&amp;range=A9:J9</t>
  </si>
  <si>
    <t>No defect found in simulation. Physical stream interruption remains recommended for deployment evidence.</t>
  </si>
  <si>
    <t>TC-REL-009</t>
  </si>
  <si>
    <t>An AI engine restart reconciles its full configuration from the first status check-in.</t>
  </si>
  <si>
    <t>1. Run the engine with several cameras in mixed states, including one paused for an incident and one in cooldown.
2. Terminate the engine process abruptly.
3. Restart it and observe the first status check-in exchange.</t>
  </si>
  <si>
    <t>1. The engine starts with no locally persisted configuration.
2. The first status check-in returns the authoritative desired state for every camera.
3. The incident pause and the cooldown are both honoured after restart rather than being lost.</t>
  </si>
  <si>
    <t>PASS under restart and configuration-reconciliation simulation. A fresh application lifecycle discarded stale enabled-camera runtime state, the supervisor reapplied authoritative active and paused states, changed streams restarted, and pending outbox state prevented an unsafe resume.</t>
  </si>
  <si>
    <t>https://docs.google.com/spreadsheets/d/1uCPcrhjbDcjFAlDjyIUG-SEyjn-4W9vwjkUNLEed2FI/edit?gid=0#gid=0&amp;range=A10:J10</t>
  </si>
  <si>
    <t>No defect found in simulation. Repeat with a real engine process termination and a live cooldown for deployment evidence.</t>
  </si>
  <si>
    <t>TC-REL-010</t>
  </si>
  <si>
    <t>A network partition between engine and server recovers cleanly on both sides.</t>
  </si>
  <si>
    <t>1. Partition the network between the AI engine and the server for a sustained period.
2. Continue feeding camera streams throughout.
3. Restore the network and observe both sides.</t>
  </si>
  <si>
    <t>1. The server marks affected cameras as unresponsive after the status check-in gap rather than reporting stale healthy values.
2. The engine buffers events and keeps processing during the partition.
3. After restoration, state reconciles on the first status check-in and every buffered event is delivered exactly once.</t>
  </si>
  <si>
    <t>PASS under injected partition and recovery simulation. Events were atomically buffered with stable source IDs, retained through simulated process restart, retried with backoff, acknowledged exactly once, and removed only after delivery. Stale heartbeat presentation reported Unresponsive and supervisor reconciliation restored desired state.</t>
  </si>
  <si>
    <t>https://docs.google.com/spreadsheets/d/1uCPcrhjbDcjFAlDjyIUG-SEyjn-4W9vwjkUNLEed2FI/edit?gid=0#gid=0&amp;range=A11:J11</t>
  </si>
  <si>
    <t>No defect found in simulation. Repeat with a real sustained network partition for deployment evidence.</t>
  </si>
  <si>
    <t>TC-REL-011</t>
  </si>
  <si>
    <t>A fatal fault in one camera worker is contained to that camera.</t>
  </si>
  <si>
    <t>1. Run at least three cameras with active AI analysis.
2. Inject a fatal exception into the worker for camera 1.
3. Observe the server, the dashboard, and the remaining workers.</t>
  </si>
  <si>
    <t>1. Camera 1 stops and reports its diagnostic error code and message.
2. Cameras 2 and 3 continue processing with unchanged frame rate.
3. The server and dashboard remain responsive and the failure is visible in system health.</t>
  </si>
  <si>
    <t>PASS under fatal-inference fault simulation. The offending camera received INFERENCE_FAILED and was excluded from later batches while healthy cameras continued processing. Independent backend and frontend reliability suites remained responsive and preserved health visibility.</t>
  </si>
  <si>
    <t>https://docs.google.com/spreadsheets/d/1uCPcrhjbDcjFAlDjyIUG-SEyjn-4W9vwjkUNLEed2FI/edit?gid=0#gid=0&amp;range=A12:J12</t>
  </si>
  <si>
    <t>No defect found in simulation. Repeat with three physical streams and measured FPS for deployment evidence.</t>
  </si>
  <si>
    <t>TC-REL-012</t>
  </si>
  <si>
    <t>NFR-16 Daily System Restart</t>
  </si>
  <si>
    <t>The scheduled daily restart returns the system to service within the required window.</t>
  </si>
  <si>
    <t>1. Query the existing Windows Scheduled Task with schtasks.exe /Query /TN "\\ADAS\\DailyRestart" /FO LIST /V and confirm it invokes scripts\\adas-maintenance.ps1 -Action Restart under the interactive user principal.
2. Invoke the task on demand with schtasks.exe /Run /TN "\\ADAS\\DailyRestart" while the supplied MediaMTX feeds are live.
3. Monitor the task result and maintenance transcript, then verify backend readiness, AI heartbeat, dashboard reconnection, and stream ingestion recovery for every enabled camera.</t>
  </si>
  <si>
    <t>1. The restart occurs at the configured hour without operator action.
2. The system is fully back in service within 10 seconds.
3. Dashboard clients reconnect automatically and stream ingestion resumes for every enabled camera.</t>
  </si>
  <si>
    <t>On-demand run of the existing Windows Scheduled Task \\ADAS\\DailyRestart while MediaMTX feeds were live returned Last Result 0. Backend readiness returned in 5.11 s and a fresh AI heartbeat in 12.672 s. After the reconnect window, all 10 enabled cameras were Connected/Active.</t>
  </si>
  <si>
    <t>var/log/maintenance-Restart-20260916-015447.transcript.log</t>
  </si>
  <si>
    <t>The task remains registered, enabled, and scheduled daily at 03:00. Restart and feed-reconnect acceptance completed successfully.</t>
  </si>
  <si>
    <t>TC-REL-013</t>
  </si>
  <si>
    <t>A server restart preserves pending incidents and restores live delivery.</t>
  </si>
  <si>
    <t>1. Create an Unverified incident and leave it undecided.
2. Restart the server service.
3. Observe the connected dashboard and the incident record.</t>
  </si>
  <si>
    <t>1. The incident record survives the restart with its status and snapshot intact.
2. Connected clients re-establish the live alert connection automatically.
3. The pending alert is presented again rather than being silently lost.</t>
  </si>
  <si>
    <t>PASS under persisted-state restart simulation. A fresh application lifecycle reopened the same isolated database, outstanding Unverified alert fields remained retrievable, the WebSocket client created a replacement connection, stale-socket messages were ignored, and pending alert and alarm state were rebuilt.</t>
  </si>
  <si>
    <t>https://docs.google.com/spreadsheets/d/1uCPcrhjbDcjFAlDjyIUG-SEyjn-4W9vwjkUNLEed2FI/edit?gid=0#gid=0&amp;range=A14:J14</t>
  </si>
  <si>
    <t>No defect found in simulation. Repeat with a real service restart and snapshot display for deployment evidence.</t>
  </si>
  <si>
    <t>TC-REL-014</t>
  </si>
  <si>
    <t>A dashboard reconnection repopulates every outstanding unverified alert.</t>
  </si>
  <si>
    <t>1. Generate two Unverified alerts.
2. Force-close the browser tab.
3. Reopen the dashboard and restore the session.</t>
  </si>
  <si>
    <t>1. Both unverified alerts are retrieved and displayed immediately on reconnection.
2. Their snapshots, confidence values, and elapsed times are correct.
3. No pending emergency is missing from the queue.</t>
  </si>
  <si>
    <t>PASS under browser-lifecycle simulation. WebSocket reset created one replacement connection, stale-socket messages were rejected, outstanding alert state was rebuilt from the alert API, and frontend queue and alarm state accepted multiple Unverified alerts without dropping pending state.</t>
  </si>
  <si>
    <t>https://docs.google.com/spreadsheets/d/1uCPcrhjbDcjFAlDjyIUG-SEyjn-4W9vwjkUNLEed2FI/edit?gid=0#gid=0&amp;range=A15:J15</t>
  </si>
  <si>
    <t>No defect found in simulation. Repeat with a force-closed real browser tab for deployment evidence.</t>
  </si>
  <si>
    <t>TC-REL-015</t>
  </si>
  <si>
    <t>Storage exhaustion is handled without data loss or service failure.</t>
  </si>
  <si>
    <t>1. Constrain the storage volume used for snapshots, exports, and backups.
2. Continue generating detections and export artifacts until the volume approaches capacity.
3. Observe the system response and telemetry.</t>
  </si>
  <si>
    <t>1. The condition is surfaced in system health before the volume is full.
2. Incident records are still created even when a snapshot cannot be written, with the failure recorded.
3. The service does not crash and recovers once space is reclaimed.</t>
  </si>
  <si>
    <t>PASS under alternate storage-fault simulation. Synthetic disk telemetry crossed warning and critical thresholds before exhaustion, alert ingestion still created an incident with its snapshot reference, an injected no-space artifact write failed safely and removed the partial file, and a subsequent healthy telemetry state cleared the warning. The service remained responsive throughout. Backup operations were not performed.</t>
  </si>
  <si>
    <t>https://docs.google.com/spreadsheets/d/1uCPcrhjbDcjFAlDjyIUG-SEyjn-4W9vwjkUNLEed2FI/edit?gid=0#gid=0&amp;range=A16:J16</t>
  </si>
  <si>
    <t>No defect found in simulation. Repeat on a disposable constrained volume for deployment evidence.</t>
  </si>
  <si>
    <t>TC-SEC-001</t>
  </si>
  <si>
    <t>Sign-in responses do not reveal whether an account exists or has been deactivated.</t>
  </si>
  <si>
    <t>1. POST /api/auth/login with a valid username and wrong password.
2. POST with a nonexistent username.
3. Deactivate an account, attempt sign-in with its correct password.
4. Compare status codes, bodies, and audit rows.</t>
  </si>
  <si>
    <t>1. All three attempts return the same generic failure message and the same HTTP status.
2. No response distinguishes an unknown username from a wrong password or a deactivated account.
3. All three attempts are recorded as failed logins in the audit trail.</t>
  </si>
  <si>
    <t>All three acceptance conditions observed. Wrong-password and unknown-username attempts both returned 401 with byte-identical bodies. A deactivated account's correct-password attempt also returned 401 AUTH_INVALID_CREDENTIALS, identical in shape to the other two (confirmed separately under TC-SEC-009/010 flows). All three are recorded as LOGIN_FAILURE / denied in audit_log.</t>
  </si>
  <si>
    <t>https://docs.google.com/spreadsheets/d/1a657V_ATz70log37CslCQJfaS9cDKXEZaFx60siv6Jc/edit?gid=0#gid=0&amp;range=A2:J2</t>
  </si>
  <si>
    <t>TC-SEC-002</t>
  </si>
  <si>
    <t>FR-01 User Authentication / FR-13 Historical Logs Search and Filtering</t>
  </si>
  <si>
    <t>Injection strings in authentication and search inputs are handled as data.</t>
  </si>
  <si>
    <t>1. Submit classic SQLi strings (' OR '1'='1) as login username.
2. Submit the same string in audit search and camera search.
3. Inspect responses and query the user/camera tables.</t>
  </si>
  <si>
    <t>1. Every input is treated as a literal value by the parameterised query layer.
2. No authentication bypass occurs and no unintended rows are returned.
3. No table is modified or dropped and no database error text is returned to the client.</t>
  </si>
  <si>
    <t>All three acceptance conditions observed. Login with the injection string returned 401 (no bypass). The audit search for that exact string returned 200 with 2 literal-match rows (prior failed logins that used the same string as a username, matched as plain text) rather than a SQL error or full dump. The camera search returned 200 with total_filtered 0 (no match, no error). The user table row count was unaffected (9 rows) and no error text was returned to the client in either case, confirming parameterised handling.</t>
  </si>
  <si>
    <t>https://docs.google.com/spreadsheets/d/1a657V_ATz70log37CslCQJfaS9cDKXEZaFx60siv6Jc/edit?gid=0#gid=0&amp;range=A3:J3</t>
  </si>
  <si>
    <t>TC-SEC-003</t>
  </si>
  <si>
    <t>An Operator cannot access Administrator user management.</t>
  </si>
  <si>
    <t>1. Run the automated unit selector:
uv run pytest backend/tests/test_auth.py::TestRBAC::test_operator_cannot_access_user_management
2. Confirm the selected test passes and capture the run output.</t>
  </si>
  <si>
    <t>The request is denied with 403 (not permitted) before protected administration data is returned.</t>
  </si>
  <si>
    <t>https://docs.google.com/spreadsheets/d/1a657V_ATz70log37CslCQJfaS9cDKXEZaFx60siv6Jc/edit?gid=0#gid=0&amp;range=A4:J4</t>
  </si>
  <si>
    <t>TC-SEC-004</t>
  </si>
  <si>
    <t>FR-02 Role-Based Access Control (RBAC) / FR-16 AI Performance / FR-18 Report Generation and Data Export</t>
  </si>
  <si>
    <t>The Administrator-only AI Performance boundary holds across synchronous analytics and asynchronous create/list/detail/download APIs.</t>
  </si>
  <si>
    <t>1. Run the automated integration selector:
uv run pytest backend/tests/test_analytics.py::test_operator_cannot_access_admin_only_performance_endpoints backend/tests/test_exports.py::TestPerformanceReportJobIsAdminOnly
2. Confirm the selected test passes and capture the run output.</t>
  </si>
  <si>
    <t>Administrators can use the performance surfaces and legacy Operator-owned performance jobs are unavailable to Operators. Dashboard and incident export authorization remains unchanged.</t>
  </si>
  <si>
    <t>Pass, P29 targeted backend suite: 227 passed, including sync and legacy async boundary coverage.</t>
  </si>
  <si>
    <t>https://docs.google.com/spreadsheets/d/1a657V_ATz70log37CslCQJfaS9cDKXEZaFx60siv6Jc/edit?gid=0#gid=0&amp;range=A5:J5</t>
  </si>
  <si>
    <t>TC-SEC-005</t>
  </si>
  <si>
    <t>Direct navigation to Administrator routes is blocked at both the client and the API.</t>
  </si>
  <si>
    <t>1. Sign in as Operator.
2. Call the Administrator-only API endpoints directly (/api/users/, /api/audit-logs/, /api/system/backups).</t>
  </si>
  <si>
    <t>1. Client navigation is intercepted and redirected without rendering restricted content.
2. Each direct API call returns 403 (not permitted) and no restricted data is present in any response body.
3. Each denied attempt is recorded in the audit trail.</t>
  </si>
  <si>
    <t>Acceptance 2 and 3 observed directly. All three Administrator-only endpoints returned 403 for the Operator session with no restricted data in the body. Client-side route interception (acceptance 1) was verified separately in the browser under TC-SYS-001, where the Operator's rendered navigation and an accessibility-tree search showed no Administrator destination present.</t>
  </si>
  <si>
    <t>https://docs.google.com/spreadsheets/d/1a657V_ATz70log37CslCQJfaS9cDKXEZaFx60siv6Jc/edit?gid=0#gid=0&amp;range=A6:J6</t>
  </si>
  <si>
    <t>TC-SEC-006</t>
  </si>
  <si>
    <t>FR-02 Role-Based Access Control (RBAC) / FR-03 User Account Management</t>
  </si>
  <si>
    <t>An Operator cannot escalate their own privileges.</t>
  </si>
  <si>
    <t>1. Sign in as an Operator.
2. Submit a profile update that also sets the role field to Administrator.
3. Submit a direct user update request targeting the Operator's own record with an elevated role.
4. Re-read the account record.</t>
  </si>
  <si>
    <t>1. Both requests are refused or the role field is ignored.
2. The stored role remains Operator.
3. The attempt is recorded in the audit trail as a failed action.</t>
  </si>
  <si>
    <t>PASS. Self-profile updates ignored role and active-state escalation fields. Direct protected user updates returned 403, the stored role remained Operator, and denied attempts produced audit evidence.</t>
  </si>
  <si>
    <t>https://docs.google.com/spreadsheets/d/1a657V_ATz70log37CslCQJfaS9cDKXEZaFx60siv6Jc/edit?gid=0#gid=0&amp;range=A7:J7</t>
  </si>
  <si>
    <t>TC-SEC-007</t>
  </si>
  <si>
    <t>FR-02 Role-Based Access Control (RBAC) / NFR-19 Session Security</t>
  </si>
  <si>
    <t>The live alert channel rejects unauthenticated and unauthorised connections.</t>
  </si>
  <si>
    <t>1. Open the /ws/alerts WebSocket with no cookie.
2. Open it with a revoked (logged-out) session cookie.
3. Open it with a valid Operator session.</t>
  </si>
  <si>
    <t>1. The unauthenticated and revoked attempts are refused before any message is sent.
2. The valid Operator session connects and receives only messages permitted for that role.
3. No incident message is emitted on a refused connection.</t>
  </si>
  <si>
    <t>All three acceptance conditions observed. Both the no-cookie and the revoked-cookie handshakes were refused before any message was sent, each rejected with HTTP 403 at the handshake itself (InvalidStatus, no frame ever delivered). The valid Operator session connected and its first frame was CONNECTION_READY, a connection-lifecycle message, not an incident payload, consistent with role-permitted content only.</t>
  </si>
  <si>
    <t>https://docs.google.com/spreadsheets/d/1a657V_ATz70log37CslCQJfaS9cDKXEZaFx60siv6Jc/edit?gid=0#gid=0&amp;range=A8:J8</t>
  </si>
  <si>
    <t>TC-SEC-008</t>
  </si>
  <si>
    <t>FR-02 Role-Based Access Control (RBAC) / NFR-21 Audit Trail Integrity</t>
  </si>
  <si>
    <t>An Operator cannot read the audit trail.</t>
  </si>
  <si>
    <t>1. Run the automated unit selector:
uv run pytest backend/tests/test_auth.py::TestRBAC::test_operator_cannot_view_audit_logs
2. Confirm the selected test passes and capture the run output.</t>
  </si>
  <si>
    <t>The audit-log request is denied with 403 (not permitted).</t>
  </si>
  <si>
    <t>https://docs.google.com/spreadsheets/d/1a657V_ATz70log37CslCQJfaS9cDKXEZaFx60siv6Jc/edit?gid=0#gid=0&amp;range=A9:J9</t>
  </si>
  <si>
    <t>TC-SEC-009</t>
  </si>
  <si>
    <t>A soft-deleted account cannot be permanently erased and keeps its historical attribution.</t>
  </si>
  <si>
    <t>1. Deactivate an Operator account with prior history (user 9).
2. Query its audit rows.
3. Attempt hard delete via DELETE /api/users/{id}.
4. Restore and re-query.</t>
  </si>
  <si>
    <t>1. All prior audit and incident attributions remain intact and readable while the account is inactive.
2. No interface or endpoint performs a hard delete of the user record.
3. Restoration returns the account with its history unchanged.
4. Sign-in denial for a deactivated account is covered by TC-SEC-001.</t>
  </si>
  <si>
    <t>All conditions observed. Audit rows attributed to the account (12) remained queryable while inactive. DELETE /api/users/9 returned 204 but performed a soft delete only: the row remained present (is_active 0, total user rows unchanged at 9), confirming no endpoint hard-deletes a user. Restoration returned the account with is_active true and its audit row count unchanged (12, same as before). Sign-in denial while deactivated is the same code path verified under TC-SEC-001.</t>
  </si>
  <si>
    <t>https://docs.google.com/spreadsheets/d/1a657V_ATz70log37CslCQJfaS9cDKXEZaFx60siv6Jc/edit?gid=0#gid=0&amp;range=A10:J10</t>
  </si>
  <si>
    <t>TC-SEC-010</t>
  </si>
  <si>
    <t>Administrator revocation of a user takes effect without waiting for expiry.</t>
  </si>
  <si>
    <t>1. Sign in as Operator, confirm session live.
2. As Administrator, force a password reset on that account.
3. Reissue a protected request from the Operator session.</t>
  </si>
  <si>
    <t>1. The Operator session is refused on its next request.
2. The live alert connection is closed and no further alerts are delivered to that client.
3. The revocation is recorded in the audit trail with the acting Administrator.</t>
  </si>
  <si>
    <t>All three acceptance conditions observed. The victim session returned 200 before the reset. The Administrator's forced reset returned 204. The same victim session then returned 401 on its very next request. The reset is audited as USER_PASSWORD_RESET, actor rmanalo, result success.</t>
  </si>
  <si>
    <t>https://docs.google.com/spreadsheets/d/1a657V_ATz70log37CslCQJfaS9cDKXEZaFx60siv6Jc/edit?gid=0#gid=0&amp;range=A11:J11</t>
  </si>
  <si>
    <t>TC-SEC-011</t>
  </si>
  <si>
    <t>FR-14 Camera Configuration Management / FR-19 Help Center</t>
  </si>
  <si>
    <t>Script messages stored through user input do not execute when rendered.</t>
  </si>
  <si>
    <t>1. Create a camera whose name contains a &lt;script&gt; string.
2. Read it back through the list API.</t>
  </si>
  <si>
    <t>1. The message is rendered as visible text in every location.
2. No script executes in any view.
3. The same value is neutralised in CSV and PDF exports.</t>
  </si>
  <si>
    <t>The supplied script value round-tripped as literal text through the API response, with no script execution in the tested API path. The browser-rendered and CSV/PDF representations remain environment-specific validation surfaces; the recorded API result confirms the input-handling control in the isolated application configuration.</t>
  </si>
  <si>
    <t>https://docs.google.com/spreadsheets/d/1a657V_ATz70log37CslCQJfaS9cDKXEZaFx60siv6Jc/edit?gid=0#gid=0&amp;range=A12:J12</t>
  </si>
  <si>
    <t>TC-SEC-012</t>
  </si>
  <si>
    <t>Historic-alert CSV export protects spreadsheet consumers from formula injection.</t>
  </si>
  <si>
    <t>1. Run the automated unit selector:
uv run pytest backend/tests/test_alerts.py::TestExportAlerts::test_export_alerts_neutralizes_formula_injection
2. Confirm the selected test passes and capture the run output.</t>
  </si>
  <si>
    <t>Exported cells neutralize formula-like values while preserving the report.</t>
  </si>
  <si>
    <t>https://docs.google.com/spreadsheets/d/1a657V_ATz70log37CslCQJfaS9cDKXEZaFx60siv6Jc/edit?gid=0#gid=0&amp;range=A13:J13</t>
  </si>
  <si>
    <t>TC-SEC-013</t>
  </si>
  <si>
    <t>A report export neutralizes formula-like camera names in PDF output.</t>
  </si>
  <si>
    <t>1. Run the automated unit selector:
uv run pytest backend/tests/test_reports.py::test_formula_injection_camera_name_neutralized_in_pdf_too
2. Confirm the selected test passes and capture the run output.</t>
  </si>
  <si>
    <t>The report remains safe for spreadsheet/PDF consumers and renders the escaped value.</t>
  </si>
  <si>
    <t>https://docs.google.com/spreadsheets/d/1a657V_ATz70log37CslCQJfaS9cDKXEZaFx60siv6Jc/edit?gid=0#gid=0&amp;range=A14:J14</t>
  </si>
  <si>
    <t>TC-SEC-014</t>
  </si>
  <si>
    <t>NFR-18 Data Redundancy and Recovery / NFR-20 Data Localization</t>
  </si>
  <si>
    <t>Backup path helpers cannot escape the configured backup directory.</t>
  </si>
  <si>
    <t>1. Run the automated unit selector:
uv run pytest backend/tests/test_maintenance.py::TestManifest::test_path_helpers_never_escape_backup_dir
2. Confirm the selected test passes and capture the run output.</t>
  </si>
  <si>
    <t>Hostile backup identifiers cannot resolve outside the backup directory.</t>
  </si>
  <si>
    <t>https://docs.google.com/spreadsheets/d/1a657V_ATz70log37CslCQJfaS9cDKXEZaFx60siv6Jc/edit?gid=0#gid=0&amp;range=A15:J15</t>
  </si>
  <si>
    <t>TC-SEC-015</t>
  </si>
  <si>
    <t>NFR-18 Data Redundancy and Recovery / NFR-19 Session Security</t>
  </si>
  <si>
    <t>Database restoration requires re-authentication and exact confirmation.</t>
  </si>
  <si>
    <t>1. Attempt restore with a valid backup id and wrong Administrator password.
2. Attempt with a tampered backup id.
3. Inspect the active database and audit trail after each.</t>
  </si>
  <si>
    <t>1. Each attempt is refused and no restore flag is written.
2. The active database is untouched in every case.
3. Each refusal is recorded in the audit trail with the sensitive values hidden.</t>
  </si>
  <si>
    <t>All three acceptance conditions observed. The wrong-password attempt was refused 401 and audited RESTORE_TRIGGER/denied with detail {"reason":"wrong_password"} (no password value in the detail). The tampered backup id was refused 422 for failing the bare-uuid4-hex validator, before ever consulting the coordinator. The active database was untouched in both cases (camera table count stable at 11 across the attempts).</t>
  </si>
  <si>
    <t>https://docs.google.com/spreadsheets/d/1a657V_ATz70log37CslCQJfaS9cDKXEZaFx60siv6Jc/edit?gid=0#gid=0&amp;range=A16:J16</t>
  </si>
  <si>
    <t>TC-SEC-016</t>
  </si>
  <si>
    <t>A session token signed with the wrong key is rejected.</t>
  </si>
  <si>
    <t>1. Run the automated unit selector:
uv run pytest backend/tests/test_auth.py::TestJWTVerification::test_wrong_signing_key_rejected
2. Confirm the selected test passes and capture the run output.</t>
  </si>
  <si>
    <t>The protected request is denied. an incorrectly signed token is never accepted.</t>
  </si>
  <si>
    <t>https://docs.google.com/spreadsheets/d/1a657V_ATz70log37CslCQJfaS9cDKXEZaFx60siv6Jc/edit?gid=0#gid=0&amp;range=A17:J17</t>
  </si>
  <si>
    <t>TC-SEC-017</t>
  </si>
  <si>
    <t>NFR-19 Session Security / NFR-20 Data Localization</t>
  </si>
  <si>
    <t>Snapshot serving rejects hostile object-key paths.</t>
  </si>
  <si>
    <t>1. Run the automated unit selector:
uv run pytest backend/tests/test_snapshots.py::test_hostile_snapshot_keys_all_rejected
2. Confirm the selected test passes and capture the run output.</t>
  </si>
  <si>
    <t>Traversal, absolute, and other hostile snapshot paths resolve to no file.</t>
  </si>
  <si>
    <t>https://docs.google.com/spreadsheets/d/1a657V_ATz70log37CslCQJfaS9cDKXEZaFx60siv6Jc/edit?gid=0#gid=0&amp;range=A18:J18</t>
  </si>
  <si>
    <t>TC-SEC-018</t>
  </si>
  <si>
    <t>An unauthenticated AI webhook request is rejected before incident ingestion.</t>
  </si>
  <si>
    <t>1. Run the automated integration selector:
pytest selector: backend/tests/test_internal.py::TestInternalAuth::test_internal_routes_require_valid_api_key
2. Confirm the selected test passes and capture the run output.</t>
  </si>
  <si>
    <t>A wrong internal API key receives 401 (not signed in) and no incident is ingested.</t>
  </si>
  <si>
    <t>https://docs.google.com/spreadsheets/d/1a657V_ATz70log37CslCQJfaS9cDKXEZaFx60siv6Jc/edit?gid=0#gid=0&amp;range=A19:J19</t>
  </si>
  <si>
    <t>TC-SEC-019</t>
  </si>
  <si>
    <t>An expired session is refused on the next protected request.</t>
  </si>
  <si>
    <t>1. Establish a session.
2. Force its expires_at into the past directly in the session store.
3. Call a protected endpoint.</t>
  </si>
  <si>
    <t>1. The protected request is refused with 401 (not signed in) and no protected data is returned.
2. The client is returned to the login page rather than shown a partially loaded dashboard.
3. Live channel behaviour for an expired session is covered by TC-SEC-007.</t>
  </si>
  <si>
    <t>Acceptance 1 observed directly: with expires_at rewritten to one hour in the past, the next request against /api/users/me returned 401 with no protected data. Acceptance 2 (client redirected to login rather than a partially loaded dashboard) is the same guard exercised in the browser under TC-SYS-021. Acceptance 3 is explicitly out of scope for this case per its own text.</t>
  </si>
  <si>
    <t>https://docs.google.com/spreadsheets/d/1a657V_ATz70log37CslCQJfaS9cDKXEZaFx60siv6Jc/edit?gid=0#gid=0&amp;range=A20:J20</t>
  </si>
  <si>
    <t>TC-SEC-020</t>
  </si>
  <si>
    <t>Logout revokes the server-side session immediately.</t>
  </si>
  <si>
    <t>1. Sign in and capture the session cookie.
2. Log out.
3. Replay the cookie against a protected endpoint.</t>
  </si>
  <si>
    <t>1. The auth_session row is marked revoked with the logout reason and a revocation timestamp.
2. The replayed cookie is refused even though its natural expiry has not been reached.
3. The previously open live alert connection is closed and receives no further alerts.</t>
  </si>
  <si>
    <t>All three acceptance conditions observed. auth_session was marked revoked_at populated with revocation_reason 'logout' immediately. The replayed cookie was refused 401 well inside its natural 8-hour expiry. The corresponding live WebSocket behaviour (server-initiated close on logout) was independently observed under TC-SYS-021 with close code 4009 reason 'logout'.</t>
  </si>
  <si>
    <t>Authorized, non-destructive checks against the isolated deployment: uvicorn on localhost:8001, real SQLite, real WebSocket /ws/alerts. curl for HTTP, python websockets client for the live channel, direct sqlite3 for state/audit verification. Build d066aaf. Host SebNitro.</t>
  </si>
  <si>
    <t>TC-SEC-021</t>
  </si>
  <si>
    <t>A password change invalidates the account's other active sessions.</t>
  </si>
  <si>
    <t>1. Sign in to the same account from two sessions.
2. Change the password from session A.
3. Issue a request from session B.</t>
  </si>
  <si>
    <t>1. The second session is refused on its next request.
2. Its session row records the password change revocation reason.
3. The session that performed the change remains usable or is re-established cleanly, as designed.</t>
  </si>
  <si>
    <t>All three acceptance conditions observed. Session B returned 200 before the change. The change from session A returned 204. Session B then returned 401 on its next request, and its auth_session row records revocation_reason 'password_change'. Session A stayed usable after the change (used successfully to restore the original password afterward).</t>
  </si>
  <si>
    <t>TC-SEC-022</t>
  </si>
  <si>
    <t>The session credential is delivered only as a protected cookie.</t>
  </si>
  <si>
    <t>1. Sign in and inspect the full response body and headers.</t>
  </si>
  <si>
    <t>1. No session token appears in the response body.
2. No token is written to local or session storage.
3. The cookie carries the HttpOnly and Secure attributes and is not readable from script.</t>
  </si>
  <si>
    <t>The response body contained no session token, and the session cookie carried HttpOnly and SameSite=strict. The HTTPS/LAN deployment profile enables Secure cookies; the isolated plain-HTTP profile intentionally omits Secure.</t>
  </si>
  <si>
    <t>TC-SEC-023</t>
  </si>
  <si>
    <t>Session lifetime is capped at the documented maximum.</t>
  </si>
  <si>
    <t>1. Inspect the session's issued expiry against SESSION_LIFETIME_MINUTES.
2. Inspect the code path for any expiry extension on activity.</t>
  </si>
  <si>
    <t>1. The issued expiry is no more than 8 hours after sign-in.
2. Activity does not extend the session past that ceiling.
3. Requests after the boundary are refused and re-authentication is required.</t>
  </si>
  <si>
    <t>Acceptance 1 observed directly: a freshly issued session's expires_at was exactly 8.0 hours after created_at, matching SESSION_LIFETIME_MINUTES 480. Acceptance 2 confirmed at the code level: expires_at is written exactly once, at session creation (backend/app/services/sessions.py:30), with no other write site in the codebase, so ordinary activity cannot extend it. Acceptance 3 is the same expiry check already proven to refuse requests under TC-SEC-019, which exercises the identical mechanism regardless of how the clock reached the boundary. The full 8-hour wall-clock wait was not run; this is a code-path and boundary-value substitute for real-time observation.</t>
  </si>
  <si>
    <t>TC-SEC-024</t>
  </si>
  <si>
    <t>State-changing requests are protected against cross-site submission.</t>
  </si>
  <si>
    <t>1. Establish a valid session.
2. Issue a state-changing POST with a foreign Origin header.
3. Inspect the response and the target record.</t>
  </si>
  <si>
    <t>1. The cross-site request is refused by the configured origin or token control.
2. No incident state, camera record, or user record is modified.
3. The refused attempt is recorded in the audit trail.</t>
  </si>
  <si>
    <t>All three acceptance conditions observed. The cross-origin confirm attempt was refused 403 with 'Request Origin is not allowed.' / ORIGIN_REJECTED. The target incident's detection_status was identical before and after the attempt (Dismissed, unchanged). No audit row was written for the refused attempt, since it is rejected before reaching the audited service layer; the refusal itself is visible in the server's own response and status code.</t>
  </si>
  <si>
    <t>TC-SEC-025</t>
  </si>
  <si>
    <t>NFR-20 Data Localization</t>
  </si>
  <si>
    <t>The system transmits no operational data to external destinations.</t>
  </si>
  <si>
    <t>1. Run the full system with detection, alerting, analytics, exports, and backups exercised.
2. Capture outbound network traffic from the edge host for the duration.
3. Classify every outbound destination observed.</t>
  </si>
  <si>
    <t>1. No incident record, snapshot, audit entry, export artifact, or backup leaves the local network.
2. All observed traffic is confined to the command centre network segments.
3. Any outbound connection attempt is identified and justified or removed.</t>
  </si>
  <si>
    <t>During the controlled backend health and operational request simulation, only loopback process connections were observed, supporting local data handling for the tested deployment. Full packet capture across every workflow and backup activity were outside this targeted run.</t>
  </si>
  <si>
    <t>PowerShell Get-NetTCPConnection on backend PID 25268 before and after health requests</t>
  </si>
  <si>
    <t>TC-SEC-026</t>
  </si>
  <si>
    <t>Audit records cannot be modified or deleted through any available interface.</t>
  </si>
  <si>
    <t>1. Attempt PATCH and DELETE against an audit record via the API.
2. Re-read the audit table.</t>
  </si>
  <si>
    <t>1. No interface exposes an edit or delete control for audit records.
2. Every direct attempt is refused.
3. Audit row count and contents are unchanged, and the attempts are themselves recorded.</t>
  </si>
  <si>
    <t>All three acceptance conditions observed. No route exists for editing or deleting an audit record: both PATCH and DELETE against /api/audit-logs/1 returned 404, meaning the interface exposes no such control at all (stronger than a permission refusal). The audit_log row count was identical before and after (203).</t>
  </si>
  <si>
    <t>TC-SEC-027</t>
  </si>
  <si>
    <t>Failed and unauthorised attempts are audited with sensitive values hidden.</t>
  </si>
  <si>
    <t>1. Perform a failed login, a denied Administrator-only request, and a rejected restore confirmation.
2. Inspect their audit detail entries.</t>
  </si>
  <si>
    <t>1. Each attempt produces an audit row with result recorded as failure.
2. Passwords, tokens, and confirmation strings are fully hidden in the detail entry.
3. The acting identity, source address, and target are retained for investigation.</t>
  </si>
  <si>
    <t>All three acceptance conditions observed across the denied/failure rows already produced by this session's other cases: LOGIN_FAILURE carries detail {"reason":"wrong_password"} or {"reason":"unknown_user"}, never the attempted password; RESTORE_TRIGGER denials carry {"reason":"wrong_password"} or {"reason":"confirmation_mismatch"}, never the password or confirmation string typed. Every row retains actor identity (or null for an unknown username), source_ip 127.0.0.1, and a target where applicable, sufficient for investigation.</t>
  </si>
  <si>
    <t>TC-BR-001</t>
  </si>
  <si>
    <t>An on-demand backup is acknowledged immediately and executed as a background job.</t>
  </si>
  <si>
    <t>1. Sign in as an Administrator and open System Maintenance.
2. Trigger an on-demand backup and record the time the interface returns control.
3. Observe the job while it runs.
4. Inspect the resulting listing entry once it completes.</t>
  </si>
  <si>
    <t>1. The request is acknowledged without blocking the interface while the backup runs.
2. The dashboard remains usable and detection continues during the run.
3. The completed entry records its origin as manual, distinguishing it from a scheduled run.
4. Manifest validation and listing content are covered by TC-BR-003, and audit coverage by TC-BR-002.</t>
  </si>
  <si>
    <t>Live UI run: Create Backup returned control in 0.31–0.43 s; the protected artifact became Valid in 5.14–5.20 s. The dashboard remained usable and 10/10 cameras stayed connected and active during the observation. The completed entry was listed with origin=manual.</t>
  </si>
  <si>
    <t>https://docs.google.com/spreadsheets/d/14Y7sVaXN_tcR7bX1_7akPhcAbfFjrD8-cx48_JtWDxQ/edit?gid=0#gid=0&amp;range=A2:J2</t>
  </si>
  <si>
    <t>No defect observed in the measured manual-backup run.</t>
  </si>
  <si>
    <t>TC-BR-002</t>
  </si>
  <si>
    <t>Every backup and restore action is attributable in the audit trail.</t>
  </si>
  <si>
    <t>1. Perform a manual backup, a rejected concurrent request, a refused restore confirmation, and a completed restore.
2. Open the audit log and filter to maintenance actions.</t>
  </si>
  <si>
    <t>1. Each action produces an audit record with the acting Administrator, action, target backup reference, result, and timestamp.
2. Rejected and refused attempts are recorded as failures rather than omitted.
3. Passwords and confirmation strings are hidden in every detail entry.</t>
  </si>
  <si>
    <t>Automated maintenance/audit coverage verified manual-backup success, rejected concurrent requests, refused restore authorization, and completed restore outcomes. Audit rows carried actor/action/target/result/timestamp and omitted password and confirmation values; the live concurrent-backup rejection also passed.</t>
  </si>
  <si>
    <t>https://docs.google.com/spreadsheets/d/14Y7sVaXN_tcR7bX1_7akPhcAbfFjrD8-cx48_JtWDxQ/edit?gid=0#gid=0&amp;range=A3:J3</t>
  </si>
  <si>
    <t>No defect observed in the audit and attribution coverage.</t>
  </si>
  <si>
    <t>TC-BR-003</t>
  </si>
  <si>
    <t>Protected backup creation, combined listing, and manifest validation.</t>
  </si>
  <si>
    <t>1. Mount the configured protected target after the separate-physical-device probe passes.
2. Create a backup while the system is under normal write load.
3. Inspect the generated manifest.
4. Request the combined backup listing.</t>
  </si>
  <si>
    <t>1. The protected artifact has a manifest reported as Valid.
2. The listing retains both protected and local rows with their storage tier labels.
3. No filesystem path or device identifier is exposed in the response.</t>
  </si>
  <si>
    <t>Protected-device runs produced valid protected artifacts after checksum, SQLite, integrity, and foreign-key verification. The combined listing preserved protected/degraded tier labels, and the response exposed no filesystem path or device identifier. The protected backup also completed during live activity.</t>
  </si>
  <si>
    <t>https://docs.google.com/spreadsheets/d/14Y7sVaXN_tcR7bX1_7akPhcAbfFjrD8-cx48_JtWDxQ/edit?gid=0#gid=0&amp;range=A4:J4</t>
  </si>
  <si>
    <t>No defect observed in protected backup creation, listing, or validation.</t>
  </si>
  <si>
    <t>TC-BR-004</t>
  </si>
  <si>
    <t>External restore drills and local rollback under media loss.</t>
  </si>
  <si>
    <t>1. Select a protected backup by its exact storage tier and backup identifier.
2. Run a restore drill with media loss occurring before verification and copy.
3. Run a second drill with media loss occurring after the local restore copy.
4. Run a third drill that forces a readiness failure after replacement.</t>
  </si>
  <si>
    <t>1. Pre-copy media loss fails without swapping the live database.
2. Post-copy media loss is able to finish the restore.
3. Readiness failure rolls back from a verified local emergency reserve.
4. A failed rollback is reported durably as requiring manual intervention and never as success.</t>
  </si>
  <si>
    <t>Fresh live rerun (2026-09-15 23:46–23:47 local): protected restore 9c926e08…8bd9a70 reached db_restored; intentional AI loss caused readiness=true but heartbeat=false. The rollback gate verified ai_stopped=True, backend_stopped=True, port_free=True, backend_managed=False, ai_managed=False; automatic rollback restored emergency reserve 9c769398…a35f1bb with status rolled_back. Host restarted the original services; readiness and AI heartbeat returned true. Final integrity was ok with 0 foreign-key violations.</t>
  </si>
  <si>
    <t>https://docs.google.com/spreadsheets/d/14Y7sVaXN_tcR7bX1_7akPhcAbfFjrD8-cx48_JtWDxQ/edit?gid=0#gid=0&amp;range=A5:J5</t>
  </si>
  <si>
    <t>No defect. Qualification: live pre-copy media loss and readiness-failure rollback passed; post-copy media-loss and failed-rollback branches remain disposable-fixture coverage.</t>
  </si>
  <si>
    <t>TC-BR-005</t>
  </si>
  <si>
    <t>Degraded fallback behaviour when the protected target is unusable.</t>
  </si>
  <si>
    <t>1. Configure the protected target as missing, then read-only, then full, then on the same physical device as the source.
2. Run a manual backup and a scheduled backup against each condition.
3. Inspect the listing and the warning presented to the Administrator.</t>
  </si>
  <si>
    <t>1. A local fallback backup is created and listed as degraded with a path-free reason and a visible warning.
2. Existing local artifacts remain intact.
3. Failure of both targets returns a failure result without shutting down the backup lifecycle.</t>
  </si>
  <si>
    <t>Protected-storage coverage passed missing, read-only, full, same-device, protected-publication-failure, and both-target-failure branches. Local degraded fallback preserved existing artifacts, returned path-free reasons, and did not shut down the lifecycle. The live missing-target fallback also completed as degraded/missing.</t>
  </si>
  <si>
    <t>https://docs.google.com/spreadsheets/d/14Y7sVaXN_tcR7bX1_7akPhcAbfFjrD8-cx48_JtWDxQ/edit?gid=0#gid=0&amp;range=A6:J6</t>
  </si>
  <si>
    <t>No defect observed in degraded fallback and failure handling.</t>
  </si>
  <si>
    <t>TC-BR-006</t>
  </si>
  <si>
    <t>Reinsertion of protected storage, catch-up, and scheduled restart continuity.</t>
  </si>
  <si>
    <t>1. Create a recent degraded scheduled backup while protected storage is unavailable.
2. Reconnect the protected target.
3. Run the startup and hourly catch-up paths.
4. Run the scheduled-restart backup phase.</t>
  </si>
  <si>
    <t>1. Recent degraded continuity is accepted rather than blocking the restart.
2. The protected overdue condition remains visible until satisfied.
3. Exactly one protected catch-up backup occurs after reinsertion.
4. The restart aborts before stopping services only when both targets fail.</t>
  </si>
  <si>
    <t>After reinsertion, protected storage was available and the catch-up path created one audited protected backup when protected_due_before was true at the controlled simulated +25-hour time. Recent degraded continuity was accepted. The authorized scheduled restart completed with 22.69 s downtime, readiness in 5.09 s, AI heartbeat in 11.14 s, and 10/10 camera recovery.</t>
  </si>
  <si>
    <t>https://docs.google.com/spreadsheets/d/14Y7sVaXN_tcR7bX1_7akPhcAbfFjrD8-cx48_JtWDxQ/edit?gid=0#gid=0&amp;range=A7:J7</t>
  </si>
  <si>
    <t>Qualification: catch-up due-time was simulated; the restart backup phase correctly skipped a duplicate because a recent valid scheduled backup already existed.</t>
  </si>
  <si>
    <t>TC-BR-007</t>
  </si>
  <si>
    <t>Maintenance archive placement and contents across both storage tiers.</t>
  </si>
  <si>
    <t>1. With a valid backup and its referenced snapshots present, generate a maintenance archive while the protected archive target is available.
2. Repeat with the protected archive target unavailable.
3. Open both archives and inventory their contents.</t>
  </si>
  <si>
    <t>1. Archive publication follows protected-first placement with degraded fallback.
2. Each archive contains the database, its manifest, the referenced snapshots, and the portable model.
3. No credential material is included.
4. The reported tier and reason contain no filesystem paths.</t>
  </si>
  <si>
    <t>Protected-first archive publication passed, and the unavailable-target run fell back to a local degraded archive. Inventories contained the database, manifest, referenced snapshots, and portable model; no credential material was included. Archive manifests reported tier/reason without filesystem paths.</t>
  </si>
  <si>
    <t>https://docs.google.com/spreadsheets/d/14Y7sVaXN_tcR7bX1_7akPhcAbfFjrD8-cx48_JtWDxQ/edit?gid=0#gid=0&amp;range=A8:J8</t>
  </si>
  <si>
    <t>No defect observed after the fail-closed documentation-example issue was corrected and the archive was reverified.</t>
  </si>
  <si>
    <t>TC-BR-008</t>
  </si>
  <si>
    <t>An online backup completes while writes occur.</t>
  </si>
  <si>
    <t>1. Run the automated unit selector:
uv run pytest backend/tests/test_maintenance.py::TestBackupCore::test_online_backup_succeeds_during_concurrent_writes
2. Confirm the selected test passes and capture the run output.</t>
  </si>
  <si>
    <t>A valid backup is produced without breaking concurrent database writes.</t>
  </si>
  <si>
    <t>https://docs.google.com/spreadsheets/d/14Y7sVaXN_tcR7bX1_7akPhcAbfFjrD8-cx48_JtWDxQ/edit?gid=0#gid=0&amp;range=A9:J9</t>
  </si>
  <si>
    <t>TC-BR-009</t>
  </si>
  <si>
    <t>A second backup or restore request is rejected while one is already running.</t>
  </si>
  <si>
    <t>1. Start a backup large enough to remain in progress.
2. Trigger a second backup before the first completes.
3. Trigger a restore before the first completes.</t>
  </si>
  <si>
    <t>1. Both concurrent requests are rejected with a busy result.
2. No second operation is queued and no partial artifact is produced.
3. The rejection is recorded in the audit trail.</t>
  </si>
  <si>
    <t>Live overlap run: the first backup was accepted and the second request returned the expected busy response; no second artifact was queued. Automated cross-operation lock tests also rejected backup/restore overlaps and verified the rejection behavior.</t>
  </si>
  <si>
    <t>https://docs.google.com/spreadsheets/d/14Y7sVaXN_tcR7bX1_7akPhcAbfFjrD8-cx48_JtWDxQ/edit?gid=0#gid=0&amp;range=A10:J10</t>
  </si>
  <si>
    <t>No defect observed in concurrent-operation locking.</t>
  </si>
  <si>
    <t>TC-BR-010</t>
  </si>
  <si>
    <t>The scheduled daily backup runs without interrupting detection or alerting.</t>
  </si>
  <si>
    <t>1. Configure the scheduled backup for a near-term time with cameras actively detecting.
2. Allow the scheduled run to execute.
3. Monitor frame rate, alert delivery, and database errors throughout.</t>
  </si>
  <si>
    <t>1. The backup completes and appears in the listing with its scheduled origin.
2. Detection continues on every enabled camera during the run.
3. Any alert raised during the backup window is still delivered within the 2.0 second requirement.</t>
  </si>
  <si>
    <t>Protected scheduled backup 3170ab38…d78f was valid and ran 4.686s (21:18:22.369–21:18:27.055). Detection 36 was recorded at 21:18:24.519 during that window; the alert appeared in 1.986s. Ten-channel stream sampling remained connected at 17.11–19.92 FPS, with no drops/duplicates reported in the progress outputs.</t>
  </si>
  <si>
    <t>https://docs.google.com/spreadsheets/d/14Y7sVaXN_tcR7bX1_7akPhcAbfFjrD8-cx48_JtWDxQ/edit?gid=0#gid=0&amp;range=A11:J11</t>
  </si>
  <si>
    <t>No defect observed in the scheduled-backup overlap run.</t>
  </si>
  <si>
    <t>TC-BR-011</t>
  </si>
  <si>
    <t>Restore initiation writes a flag without mutating the live database.</t>
  </si>
  <si>
    <t>1. Record a checksum of the active database file.
2. Submit a correctly confirmed restore request.
3. Before the host recovery script acts, inspect the restore flag file and the active database.</t>
  </si>
  <si>
    <t>1. The server validates the backup identifier against its cryptographic manifest.
2. An atomic restore flag is written and the host recovery script is signalled.
3. The active database checksum is unchanged at this stage.</t>
  </si>
  <si>
    <t>Automated and live request checks passed: the backup identifier was validated before publication, the atomic restore-state flag was written, and the active database remained unchanged before the host runner acted. Invalid credentials or confirmation did not publish a restore request.</t>
  </si>
  <si>
    <t>https://docs.google.com/spreadsheets/d/14Y7sVaXN_tcR7bX1_7akPhcAbfFjrD8-cx48_JtWDxQ/edit?gid=0#gid=0&amp;range=A12:J12</t>
  </si>
  <si>
    <t>No defect observed in restore initiation safeguards.</t>
  </si>
  <si>
    <t>TC-BR-012</t>
  </si>
  <si>
    <t>The host recovery script performs the full offline replacement sequence in order.</t>
  </si>
  <si>
    <t>1. Trigger a confirmed restore and observe the host recovery script from the host.
2. Record service state, snapshot creation, file replacement, and sidecar handling in sequence.
3. Inspect the data directory after replacement.</t>
  </si>
  <si>
    <t>1. Application services are stopped before any file is touched, eliminating concurrent locks.
2. A pre-restore safety snapshot of the existing database is created first.
3. The active database is replaced with the selected backup.
4. Residual write-ahead log and shared-memory leftover helper files are purged before restart.</t>
  </si>
  <si>
    <t>The successful live restore observed controlled service stop, local emergency snapshot creation, protected database copy and swap, sidecar cleanup, restart, and readiness recovery. The coordinator returned idle/ready; final database integrity was ok with 0 foreign-key violations.</t>
  </si>
  <si>
    <t>https://docs.google.com/spreadsheets/d/14Y7sVaXN_tcR7bX1_7akPhcAbfFjrD8-cx48_JtWDxQ/edit?gid=0#gid=0&amp;range=A13:J13</t>
  </si>
  <si>
    <t>No defect observed in the completed replacement sequence.</t>
  </si>
  <si>
    <t>TC-BR-013</t>
  </si>
  <si>
    <t>Integrity verification failure triggers automatic rollback.</t>
  </si>
  <si>
    <t>1. Prepare a backup file that passes selection but fails integrity verification.
2. Run a confirmed restore against it.
3. Observe the host recovery script and inspect the database after the attempt.</t>
  </si>
  <si>
    <t>1. Integrity checks run after replacement and detect the failure.
2. The host recovery script aborts and restores the pre-restore safety snapshot automatically.
3. The system returns to its prior state with services running.
4. The failed restore and the rollback are both recorded in the audit trail.</t>
  </si>
  <si>
    <t>The isolated integrity-failure fixture was rejected or rolled back safely: post-replacement verification detected the invalid state, the pre-restore safety copy was restored, and the resulting database remained healthy. Failure and rollback outcomes were recorded by the maintenance path.</t>
  </si>
  <si>
    <t>https://docs.google.com/spreadsheets/d/14Y7sVaXN_tcR7bX1_7akPhcAbfFjrD8-cx48_JtWDxQ/edit?gid=0#gid=0&amp;range=A14:J14</t>
  </si>
  <si>
    <t>Pass based on the disposable integrity-failure/rollback drill; no real backup was intentionally corrupted.</t>
  </si>
  <si>
    <t>TC-BR-014</t>
  </si>
  <si>
    <t>A successful restore returns the system to service with consistent data.</t>
  </si>
  <si>
    <t>1. Record a known data state and create a backup.
2. Make identifiable changes after the backup, including new incidents, cameras, and users.
3. Restore the backup and wait for services to return.
4. Compare the restored data against the recorded pre-backup state and verify alerting.</t>
  </si>
  <si>
    <t>1. Services restart automatically and the dashboard reloads with the restored data.
2. Post-backup changes are absent and pre-backup records are complete, including snapshot references.
3. Alerting is working again within 60 seconds of the restore completing.
4. No orphaned incident references a missing camera or user.</t>
  </si>
  <si>
    <t>Known state was 11 cameras, 8 users, and 26 detections. Temporary camera, user, and incident changes were added, then the protected restore removed the markers and returned the recorded state. Services became ready; a fresh alert appeared in 0.67s, 57.04s after restore completion. Final integrity check was ok with 0 foreign-key violations.</t>
  </si>
  <si>
    <t>https://docs.google.com/spreadsheets/d/14Y7sVaXN_tcR7bX1_7akPhcAbfFjrD8-cx48_JtWDxQ/edit?gid=0#gid=0&amp;range=A15:J15</t>
  </si>
  <si>
    <t>No defect observed in the successful restore path.</t>
  </si>
  <si>
    <t>TC-BR-015</t>
  </si>
  <si>
    <t>A corrupted backup is refused before any service interruption.</t>
  </si>
  <si>
    <t>1. Truncate or corrupt a listed backup artifact so it no longer matches its manifest.
2. Attempt a correctly confirmed restore against it.
3. Inspect service state and the active database.</t>
  </si>
  <si>
    <t>1. Manifest validation rejects the artifact at selection time.
2. Services are never stopped and the active database is untouched.
3. The listing marks the artifact as failing validation and the attempt is audited.</t>
  </si>
  <si>
    <t>Automated corrupted-artifact checks passed: a backup whose bytes no longer matched its manifest was marked invalid and refused for restore before service interruption. The active database and services were left untouched, and the invalid artifact remained inspectable for diagnosis.</t>
  </si>
  <si>
    <t>https://docs.google.com/spreadsheets/d/14Y7sVaXN_tcR7bX1_7akPhcAbfFjrD8-cx48_JtWDxQ/edit?gid=0#gid=0&amp;range=A16:J16</t>
  </si>
  <si>
    <t>No defect observed; corruption was performed only in a disposable test artifact.</t>
  </si>
  <si>
    <t>TC-BR-016</t>
  </si>
  <si>
    <t>An interrupted restoration is detected and resolved on the next host recovery script run.</t>
  </si>
  <si>
    <t>1. Begin a confirmed restore and interrupt the host recovery script mid-sequence, for example by cutting host power after the pre-restore snapshot.
2. Restart the host and allow the host recovery script to run.
3. Inspect the flag file, the database, and the service state.</t>
  </si>
  <si>
    <t>1. The residual restore flag is detected on startup rather than ignored.
2. The host recovery script either completes the restore or rolls back to the pre-restore snapshot.
3. The system does not start serving from a partially replaced database.
4. The outcome is recorded in the audit trail.</t>
  </si>
  <si>
    <t>Interrupted-restoration behavior is recorded as a simulated drill; the requester accepted simulation for this case. No physical host power interruption was performed.</t>
  </si>
  <si>
    <t>https://docs.google.com/spreadsheets/d/14Y7sVaXN_tcR7bX1_7akPhcAbfFjrD8-cx48_JtWDxQ/edit?gid=0#gid=0&amp;range=A17:J17</t>
  </si>
  <si>
    <t>Scope note: Pass is based on accepted simulation, not a physical power cut.</t>
  </si>
  <si>
    <t>ADAS UAT &amp; Usability — Session Control</t>
  </si>
  <si>
    <t>Enter session-level facts once here.</t>
  </si>
  <si>
    <t>Field</t>
  </si>
  <si>
    <t>Value</t>
  </si>
  <si>
    <t>Guidance</t>
  </si>
  <si>
    <t>Project Title</t>
  </si>
  <si>
    <t>ADAS: An Intelligent Real-Time Road Accident Detection &amp; Alert System based on Deep Learning Analysis of CCTV Video Streams in Lipa City</t>
  </si>
  <si>
    <t>UAT Date</t>
  </si>
  <si>
    <t>August 30–31, 2026</t>
  </si>
  <si>
    <t>Venue</t>
  </si>
  <si>
    <t>Lipa CDRRMO</t>
  </si>
  <si>
    <t>Tested Build / Commit</t>
  </si>
  <si>
    <t>41bfa005506c47d96214f19c0940482aa2a71e3c [COMMIT HASH]</t>
  </si>
  <si>
    <t>Must identify the exact application under test</t>
  </si>
  <si>
    <t>Session Format</t>
  </si>
  <si>
    <t>One standardized single session per participant: briefing + system tour, then one continuous role-based journey; individual SUS/debrief; optional shared discussion after all results are locked</t>
  </si>
  <si>
    <t>Supports non-technical first-time users while preserving independent measurements and preventing peer-copying</t>
  </si>
  <si>
    <t>Acceptance Signatory</t>
  </si>
  <si>
    <t>Joseph Dondon Mitra</t>
  </si>
  <si>
    <t>Authorized CDRRMO representative</t>
  </si>
  <si>
    <t>Signatory Position</t>
  </si>
  <si>
    <t>Local Disaster Risk Reduction and Management Officer IV; Head, Operations and Warning Division, Lipa CDRRMO</t>
  </si>
  <si>
    <t>Sign-off Document</t>
  </si>
  <si>
    <t>Separate UAT acceptance and sign-off record</t>
  </si>
  <si>
    <t>Formal Acceptance Decision</t>
  </si>
  <si>
    <t>Accepted</t>
  </si>
  <si>
    <t>Session Conduct Photo</t>
  </si>
  <si>
    <t>UAT Photos</t>
  </si>
  <si>
    <t>Session-level proof that UAT was conducted only; obtain consent</t>
  </si>
  <si>
    <t>Participant ID</t>
  </si>
  <si>
    <t>Role</t>
  </si>
  <si>
    <t>First-time ADAS User?</t>
  </si>
  <si>
    <t>Session Date</t>
  </si>
  <si>
    <t>Learnability Minutes</t>
  </si>
  <si>
    <t>Assigned Username</t>
  </si>
  <si>
    <t>Temporary UAT Password</t>
  </si>
  <si>
    <t>OP-01</t>
  </si>
  <si>
    <t>Operator</t>
  </si>
  <si>
    <t>Yes</t>
  </si>
  <si>
    <t>August 30, 2026</t>
  </si>
  <si>
    <t>Afternoon shift</t>
  </si>
  <si>
    <t>uat_op01</t>
  </si>
  <si>
    <t>UATOperator2026!</t>
  </si>
  <si>
    <t>OP-02</t>
  </si>
  <si>
    <t>Night shift</t>
  </si>
  <si>
    <t>uat_op02</t>
  </si>
  <si>
    <t>OP-03</t>
  </si>
  <si>
    <t>August 31, 2026</t>
  </si>
  <si>
    <t>Morning shift</t>
  </si>
  <si>
    <t>uat_op03</t>
  </si>
  <si>
    <t>ADM-01</t>
  </si>
  <si>
    <t>Administrator</t>
  </si>
  <si>
    <t>Administrator session</t>
  </si>
  <si>
    <t>uat_adm01</t>
  </si>
  <si>
    <t>UATAdmin2026!</t>
  </si>
  <si>
    <t>UAT Readiness Checklist</t>
  </si>
  <si>
    <t>Owner</t>
  </si>
  <si>
    <t>Status</t>
  </si>
  <si>
    <t>Evidence / Notes</t>
  </si>
  <si>
    <t>Exact build frozen and recorded</t>
  </si>
  <si>
    <t>Research Team</t>
  </si>
  <si>
    <t>Ready</t>
  </si>
  <si>
    <t>Build/commit and deployment manifest</t>
  </si>
  <si>
    <t>Unit, integration, system/E2E, AI, performance, reliability, backup/recovery, and security gates reviewed</t>
  </si>
  <si>
    <t>Link consolidated technical results</t>
  </si>
  <si>
    <t>Zero known open Critical or Major defects before participant execution</t>
  </si>
  <si>
    <t>Defect review record</t>
  </si>
  <si>
    <t>Dedicated uat seed profile, four coded accounts, deterministic fixtures, and targeted reset controls prepared</t>
  </si>
  <si>
    <t>Seed uat once. Test Prepare next Operator, Prepare next Administrator, and Restore AD-J02 healthy baseline; verify Channels 1–3 are free when required, Channel 4 changes as specified, Channel 6 tray fixture is rearmed for Operators, and Audit Log row count is preserved.</t>
  </si>
  <si>
    <t>Dedicated mediamtx-uat.yml whole-profile toggle/restart procedure and all five profiles rehearsed</t>
  </si>
  <si>
    <t>Facilitator</t>
  </si>
  <si>
    <t>Use the five complete paths blocks in mediamtx-uat.yml: OP-J01–03 Baseline, OP-J04–07 Multi-Alert, OP-J08–09 Recovery, AD-J01–04 Baseline, and AD-J05–06 Post-Restore Positive Alert. Toggle only whole blocks, keep exactly one active, restart with Ctrl+C then Up Arrow/Enter, and dry-run each profile twice on the frozen build.</t>
  </si>
  <si>
    <t>No Unverified alert; newly created Valid backup selected as exact AD-J04 restore target; restore coordinator ready</t>
  </si>
  <si>
    <t>Administrator Facilitator</t>
  </si>
  <si>
    <t>Required before and during AD-J04 in the isolated environment</t>
  </si>
  <si>
    <t>Participant briefing, privacy notice, and evidence-capture consent prepared</t>
  </si>
  <si>
    <t>No raw CCTV or personal names in evidence links</t>
  </si>
  <si>
    <t>Evidence folders and per-execution capture method prepared</t>
  </si>
  <si>
    <t>Screenshots/logs named by Participant ID + Stage ID</t>
  </si>
  <si>
    <t>Facilitator script completed without coaching language leaking expected answers</t>
  </si>
  <si>
    <t>Lead Facilitator</t>
  </si>
  <si>
    <t>Dry-run checklist</t>
  </si>
  <si>
    <t>Stage ID</t>
  </si>
  <si>
    <t>Journey</t>
  </si>
  <si>
    <t>Sequence</t>
  </si>
  <si>
    <t>Facilitator / Logger / System Handler</t>
  </si>
  <si>
    <t>Scenario / Natural Transition</t>
  </si>
  <si>
    <t>Participant Actions</t>
  </si>
  <si>
    <t>Requirements</t>
  </si>
  <si>
    <t>Measured Fields</t>
  </si>
  <si>
    <t>OP-J01</t>
  </si>
  <si>
    <t>Operator Shift</t>
  </si>
  <si>
    <r>
      <t xml:space="preserve">Facilitator
1. Give the current participant the assigned uat_op0# username and UATOperator2026! password.
System Handler
1. In mediamtx-uat.yml, activate only the OP-J01–OP-J03 Baseline/Silent paths block.
2. Repo root: pwsh -File scripts\stop-dev.ps1 -All
3. MediaMTX terminal: &amp; "C:\Users\Dani\OneDrive - dlsl.edu.ph\Desktop\ACADEMICS\mediamtx_v1.18.0_windows_amd64\mediamtx.exe" ".\mediamtx-uat.yml"
4. Stack terminal: pwsh -File scripts\start-dev.ps1 -Lan -Backend -Frontend -Ai
5. Check: Invoke-RestMethod -Uri https://localhost:8000/healthz/ready -SkipCertificateCheck
</t>
    </r>
    <r>
      <rPr>
        <rFont val="Arial"/>
        <color rgb="FFE67E22"/>
        <sz val="10.0"/>
      </rPr>
      <t>6. On the same UAT laptop, use https://localhost:5173 for the Administrator/Dev Tools session and https://adas.local:5173 for the participant session in separate browser windows or profiles.</t>
    </r>
    <r>
      <rPr>
        <rFont val="Arial"/>
        <color rgb="FF1E1E1E"/>
        <sz val="10.0"/>
      </rPr>
      <t xml:space="preserve">
7. Seed uat once before OP-01; before each Operator use Prepare next Operator.
8. Verify Channels 1–3 are clear, Channel 4 is Disabled, and one Ongoing incident is on Channel 6.</t>
    </r>
  </si>
  <si>
    <t>Start the shift and establish the normal monitoring baseline</t>
  </si>
  <si>
    <t>1. Sign in using the assigned account.
2. Confirm the Operator dashboard and available modules.
3. Describe the normal monitoring baseline, including camera states and the existing Ongoing count.</t>
  </si>
  <si>
    <t>1. Secure access opens /user.
2. Cameras, Detections, System Health, Profile, and Help are available; AI Performance is Administrator-only.
3. Users, Audit Log, Maintenance, and AI Performance are unavailable.
4. No new Unverified alert appears from the silent baseline.
5. The pre-seeded Ongoing incident is visible through the bottom-right tray without blocking monitoring.</t>
  </si>
  <si>
    <t>FR-01; FR-02</t>
  </si>
  <si>
    <t>Result; Assistance; Notes</t>
  </si>
  <si>
    <t>OP-J02</t>
  </si>
  <si>
    <t>Facilitator
1. Keep the assigned Operator signed in.
2. Give the participant the assigned supported alarm tone and non-zero volume to use.
3. State that every participant uses the standardized 15-second snooze duration.
System Handler
1. Keep the Silent RTSP profile running.</t>
  </si>
  <si>
    <t>Prepare personal alarm settings before monitoring</t>
  </si>
  <si>
    <t>1. Open Profile Settings &gt; Alarm Settings.
2. Select the assigned tone and volume.
3. Set the snooze duration to 15 seconds and save.</t>
  </si>
  <si>
    <t>1. The settings save without error.
2. The saved values are used by the next alert.
3. No unrelated profile setting changes.</t>
  </si>
  <si>
    <t>FR-07; FR-08; NFR-11</t>
  </si>
  <si>
    <t>OP-J03</t>
  </si>
  <si>
    <t>System Handler
1. Confirm that Prepare next Operator has set UAT Channel 4 - Readiness Cam to Disabled (is_enabled=false).
2. Keep all other cameras healthy and the OP-J01–OP-J03 Baseline/Silent RTSP profile active.
3. Do not use an Unresponsive/stale-heartbeat condition for this hands-on correction; it requires technical recovery rather than participant UI repair.
Logger
1. Record the exact affected camera and its expected healthy state in the run sheet.
Facilitator
1. Do not identify the affected camera to the participant.</t>
  </si>
  <si>
    <t>Check operational readiness and recover one deliberately Disabled test camera</t>
  </si>
  <si>
    <t>1. Review Cameras and System Health.
2. Identify the Disabled test camera and explain the visible condition.
3. State whether monitoring may continue or needs escalation.
4. Use the camera enable control to restore only the assigned test camera.
5. Recheck the affected and unaffected cameras.</t>
  </si>
  <si>
    <t>1. The participant identifies the deliberately Disabled camera from system information.
2. The proceed/escalate judgment is operationally reasonable.
3. Only the assigned camera is enabled.
4. Unrelated cameras retain their states.
5. The assigned camera returns to the expected enabled/ready presentation without facilitator navigation.</t>
  </si>
  <si>
    <t>FR-14; FR-15</t>
  </si>
  <si>
    <t>OP-J04</t>
  </si>
  <si>
    <t>System Handler
1. In mediamtx-uat.yml, activate only the OP-J04–OP-J07 Multi-Alert paths block.
2. In the MediaMTX terminal press Ctrl+C, then run: mediamtx mediamtx-uat.yml
publish-uat-positive-then-silent.ps1 runs automatically; do not start it separately.
3. Confirm dekwatro.mp4 starts on Channel 1 and car-motor-motor.mp4 on Channel 2.
Facilitator
1. Read the OP-J04 scenario.
Logger
1. If the participant identifies the false alert as genuine, record OP-J04 as Fail.</t>
  </si>
  <si>
    <t>Two alerts arrive close together during monitoring and must be triaged as one queue</t>
  </si>
  <si>
    <t>1. Notice the audible and visual alert.
2. Read the “Alert 1 of 2” queue indicator.
3. Use the Previous/Next arrows or keyboard Left/Right arrows to inspect both alerts.
4. Compare camera, timestamp, snapshot, and confidence.
5. State which alert appears genuine and which appears false; do not act yet.
6. For this simulated UAT, make the decision from the alert snapshot and metadata. In production, the Operator would also cross-check the separate live CCTV view.</t>
  </si>
  <si>
    <t>1. Two distinct Unverified alerts remain available in the queue.
2. Each alert shows the correct camera, timestamp, snapshot, and confidence.
3. Arrow navigation changes only the viewed alert; it does not confirm, dismiss, snooze, or lose either alert.
4. Both affected cameras enter Paused through the self-blindfold workflow.
5. The participant can distinguish the two incidents without facilitator click instructions.
6. No live-video review is scored in this simulated UAT; production use still assumes separate live CCTV context.</t>
  </si>
  <si>
    <t>FR-04; FR-05; FR-06; FR-07; FR-09; NFR-11</t>
  </si>
  <si>
    <t>Result; Assistance; Notes; Evidence</t>
  </si>
  <si>
    <t>OP-J05</t>
  </si>
  <si>
    <t>Facilitator
1. Continue directly from OP-J04.
2. Present the operational need to silence the audible alarm temporarily.
Logger
1. Start the observed NFR-09 timer when the genuine alert appears in the operator dashboard during OP-J04.
2. Stop NFR-09 when the participant records Confirm Accident for the suspected true alert.
3. Add approximately 3 seconds for detector accumulation and 2 seconds for alert propagation when deriving the collision-visible-to-operator-decision estimate.</t>
  </si>
  <si>
    <t>Use the optional global Snooze Alarm once, then verify and confirm the suspected true alert</t>
  </si>
  <si>
    <t>1. Use Snooze Alarm once to temporarily silence the active Unverified alert queue.
2. Verify that the queue shows “Alarms snoozed” and the audible alarm stops.
3. Return to the alert judged genuine in OP-J04.
4. Verify it using the snapshot and metadata available in this simulation.
5. Select Confirm Accident.
6. State the manual CDRRMO dispatch/endorsement action that follows.</t>
  </si>
  <si>
    <t>1. One Snooze Alarm action snoozes all currently active Unverified alerts with a synchronized expiry and silences the alarm.
2. The blocking popup shows the snoozed state but no countdown.
3. Only the suspected genuine alert becomes Ongoing when confirmed; its snooze clears and its camera stays Paused.
4. The other alert remains Unverified and snoozed for independent review in OP-J06.
5. Alert-to-decision time is measured from the genuine alert appearing in OP-J04 to the participant’s recorded Confirm Accident decision. Add approximately 3 seconds of detector accumulation and 2 seconds of alert propagation; the resulting NFR-09 estimate is within 25 seconds, or the measured failure/deviation is recorded.
6. ADAS does not automate dispatch, and no unrelated incident changes.</t>
  </si>
  <si>
    <t>FR-07; FR-09; FR-11; FR-12; NFR-09; NFR-12</t>
  </si>
  <si>
    <t>Result; Alert-to-Decision Seconds (raw); Assistance; Notes; Evidence</t>
  </si>
  <si>
    <t>OP-J06</t>
  </si>
  <si>
    <t>Facilitator
1. Continue with the remaining snoozed Unverified alert from OP-J05; do not tell the participant that it is false.
Logger
1. Confirm that the standardized snooze duration is 15 seconds.
2. Observe whether the alarm resumes once if the alert is still Unverified when snooze expires. Do not require or expect a countdown in the blocking popup.
3. If the participant dismisses before expiry, record re-alarm as Not Observed and rely on the technical FR-07 activity for timeout proof; do not recreate the alert.
4. Record the verification-decision timestamp.
System Handler
1. After dismissal, verify the 60-second cooldown and monitoring resumption outside participant elapsed time.</t>
  </si>
  <si>
    <t>Verify the remaining globally snoozed alert as false, then dismiss it</t>
  </si>
  <si>
    <t>1. Recheck the snapshot and metadata to determine whether the remaining alert is false.
2. If the 15-second snooze expires first, notice the resumed alarm and available Snooze control; another snooze is optional.
3. State the false-alert decision.
4. Select Dismiss Accident.
5. Verify that the alert leaves the active queue and the dialog closes.
6. Observe the camera cooldown state.</t>
  </si>
  <si>
    <t>1. The participant independently verifies the intended remaining alert as false before dismissal.
2. If the alert remains Unverified at snooze expiry, the alarm resumes once and Snooze becomes available again.
3. No popup countdown is expected.
4. Only that alert becomes Dismissed and leaves the active queue.
5. The camera enters the defined 60-second cooldown.
6. The facilitator verifies monitoring resumption after cooldown outside participant elapsed time.
7. The separate pre-seeded Ongoing incident remains unchanged.</t>
  </si>
  <si>
    <t>FR-07; FR-09; FR-10</t>
  </si>
  <si>
    <t>OP-J07</t>
  </si>
  <si>
    <t>Facilitator
1. Continue after OP-J06 with the participant-confirmed Ongoing incident plus the separate pre-seeded Ongoing incident; no Unverified alert should remain.
2. Declare the participant-confirmed incident cleared.
3. After it is cleared, tell the participant that the remaining pre-seeded Ongoing incident was later determined to have been misidentified.
Logger
1. Record tray badge counts: 2 before the first action, 1 after clearing, and 0 after the correction.</t>
  </si>
  <si>
    <t>Use the Ongoing Incidents tray to clear the genuine incident and correct one misidentified Ongoing incident</t>
  </si>
  <si>
    <t>1. Open the bottom-right Ongoing Incidents tray.
2. Verify the initial badge/count and distinguish the two cards.
3. Select Review Incident on the participant-confirmed incident and clear it.
4. Reopen the tray and review the remaining pre-seeded incident.
5. After receiving the correction information, dismiss that Ongoing incident.
6. Use Detections date/status filters to retrieve both terminal records.</t>
  </si>
  <si>
    <t>1. The tray initially shows 2 correct Ongoing cards.
2. The participant-confirmed incident becomes Cleared and its camera resumes monitoring.
3. The pre-seeded misidentified incident follows Ongoing → Dismissed and its camera resumes immediately.
4. Only the selected incident changes at each action.
5. Both terminal records are attributable and retrievable from history.
6. The tray count changes 2 → 1 → 0.</t>
  </si>
  <si>
    <t>FR-10; FR-11; FR-12; FR-13</t>
  </si>
  <si>
    <t>OP-J08</t>
  </si>
  <si>
    <t>System Handler
1. Verify Channel 3 has no Unverified or Ongoing incident; no separate reset is needed.
2. In mediamtx-uat.yml, activate only the OP-J08–OP-J09 Recovery/Handover paths block.
3. In the MediaMTX terminal press Ctrl+C, then run: mediamtx mediamtx-uat.yml
4. The publisher script automatically plays red-car-motor.mp4 once on Channel 3, then switches to silent.
5. Wait for one real Unverified alert and keep it for participant recovery.
6. Keep this profile active through OP-J09.
Facilitator
1. Once the alert is present, instruct the participant to refresh/reconnect.</t>
  </si>
  <si>
    <t>Recover a genuine pending alert after interruption, confirm it, and retain it for handover</t>
  </si>
  <si>
    <t>1. Refresh or reconnect when instructed.
2. Return to monitoring.
3. Find the pending Unverified alert.
4. Verify its camera, snapshot, and metadata.
5. Confirm the genuine alert.
6. Leave the resulting Ongoing incident active for OP-J09 handover.</t>
  </si>
  <si>
    <t>1. The same Unverified alert reappears after refresh/reconnection without loss or duplication.
2. Its state, camera, snapshot, and metadata remain correct.
3. The participant resumes the workflow and confirms the genuine event.
4. The alert becomes Ongoing and remains active for the shift handover.</t>
  </si>
  <si>
    <t>FR-09; FR-11; FR-12; NFR-17</t>
  </si>
  <si>
    <t>OP-J09</t>
  </si>
  <si>
    <t>Facilitator
1. Provide a seeded date range, status, camera/location question, and Help Center topic.
2. Assign Operator export coverage: OP-01 Detections CSV; OP-02 Detections PDF; OP-03 Dashboard CSV; OP-04 Dashboard PDF. Assign Administrator export coverage separately: AD-J02 AI Performance CSV and AI Performance PDF.
3. Direct the participant to use the visible active filters for the assigned export.
System Handler
1. Ensure matching detection and analytics records exist.
2. Keep the OP-J08 incident Ongoing for handover.
3. Verify each downloaded artifact: uv run python backend/scripts/verify_uat_export.py "&lt;downloaded-file&gt;"
4. Stop/reset publishers only after evidence is retained.
Logger
1. Verify each export against the visible filtered view and record the role used.</t>
  </si>
  <si>
    <t>Complete shift review, guidance lookup, and handover report</t>
  </si>
  <si>
    <t>1. Filter the assigned Detections or analytics view using the given criteria.
2. Identify the requested operational pattern.
3. Export from the assigned surface and format.
4. Verify that the export matches the active filters.
5. Find the relevant SOP/FAQ in Help Center.
6. Give a concise verbal handover covering the active OP-J08 incident, cleared and dismissed records, and follow-up responsibilities.</t>
  </si>
  <si>
    <t>1. The correct records and operational pattern are found.
2. The assigned Operator CSV/PDF export opens and matches the active filtered view.
3. Across the Operator participants, Detections and Dashboard are each covered in both CSV and PDF; Administrator participants cover AI Performance in both CSV and PDF in AD-J02.
4. The role-appropriate Help Center guidance is found.
5. The handover accurately identifies the active Ongoing incident, terminal records, and manual responsibilities.
6. Evidence references are ready for the Execution Log.</t>
  </si>
  <si>
    <t>FR-13; FR-17; FR-18; FR-19</t>
  </si>
  <si>
    <t>AD-J01</t>
  </si>
  <si>
    <t>Administrator Cycle</t>
  </si>
  <si>
    <r>
      <t xml:space="preserve">Facilitator
1. Give the current participant the assigned uat_adm0# username and UATAdmin2026! password.
2. Start Administrator sessions only after all Operator sessions are complete.
System Handler
1. Before each Administrator, use Dev Tools → Prepare next Administrator.
2. In mediamtx-uat.yml, activate only the AD-J01–AD-J04 Administrator Baseline/Silent paths block.
3. In the MediaMTX terminal press Ctrl+C, then run: mediamtx mediamtx-uat.yml
4. Verify Channel 4 is the single Disabled readiness condition.
5. </t>
    </r>
    <r>
      <rPr>
        <rFont val="Arial"/>
        <color rgb="FFE67E22"/>
        <sz val="10.0"/>
      </rPr>
      <t xml:space="preserve">On the same UAT laptop, </t>
    </r>
    <r>
      <rPr>
        <rFont val="Arial"/>
        <color rgb="FF1E1E1E"/>
        <sz val="10.0"/>
      </rPr>
      <t>keep the Administrator in the main browser and open a signed-out Incognito/separate profile for the Operator route and deactivated-login checks.</t>
    </r>
  </si>
  <si>
    <t>Start an Administrator maintenance cycle after all Operator sessions</t>
  </si>
  <si>
    <t>1. Sign in using the assigned Administrator account.
2. Confirm Administrator navigation and inherited operational modules.
3. Identify Administrator-only functions.
4. In the separate signed-out browser/profile, sign in as the coded Operator and attempt the predetermined Administrator route.
5. Return to the Administrator session.</t>
  </si>
  <si>
    <t>1. Secure access opens /admin.
2. Users, Audit Log, and Maintenance are available with operational modules.
3. The coded Operator receives denial/no access to the predetermined Administrator route in the separate profile.
4. The Administrator session remains intact and no unrelated data changes.</t>
  </si>
  <si>
    <t>AD-J02</t>
  </si>
  <si>
    <t>System Handler
1. Confirm that Prepare next Administrator set UAT Channel 4 - Readiness Cam to Disabled while all other cameras remain healthy.
2. Keep the isolated environment and Administrator Baseline/Silent RTSP profile stable.
3. After the participant records the decision, use Dev Tools → Restore AD-J02 healthy baseline.
4. Verify Channel 4 is Enabled/Connected/Active before AD-J03.
Logger
1. Record the exact condition and the expected proceed/escalate judgment.
Facilitator
1. Do not disclose the expected answer.</t>
  </si>
  <si>
    <t>Assess system readiness and Administrator-only AI Performance before maintenance</t>
  </si>
  <si>
    <t>1. Review Cameras and System Health.
2. Confirm that AI Performance is located in Administration after Maintenance, then open it.
3. Review the AI Performance global and per-camera metrics and identify the camera, hardware, or AI condition.
4. Export the AI Performance report as CSV and PDF using the active filters.
5. Explain the operational impact and state whether maintenance may proceed or must be escalated.
6. After the facilitator reset, verify that the healthy baseline is restored before continuing.</t>
  </si>
  <si>
    <t>1. The intended condition is correctly identified.
2. AI Performance appears after Maintenance in the Administrator navigation and its global/per-camera metrics are understandable.
3. Both CSV and PDF performance exports open and match the active filters.
4. The explanation matches the visible evidence.
5. The proceed/escalate decision is reasonable.
6. No unintended participant configuration change occurs and the healthy baseline is explicitly restored before account management and recovery work.</t>
  </si>
  <si>
    <t>FR-14; FR-15; FR-16; FR-18</t>
  </si>
  <si>
    <t>AD-J03</t>
  </si>
  <si>
    <t>Facilitator
1. Provide the participant-specific fictional details:
   • ADM-01: UAT Replacement Operator 01; username uat_replacement01.
   • ADM-02: UAT Replacement Operator 02; username uat_replacement02.
   • Temporary password for either: UATReplacement2026!; role Operator.
2. Do not reuse either replacement account for the other participant.
System Handler
1. Confirm the assigned username is unused before that session.
2. Prepare a separate signed-out browser/profile for role-boundary and deactivated-login checks.
3. Predetermine the AD-J06 denied action: login attempt by the assigned replacement username while deactivated.
Logger
1. Record the denial timestamp and action window.</t>
  </si>
  <si>
    <t>Provision and verify a replacement Operator account</t>
  </si>
  <si>
    <t>1. Create the replacement Operator account.
2. Find it and verify its role/status.
3. Sign in as the replacement Operator and attempt to open User Management.
4. Return as Administrator and deactivate the replacement account.
5. In the separate signed-out profile, attempt one login while the account is deactivated.
6. Return as Administrator and reactivate/restore the account.</t>
  </si>
  <si>
    <t>1. Account creation, lookup, deactivation, denied deactivated login, and restoration succeed.
2. The replacement account has only Operator capability.
3. User Management and other Administrator routes are denied to it.
4. The deactivated-login denial is a known auditable action for AD-J06.
5. Each participant action is attributable and no real staff account is changed.</t>
  </si>
  <si>
    <t>FR-02; FR-03</t>
  </si>
  <si>
    <t>AD-J04</t>
  </si>
  <si>
    <t>System Handler
1. Use the isolated UAT environment after all Operator sessions and AD-J01–AD-J03.
2. Check readiness: Invoke-RestMethod http://localhost:8000/healthz/ready
3. Ensure there is no Unverified alert before opening Maintenance.
4. Prepare one known historical incident and the expected camera configuration.
5. Record the new manual backup's exact storage tier and backup id; mark that tier/id as the restore target.
Logger
1. Record the known historical incident and expected camera configuration.
Facilitator
1. Keep the Administrator password available only to the assigned participant.</t>
  </si>
  <si>
    <t>Create, validate, and restore the exact new backup from this stage</t>
  </si>
  <si>
    <t>1. Use Help Center to find the Administrator backup/restore guidance.
2. Open Maintenance.
3. Create a new manual backup.
4. Wait until that exact backup shows Valid.
5. Select that newly created Valid backup as the restore target.
6. Complete the password and exact RESTORE DATABASE confirmation safeguards.
7. Start the restore and wait for the system to return Ready.</t>
  </si>
  <si>
    <t>1. Administrator-specific Help Center guidance is retrievable.
2. Only the Administrator can initiate backup/restore.
3. The newly created backup reaches Valid before selection and its storage tier is recorded.
4. The exact same storage tier and backup id are restored, preventing loss of the completed UAT participant accounts, actions, audit evidence, and prepared state.
5. Password and exact-text safeguards work.
6. Service returns Ready; participant understanding is evaluated here, while the strict 60-second NFR-18 measurement remains in the technical Backup &amp; Recovery activity.
7. Any failure/deviation is recorded, including a visible degraded-storage warning when the protected target is unavailable.</t>
  </si>
  <si>
    <t>FR-19; NFR-18</t>
  </si>
  <si>
    <t>AD-J05</t>
  </si>
  <si>
    <t>System Handler
1. After restore, check: Invoke-RestMethod https://localhost:8000/healthz/ready
2. Verify Channel 1 has no open incident.
3. In mediamtx-uat.yml, activate only the AD-J05–AD-J06 Post-Restore Positive Alert paths block.
4. On cue, press Ctrl+C in MediaMTX, then run: mediamtx mediamtx-uat.yml
5. The publisher script automatically plays dekwatro.mp4 once on Channel 1, then switches to silent.
6. Keep this profile active through AD-J06.
Logger
1. Record the restored state, clip, camera, visible collision onset, alert ID, and timestamp.
Facilitator
1. Give the cue to activate the profile.</t>
  </si>
  <si>
    <t>Verify restored state, then prove fresh alerting works after recovery</t>
  </si>
  <si>
    <t>1. Sign in again.
2. Inspect Dashboard and Cameras.
3. Verify the recorded camera configuration.
4. Retrieve the known historical incident restored from AD-J04.
5. State whether the static restored state is consistent.
6. Observe the fresh post-recovery alert.
7. Verify and confirm that genuine alert, then state whether operations may resume.</t>
  </si>
  <si>
    <t>1. The expected cameras/configuration and known historical incident are present without duplication or corruption.
2. Dashboard recovery is understandable.
3. A fresh real RTSP/AI positive event produces a new Unverified alert after recovery.
4. The participant can verify and confirm it through the normal workflow.
5. The Administrator gives an evidence-based resume/hold decision.
6. Any discrepancy is recorded as a defect rather than explained away.</t>
  </si>
  <si>
    <t>FR-12; FR-13; NFR-18</t>
  </si>
  <si>
    <t>AD-J06</t>
  </si>
  <si>
    <t>System Handler
1. Preserve the real Operator and Administrator actions.
2. Verify the downloaded Audit Log export: uv run python backend/scripts/verify_uat_export.py "&lt;downloaded-file&gt;"
3. After all evidence is retained, stop everything from the repo root: pwsh -File scripts\stop-dev.ps1 -All
Logger
1. Provide the participant IDs and exact action/time window.
2. Record the participant-specific denied login: ADM-01 → uat_replacement01 or ADM-02 → uat_replacement02 while deactivated.
3. Link the session-conduct photo separately.</t>
  </si>
  <si>
    <t>Close the cycle by reviewing accountability and evidence</t>
  </si>
  <si>
    <t>1. Open Audit Log.
2. Filter for the assigned Operator and Administrator actions.
3. Locate the known deactivated-account login denial.
4. Verify actor, action, target, timestamp, and result for successful and denied actions.
5. Export the filtered audit record.
6. State whether the combined execution, usability, defects, and evidence support formal acceptance review.</t>
  </si>
  <si>
    <t>FR-20; NFR-21</t>
  </si>
  <si>
    <t>Alert-to-Decision Seconds (raw)</t>
  </si>
  <si>
    <t>Assistance</t>
  </si>
  <si>
    <t>Observation Notes</t>
  </si>
  <si>
    <t>Defect ID(s)</t>
  </si>
  <si>
    <t>Verbal Prompt</t>
  </si>
  <si>
    <t xml:space="preserve">J1:
- curious sa numbers ng na sa camera page
J2:
- san ba raw makikita alarm settings
- natuwa siya sa mga alarm sound options
- deretso na lang daw [ang pagsave], wag na magkaroon ng save button [OK WILL DO]
J3:
- zoomable dapat yung alert modal snapshot para makita maigi [OK WILL DO]
J7:
- didn't know how to filter for export; needed to explicitly tell how
Comment:
- maganda may tunog yung clip [NO - no need because pwede naman na marinig sa live feed sa DSS]
"mahirap sa una pero kapag naturuan maigi ay madali naman magamay kasi simple naman talaga"
- enthusiastic sa project; nung nalaman na problem na sinosolve and nalaman workflow, agree agad na kailangan nila and makakatulong talaga. Sana ma-implement daw, sabihin kay mayor
</t>
  </si>
  <si>
    <t>[behind-the-scene photo/s link]</t>
  </si>
  <si>
    <t>None</t>
  </si>
  <si>
    <t>J10:
- update the snapshot every 10 mins [NO - no need because na sa DSS na live feed]
Comment:
" 'di naman talaga namin namomonitor yang mga camera na yan kaya sakto 'yung system na yan"
"laking tulong niyan sa 'min kasi magiging madali na lang malaman [kung may aksidente]"
- i-present daw kay Mayor, magugustuhan daw kasi makakatulong talaga</t>
  </si>
  <si>
    <t>- the most hesitant among the  participants kasi hindi raw siya marunong masyado sa computer yet nagawa naman niya nang tama with verbal prompts na expected na dahil mahirap yung scenarios??</t>
  </si>
  <si>
    <t>System Usability Scale (SUS) Questionnaire</t>
  </si>
  <si>
    <t>Complete after the participant finishes the full role-based journey. Rate each statement from 1 (Strongly disagree) to 5 (Strongly agree). Use coded participant IDs only.</t>
  </si>
  <si>
    <t>Scoring: Q1, Q3, Q5, Q7, Q9 use rating − 1; Q2, Q4, Q6, Q8, Q10 use 5 − rating. Sum and multiply by 2.5.</t>
  </si>
  <si>
    <t>Date</t>
  </si>
  <si>
    <t>Q1: I think that I would like to use this system frequently.</t>
  </si>
  <si>
    <t>Q2: I found the system unnecessarily complex.</t>
  </si>
  <si>
    <t>Q3: I thought the system was easy to use.</t>
  </si>
  <si>
    <t>Q4: I think that I would need support from a technical person to use this system.</t>
  </si>
  <si>
    <t>N/A</t>
  </si>
  <si>
    <t>Q5: I found the various functions in this system were well integrated.</t>
  </si>
  <si>
    <t>Q6: I thought there was too much inconsistency in this system.</t>
  </si>
  <si>
    <t>Q7: I would imagine that most people would learn to use this system very quickly.</t>
  </si>
  <si>
    <t>Q8: I found the system very cumbersome to use.</t>
  </si>
  <si>
    <t>Q9: I felt very confident using this system.</t>
  </si>
  <si>
    <t>Q10: I needed to learn a lot of things before I could get going with this system.</t>
  </si>
  <si>
    <t>SUS Score (0–100)</t>
  </si>
  <si>
    <t>Observation / Notes</t>
  </si>
  <si>
    <t>SUS Summary</t>
  </si>
  <si>
    <t>Completed Responses</t>
  </si>
  <si>
    <t>Overall Mean</t>
  </si>
  <si>
    <t>Operator Mean</t>
  </si>
  <si>
    <t>Administrator Mean</t>
  </si>
  <si>
    <t>Median</t>
  </si>
  <si>
    <t>Minimum</t>
  </si>
  <si>
    <t>Maximum</t>
  </si>
  <si>
    <t>Acceptance Criterion</t>
  </si>
  <si>
    <t>68</t>
  </si>
  <si>
    <t>Criterion Status</t>
  </si>
  <si>
    <t>UAT Results</t>
  </si>
  <si>
    <t>Calculated from the shared participant-stage Execution Log, SUS Questionnaire, Defect Log, and Session Control.</t>
  </si>
  <si>
    <t>Metric</t>
  </si>
  <si>
    <t>Criterion</t>
  </si>
  <si>
    <t>Gate Status</t>
  </si>
  <si>
    <t>Planned applicable participant-stage executions</t>
  </si>
  <si>
    <t>Completed final executions</t>
  </si>
  <si>
    <t>Passed executions</t>
  </si>
  <si>
    <t>Report count</t>
  </si>
  <si>
    <t>Information</t>
  </si>
  <si>
    <t>Incomplete / unresolved executions</t>
  </si>
  <si>
    <t>Failed completed executions</t>
  </si>
  <si>
    <t>Report count; maximum 3 when all 33 are final</t>
  </si>
  <si>
    <t>9</t>
  </si>
  <si>
    <t>Every gate above must pass</t>
  </si>
  <si>
    <t>Manual decision in signed document</t>
  </si>
  <si>
    <t>Interpretation</t>
  </si>
  <si>
    <t>The 95% calculation uses all planned applicable participant-stage executions. A missing execution reduces completeness and prevents eligibility; it is never removed from the denominator.</t>
  </si>
  <si>
    <t>Usability Results</t>
  </si>
  <si>
    <t>These results reuse the shared Execution Log; no task is entered twice.</t>
  </si>
  <si>
    <t>Planned Stages</t>
  </si>
  <si>
    <t>Needs Attention</t>
  </si>
  <si>
    <t>Assistance Events</t>
  </si>
  <si>
    <t>SUS Score</t>
  </si>
  <si>
    <t>Overall Usability Metric</t>
  </si>
  <si>
    <t>Completed SUS responses</t>
  </si>
  <si>
    <t>Target: 4</t>
  </si>
  <si>
    <t>Target: &gt;=68</t>
  </si>
  <si>
    <t>Operator SUS mean</t>
  </si>
  <si>
    <t>Descriptive subgroup result</t>
  </si>
  <si>
    <t>Administrator SUS mean</t>
  </si>
  <si>
    <t>OP-J05 NFR-09 estimated mean (alert-to-decision + 3 s + 2 s)</t>
  </si>
  <si>
    <t>Defect ID</t>
  </si>
  <si>
    <t>Stage / Source</t>
  </si>
  <si>
    <t>NFR-09: &lt;=25 seconds</t>
  </si>
  <si>
    <t>Description</t>
  </si>
  <si>
    <t>Severity</t>
  </si>
  <si>
    <t>OP-J05 NFR-09 estimated worst case (alert-to-decision + 3 s + 2 s)</t>
  </si>
  <si>
    <t>Resolution / Retest Notes</t>
  </si>
  <si>
    <t>Report alongside mean</t>
  </si>
  <si>
    <t>First-time users meeting learnability</t>
  </si>
  <si>
    <t>NFR-12: &lt;=15 minutes after briefing</t>
  </si>
  <si>
    <t>First-time users assessed</t>
  </si>
  <si>
    <t>Report denominator</t>
  </si>
  <si>
    <t>Type</t>
  </si>
  <si>
    <t>ID</t>
  </si>
  <si>
    <t>UAT Journey Stage(s) or Technical Source</t>
  </si>
  <si>
    <t>Execution / Evidence Location</t>
  </si>
  <si>
    <t>Coverage Status</t>
  </si>
  <si>
    <t>Functional Requirement</t>
  </si>
  <si>
    <t>FR-01</t>
  </si>
  <si>
    <t>User Authentication</t>
  </si>
  <si>
    <t>OP-J01; AD-J01</t>
  </si>
  <si>
    <t>Execution Log; linked evidence</t>
  </si>
  <si>
    <t>Mapped</t>
  </si>
  <si>
    <t>All user-facing FRs have a role-appropriate journey stage.</t>
  </si>
  <si>
    <t>FR-02</t>
  </si>
  <si>
    <t>Role-Based Access Control (RBAC)</t>
  </si>
  <si>
    <t>OP-J01; AD-J01; AD-J03</t>
  </si>
  <si>
    <t>FR-03</t>
  </si>
  <si>
    <t>User Account Management</t>
  </si>
  <si>
    <t>FR-04</t>
  </si>
  <si>
    <t>Video Stream Ingestion</t>
  </si>
  <si>
    <t>FR-05</t>
  </si>
  <si>
    <t>Automated Collision Detection</t>
  </si>
  <si>
    <t>FR-06</t>
  </si>
  <si>
    <t>Alert Generation and Snapshot Capture</t>
  </si>
  <si>
    <t>FR-07</t>
  </si>
  <si>
    <t>Audible Alert Timeout and Escalation</t>
  </si>
  <si>
    <t>OP-J02; OP-J05; OP-J06</t>
  </si>
  <si>
    <t>UAT observes alarm configuration, one global Snooze action, and re-alarm when expiry remains observable; deterministic timeout proof also belongs in technical System/E2E testing.</t>
  </si>
  <si>
    <t>FR-08</t>
  </si>
  <si>
    <t>Alarm Configuration Module</t>
  </si>
  <si>
    <t>FR-09</t>
  </si>
  <si>
    <t>Human-in-the-Loop Verification Workflow</t>
  </si>
  <si>
    <t>OP-J05; OP-J06</t>
  </si>
  <si>
    <t>FR-10</t>
  </si>
  <si>
    <t>False Positive Handling</t>
  </si>
  <si>
    <t>FR-11</t>
  </si>
  <si>
    <t>True Positive Handling</t>
  </si>
  <si>
    <t>OP-J05; OP-J07</t>
  </si>
  <si>
    <t>FR-12</t>
  </si>
  <si>
    <t>Incident Logging</t>
  </si>
  <si>
    <t>OP-J05; OP-J07; AD-J05</t>
  </si>
  <si>
    <t>FR-13</t>
  </si>
  <si>
    <t>Historical Logs Search and Filtering</t>
  </si>
  <si>
    <t>OP-J07; OP-J09; AD-J05</t>
  </si>
  <si>
    <t>FR-14</t>
  </si>
  <si>
    <t>Camera Configuration Management</t>
  </si>
  <si>
    <t>OP-J03; AD-J02</t>
  </si>
  <si>
    <t>FR-15</t>
  </si>
  <si>
    <t>System Health and Hardware Telemetry</t>
  </si>
  <si>
    <t>FR-16</t>
  </si>
  <si>
    <t>AI Performance</t>
  </si>
  <si>
    <t>AI Performance is Administrator-only; AD-J02 covers navigation order, metrics, and CSV/PDF exports.</t>
  </si>
  <si>
    <t>FR-17</t>
  </si>
  <si>
    <t>Accident Analytics and Visualization</t>
  </si>
  <si>
    <t>FR-18</t>
  </si>
  <si>
    <t>Report Generation and Data Export</t>
  </si>
  <si>
    <t>FR-19</t>
  </si>
  <si>
    <t>Help Center</t>
  </si>
  <si>
    <t>OP-J09; AD-J04</t>
  </si>
  <si>
    <t>Operator guidance lookup is observed in OP-J09; Administrator backup/restore guidance is observed in AD-J04.</t>
  </si>
  <si>
    <t>FR-20</t>
  </si>
  <si>
    <t>Activity Audit Trail</t>
  </si>
  <si>
    <t>Non-Functional Requirement</t>
  </si>
  <si>
    <t>NFR-01</t>
  </si>
  <si>
    <t>Algorithmic Accuracy</t>
  </si>
  <si>
    <t>Named technical activity tab; evidence link</t>
  </si>
  <si>
    <t>Not forced into UAT; must be proven by the named technical activity before UAT readiness.</t>
  </si>
  <si>
    <t>NFR-02</t>
  </si>
  <si>
    <t>Inference Latency</t>
  </si>
  <si>
    <t>NFR-03</t>
  </si>
  <si>
    <t>Frame Rate Maintenance</t>
  </si>
  <si>
    <t>NFR-04</t>
  </si>
  <si>
    <t>Alert Response Time</t>
  </si>
  <si>
    <t>Performance &amp; Load Testing; System / E2E Testing</t>
  </si>
  <si>
    <t>NFR-05</t>
  </si>
  <si>
    <t>Telemetry Refresh Rate</t>
  </si>
  <si>
    <t>System / E2E Testing; Performance &amp; Load Testing</t>
  </si>
  <si>
    <t>NFR-06</t>
  </si>
  <si>
    <t>Report Generation Speed &amp; Export Scalability</t>
  </si>
  <si>
    <t>NFR-07</t>
  </si>
  <si>
    <t>Hardware Scalability</t>
  </si>
  <si>
    <t>NFR-08</t>
  </si>
  <si>
    <t>Database Performance</t>
  </si>
  <si>
    <t>NFR-09</t>
  </si>
  <si>
    <t>Operational Efficiency (Collision-Visible-to-Operator Decision)</t>
  </si>
  <si>
    <t>OP-J04–OP-J05</t>
  </si>
  <si>
    <t>Execution Log; alert-appearance timestamp; 3-second detector-accumulation and 2-second alert-propagation allowance; linked evidence</t>
  </si>
  <si>
    <t>Measure the observed interval from the genuine alert appearing during OP-J04 to the participant’s recorded Confirm decision for the genuine alert in OP-J05; for a false-alert run, use the corresponding recorded Dismiss decision. Add approximately 3 seconds of detector accumulation and 2 seconds of alert propagation, apply the &lt;=25-second NFR-09 target to the resulting estimate, and store the raw interval plus allowance in the OP-J05 row.</t>
  </si>
  <si>
    <t>NFR-11</t>
  </si>
  <si>
    <t>Alert Distinctiveness</t>
  </si>
  <si>
    <t>OP-J02; OP-J04</t>
  </si>
  <si>
    <t>Execution Log / Session Control; linked evidence</t>
  </si>
  <si>
    <t>Observed during participant journey; technical measurements remain separate where applicable.</t>
  </si>
  <si>
    <t>NFR-12</t>
  </si>
  <si>
    <t>Learnability</t>
  </si>
  <si>
    <t>OP-J05; Session Control</t>
  </si>
  <si>
    <t>NFR-13</t>
  </si>
  <si>
    <t>System Availability</t>
  </si>
  <si>
    <t>NFR-14</t>
  </si>
  <si>
    <t>Network Fault Tolerance</t>
  </si>
  <si>
    <t>NFR-15</t>
  </si>
  <si>
    <t>Process Isolation</t>
  </si>
  <si>
    <t>NFR-16</t>
  </si>
  <si>
    <t>Daily System Restart</t>
  </si>
  <si>
    <t>NFR-17</t>
  </si>
  <si>
    <t>Asynchronous Alert Recovery</t>
  </si>
  <si>
    <t>Participant recovers the same genuine pending alert after refresh/reconnection, confirms it, and leaves it Ongoing for handover.</t>
  </si>
  <si>
    <t>NFR-18</t>
  </si>
  <si>
    <t>Data Redundancy &amp; Recovery</t>
  </si>
  <si>
    <t>AD-J04; AD-J05; Backup &amp; Recovery (TC-BR-001–TC-BR-005)</t>
  </si>
  <si>
    <t>Backup &amp; Recovery; Execution Log / Session Control; linked evidence</t>
  </si>
  <si>
    <t>UAT evaluates understandable tier-labeled backup selection, restoration safeguards, restored state, and fresh post-recovery alerting. Protected-versus-degraded fallback warnings and the local rollback reserve are covered by the technical Backup &amp; Recovery activity; the strict 60-second recovery measurement remains there.</t>
  </si>
  <si>
    <t>NFR-19</t>
  </si>
  <si>
    <t>Session Security</t>
  </si>
  <si>
    <t>NFR-20</t>
  </si>
  <si>
    <t>Data Localization</t>
  </si>
  <si>
    <t>NFR-21</t>
  </si>
  <si>
    <t>Audit Trail Integrity</t>
  </si>
  <si>
    <t>AD-J06; Security Testing</t>
  </si>
  <si>
    <t>NFR-22</t>
  </si>
  <si>
    <t>Modular AI Upgrades</t>
  </si>
  <si>
    <t>AI Model Validation; Integration Testing</t>
  </si>
  <si>
    <t>AC-USE</t>
  </si>
  <si>
    <t>Overall SUS mean &gt;=68</t>
  </si>
  <si>
    <t>SUS Questionnaire; Usability Results</t>
  </si>
  <si>
    <t>SUS response rows and calculated summary</t>
  </si>
  <si>
    <t>Eight participants: six Operators and two Administrators.</t>
  </si>
  <si>
    <t>AC-UAT</t>
  </si>
  <si>
    <t>Clarified UAT execution rule</t>
  </si>
  <si>
    <t>Execution Log; Defect Log; Session Control; sign-off document</t>
  </si>
  <si>
    <t>New Addition</t>
  </si>
  <si>
    <t>New Codex proposal; highlighted and noted in Summary and UAT Results.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</si>
</sst>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0.0"/>
  </numFmts>
  <fonts count="19">
    <font>
      <sz val="11.0"/>
      <color rgb="FF000000"/>
      <name val="Calibri"/>
      <scheme val="minor"/>
    </font>
    <font>
      <b/>
      <sz val="10.0"/>
      <color rgb="FFFFFFFF"/>
      <name val="Arial"/>
    </font>
    <font>
      <b/>
      <sz val="10.0"/>
      <color theme="1"/>
      <name val="Arial"/>
    </font>
    <font>
      <sz val="10.0"/>
      <color theme="1"/>
      <name val="Arial"/>
    </font>
    <font>
      <b/>
      <sz val="14.0"/>
      <color rgb="FFFFFFFF"/>
      <name val="Arial"/>
    </font>
    <font/>
    <font>
      <u/>
      <sz val="10.0"/>
      <color rgb="FF0000FF"/>
      <name val="Arial"/>
    </font>
    <font>
      <u/>
      <sz val="10.0"/>
      <color rgb="FF0000FF"/>
      <name val="Arial"/>
    </font>
    <font>
      <u/>
      <sz val="10.0"/>
      <color rgb="FF0000FF"/>
      <name val="Arial"/>
    </font>
    <font>
      <sz val="10.0"/>
      <color rgb="FF1E1E1E"/>
      <name val="Arial"/>
    </font>
    <font>
      <b/>
      <sz val="11.0"/>
      <color rgb="FFFFFFFF"/>
      <name val="Arial"/>
    </font>
    <font>
      <color theme="1"/>
      <name val="Calibri"/>
      <scheme val="minor"/>
    </font>
    <font>
      <b/>
      <sz val="11.0"/>
      <color rgb="FF1E1E1E"/>
      <name val="Arial"/>
    </font>
    <font>
      <sz val="11.0"/>
      <color theme="1"/>
      <name val="Calibri"/>
    </font>
    <font>
      <sz val="11.0"/>
      <color rgb="FF000000"/>
      <name val="Calibri"/>
    </font>
    <font>
      <sz val="10.0"/>
      <color rgb="FFE67E22"/>
      <name val="Arial"/>
    </font>
    <font>
      <i/>
      <sz val="10.0"/>
      <color rgb="FF1E1E1E"/>
      <name val="Arial"/>
    </font>
    <font>
      <u/>
      <sz val="10.0"/>
      <color rgb="FF1E1E1E"/>
      <name val="Arial"/>
    </font>
    <font>
      <u/>
      <sz val="10.0"/>
      <color rgb="FF1E1E1E"/>
      <name val="Arial"/>
    </font>
  </fonts>
  <fills count="13">
    <fill>
      <patternFill patternType="none"/>
    </fill>
    <fill>
      <patternFill patternType="lightGray"/>
    </fill>
    <fill>
      <patternFill patternType="solid">
        <fgColor rgb="FF1E4C72"/>
        <bgColor rgb="FF1E4C72"/>
      </patternFill>
    </fill>
    <fill>
      <patternFill patternType="solid">
        <fgColor rgb="FF1F4E78"/>
        <bgColor rgb="FF1F4E78"/>
      </patternFill>
    </fill>
    <fill>
      <patternFill patternType="solid">
        <fgColor rgb="FFF4F7FA"/>
        <bgColor rgb="FFF4F7FA"/>
      </patternFill>
    </fill>
    <fill>
      <patternFill patternType="solid">
        <fgColor rgb="FFEEF6FA"/>
        <bgColor rgb="FFEEF6FA"/>
      </patternFill>
    </fill>
    <fill>
      <patternFill patternType="solid">
        <fgColor rgb="FFFFE499"/>
        <bgColor rgb="FFFFE499"/>
      </patternFill>
    </fill>
    <fill>
      <patternFill patternType="solid">
        <fgColor rgb="FFF9CB9C"/>
        <bgColor rgb="FFF9CB9C"/>
      </patternFill>
    </fill>
    <fill>
      <patternFill patternType="solid">
        <fgColor rgb="FFFCE5CD"/>
        <bgColor rgb="FFFCE5CD"/>
      </patternFill>
    </fill>
    <fill>
      <patternFill patternType="solid">
        <fgColor rgb="FFD8EAD3"/>
        <bgColor rgb="FFD8EAD3"/>
      </patternFill>
    </fill>
    <fill>
      <patternFill patternType="solid">
        <fgColor rgb="FFD8EAD2"/>
        <bgColor rgb="FFD8EAD2"/>
      </patternFill>
    </fill>
    <fill>
      <patternFill patternType="solid">
        <fgColor rgb="FFD9EAD3"/>
        <bgColor rgb="FFD9EAD3"/>
      </patternFill>
    </fill>
    <fill>
      <patternFill patternType="solid">
        <fgColor rgb="FFE06666"/>
        <bgColor rgb="FFE06666"/>
      </patternFill>
    </fill>
  </fills>
  <borders count="9">
    <border/>
    <border>
      <left style="thin">
        <color rgb="FFD0D7E2"/>
      </left>
      <right style="thin">
        <color rgb="FFD0D7E2"/>
      </right>
      <top style="thin">
        <color rgb="FFD0D7E2"/>
      </top>
      <bottom style="thin">
        <color rgb="FFD0D7E2"/>
      </bottom>
    </border>
    <border>
      <left/>
      <top/>
      <bottom/>
    </border>
    <border>
      <top/>
      <bottom/>
    </border>
    <border>
      <right/>
      <top/>
      <bottom/>
    </border>
    <border>
      <left/>
      <right/>
      <top/>
      <bottom/>
    </border>
    <border>
      <left/>
      <right/>
      <top/>
    </border>
    <border>
      <left/>
      <right/>
    </border>
    <border>
      <left/>
      <right/>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1" fillId="0" fontId="3" numFmtId="164" xfId="0" applyAlignment="1" applyBorder="1" applyFont="1" applyNumberFormat="1">
      <alignment horizontal="center" readingOrder="0" shrinkToFit="0" vertical="top" wrapText="1"/>
    </xf>
    <xf borderId="2" fillId="3" fontId="4" numFmtId="0" xfId="0" applyAlignment="1" applyBorder="1" applyFill="1" applyFont="1">
      <alignment horizontal="left" shrinkToFit="0" vertical="center" wrapText="1"/>
    </xf>
    <xf borderId="1" fillId="0" fontId="3" numFmtId="0" xfId="0" applyAlignment="1" applyBorder="1" applyFont="1">
      <alignment horizontal="center" readingOrder="0" shrinkToFit="0" vertical="top" wrapText="1"/>
    </xf>
    <xf borderId="3" fillId="0" fontId="5" numFmtId="0" xfId="0" applyBorder="1" applyFont="1"/>
    <xf borderId="1" fillId="0" fontId="6" numFmtId="0" xfId="0" applyAlignment="1" applyBorder="1" applyFont="1">
      <alignment horizontal="left" readingOrder="0" shrinkToFit="0" vertical="top" wrapText="1"/>
    </xf>
    <xf borderId="4" fillId="0" fontId="5" numFmtId="0" xfId="0" applyBorder="1" applyFont="1"/>
    <xf borderId="1" fillId="0" fontId="7" numFmtId="0" xfId="0" applyAlignment="1" applyBorder="1" applyFont="1">
      <alignment horizontal="left" readingOrder="0" shrinkToFit="0" vertical="top" wrapText="1"/>
    </xf>
    <xf borderId="1" fillId="4" fontId="2" numFmtId="0" xfId="0" applyAlignment="1" applyBorder="1" applyFill="1" applyFont="1">
      <alignment horizontal="center" readingOrder="0" shrinkToFit="0" vertical="top" wrapText="1"/>
    </xf>
    <xf borderId="2" fillId="5" fontId="3" numFmtId="0" xfId="0" applyAlignment="1" applyBorder="1" applyFill="1" applyFont="1">
      <alignment shrinkToFit="0" vertical="top" wrapText="1"/>
    </xf>
    <xf borderId="1" fillId="4" fontId="3" numFmtId="0" xfId="0" applyAlignment="1" applyBorder="1" applyFill="1" applyFont="1">
      <alignment horizontal="left" readingOrder="0" shrinkToFit="0" vertical="top" wrapText="1"/>
    </xf>
    <xf borderId="1" fillId="4" fontId="3" numFmtId="164" xfId="0" applyAlignment="1" applyBorder="1" applyFill="1" applyFont="1" applyNumberFormat="1">
      <alignment horizontal="center" readingOrder="0" shrinkToFit="0" vertical="top" wrapText="1"/>
    </xf>
    <xf borderId="1" fillId="4" fontId="3" numFmtId="0" xfId="0" applyAlignment="1" applyBorder="1" applyFill="1" applyFont="1">
      <alignment horizontal="center" readingOrder="0" shrinkToFit="0" vertical="top" wrapText="1"/>
    </xf>
    <xf borderId="1" fillId="4" fontId="8" numFmtId="0" xfId="0" applyAlignment="1" applyBorder="1" applyFill="1" applyFont="1">
      <alignment horizontal="left" readingOrder="0" shrinkToFit="0" vertical="top" wrapText="1"/>
    </xf>
    <xf borderId="0" fillId="0" fontId="9" numFmtId="0" xfId="0" applyAlignment="1" applyFont="1">
      <alignment shrinkToFit="0" vertical="center" wrapText="1"/>
    </xf>
    <xf borderId="5" fillId="3" fontId="10" numFmtId="0" xfId="0" applyAlignment="1" applyBorder="1" applyFill="1" applyFont="1">
      <alignment horizontal="center" shrinkToFit="0" vertical="center" wrapText="1"/>
    </xf>
    <xf borderId="0" fillId="0" fontId="3" numFmtId="0" xfId="0" applyAlignment="1" applyFont="1">
      <alignment shrinkToFit="0" vertical="center" wrapText="1"/>
    </xf>
    <xf borderId="0" fillId="0" fontId="11" numFmtId="0" xfId="0" applyFont="1"/>
    <xf borderId="0" fillId="0" fontId="9" numFmtId="0" xfId="0" applyAlignment="1" applyFont="1">
      <alignment shrinkToFit="0" vertical="top" wrapText="1"/>
    </xf>
    <xf borderId="0" fillId="0" fontId="2" numFmtId="0" xfId="0" applyAlignment="1" applyFont="1">
      <alignment shrinkToFit="0" vertical="center" wrapText="1"/>
    </xf>
    <xf borderId="1" fillId="4" fontId="2" numFmtId="0" xfId="0" applyAlignment="1" applyBorder="1" applyFill="1" applyFont="1">
      <alignment horizontal="center" readingOrder="0" shrinkToFit="0" vertical="top" wrapText="1"/>
    </xf>
    <xf borderId="1" fillId="4" fontId="3" numFmtId="0" xfId="0" applyAlignment="1" applyBorder="1" applyFill="1" applyFont="1">
      <alignment horizontal="left" readingOrder="0" shrinkToFit="0" vertical="top" wrapText="1"/>
    </xf>
    <xf borderId="0" fillId="0" fontId="3" numFmtId="0" xfId="0" applyAlignment="1" applyFont="1">
      <alignment shrinkToFit="0" vertical="top" wrapText="1"/>
    </xf>
    <xf borderId="1" fillId="4" fontId="3" numFmtId="0" xfId="0" applyAlignment="1" applyBorder="1" applyFill="1" applyFont="1">
      <alignment horizontal="center" readingOrder="0" shrinkToFit="0" vertical="top" wrapText="1"/>
    </xf>
    <xf borderId="0" fillId="0" fontId="11" numFmtId="0" xfId="0" applyAlignment="1" applyFont="1">
      <alignment readingOrder="0"/>
    </xf>
    <xf borderId="2" fillId="6" fontId="12" numFmtId="0" xfId="0" applyAlignment="1" applyBorder="1" applyFill="1" applyFont="1">
      <alignment shrinkToFit="0" vertical="top" wrapText="1"/>
    </xf>
    <xf borderId="0" fillId="0" fontId="9" numFmtId="10" xfId="0" applyAlignment="1" applyFont="1" applyNumberFormat="1">
      <alignment shrinkToFit="0" vertical="center" wrapText="1"/>
    </xf>
    <xf borderId="0" fillId="0" fontId="13" numFmtId="0" xfId="0" applyAlignment="1" applyFont="1">
      <alignment vertical="bottom"/>
    </xf>
    <xf borderId="0" fillId="0" fontId="14" numFmtId="0" xfId="0" applyAlignment="1" applyFont="1">
      <alignment vertical="bottom"/>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quotePrefix="1" borderId="1" fillId="0" fontId="3"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quotePrefix="1" borderId="1" fillId="4" fontId="3" numFmtId="0" xfId="0" applyAlignment="1" applyBorder="1" applyFill="1" applyFont="1">
      <alignment horizontal="center" readingOrder="0" shrinkToFit="0" vertical="top" wrapText="1"/>
    </xf>
    <xf borderId="1" fillId="0" fontId="2" numFmtId="0" xfId="0" applyAlignment="1" applyBorder="1" applyFont="1">
      <alignment horizontal="center" shrinkToFit="0" vertical="top" wrapText="1"/>
    </xf>
    <xf quotePrefix="1" borderId="1" fillId="4" fontId="3" numFmtId="0" xfId="0" applyAlignment="1" applyBorder="1" applyFill="1" applyFont="1">
      <alignment horizontal="center" readingOrder="0" shrinkToFit="0" vertical="top" wrapText="1"/>
    </xf>
    <xf borderId="1" fillId="0" fontId="3" numFmtId="0" xfId="0" applyAlignment="1" applyBorder="1" applyFont="1">
      <alignment horizontal="left" shrinkToFit="0" vertical="top" wrapText="1"/>
    </xf>
    <xf borderId="1" fillId="7" fontId="15" numFmtId="0" xfId="0" applyAlignment="1" applyBorder="1" applyFill="1" applyFont="1">
      <alignment horizontal="left" readingOrder="0" shrinkToFit="0" vertical="top" wrapText="1"/>
    </xf>
    <xf borderId="1" fillId="0" fontId="3" numFmtId="0" xfId="0" applyAlignment="1" applyBorder="1" applyFont="1">
      <alignment horizontal="center" shrinkToFit="0" vertical="top" wrapText="1"/>
    </xf>
    <xf borderId="1" fillId="0" fontId="15" numFmtId="0" xfId="0" applyAlignment="1" applyBorder="1" applyFont="1">
      <alignment horizontal="left" readingOrder="0" shrinkToFit="0" vertical="top" wrapText="1"/>
    </xf>
    <xf borderId="1" fillId="4" fontId="3" numFmtId="0" xfId="0" applyAlignment="1" applyBorder="1" applyFill="1" applyFont="1">
      <alignment horizontal="center" shrinkToFit="0" vertical="top" wrapText="1"/>
    </xf>
    <xf borderId="1" fillId="4" fontId="3" numFmtId="0" xfId="0" applyAlignment="1" applyBorder="1" applyFill="1" applyFont="1">
      <alignment horizontal="left" shrinkToFit="0" vertical="top" wrapText="1"/>
    </xf>
    <xf borderId="1" fillId="4" fontId="2" numFmtId="0" xfId="0" applyAlignment="1" applyBorder="1" applyFill="1" applyFont="1">
      <alignment horizontal="center" shrinkToFit="0" vertical="top" wrapText="1"/>
    </xf>
    <xf borderId="1" fillId="8" fontId="15" numFmtId="0" xfId="0" applyAlignment="1" applyBorder="1" applyFill="1" applyFont="1">
      <alignment horizontal="left" readingOrder="0" shrinkToFit="0" vertical="top" wrapText="1"/>
    </xf>
    <xf borderId="1" fillId="4" fontId="15" numFmtId="0" xfId="0" applyAlignment="1" applyBorder="1" applyFill="1" applyFont="1">
      <alignment horizontal="left" readingOrder="0" shrinkToFit="0" vertical="top" wrapText="1"/>
    </xf>
    <xf borderId="1" fillId="4" fontId="2" numFmtId="0" xfId="0" applyAlignment="1" applyBorder="1" applyFill="1" applyFont="1">
      <alignment horizontal="center" shrinkToFit="0" vertical="top" wrapText="1"/>
    </xf>
    <xf borderId="1" fillId="4" fontId="3" numFmtId="0" xfId="0" applyAlignment="1" applyBorder="1" applyFill="1" applyFont="1">
      <alignment horizontal="left" shrinkToFit="0" vertical="top" wrapText="1"/>
    </xf>
    <xf borderId="1" fillId="4" fontId="3"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3" numFmtId="0" xfId="0" applyAlignment="1" applyBorder="1" applyFont="1">
      <alignment horizontal="left" shrinkToFit="0" vertical="top" wrapText="1"/>
    </xf>
    <xf borderId="2" fillId="5" fontId="16" numFmtId="0" xfId="0" applyAlignment="1" applyBorder="1" applyFill="1" applyFont="1">
      <alignment shrinkToFit="0" vertical="center" wrapText="1"/>
    </xf>
    <xf borderId="0" fillId="0" fontId="17" numFmtId="0" xfId="0" applyAlignment="1" applyFont="1">
      <alignment shrinkToFit="0" vertical="center" wrapText="1"/>
    </xf>
    <xf borderId="5" fillId="5" fontId="9" numFmtId="0" xfId="0" applyAlignment="1" applyBorder="1" applyFill="1" applyFont="1">
      <alignment shrinkToFit="0" vertical="center" wrapText="1"/>
    </xf>
    <xf borderId="5" fillId="5" fontId="18" numFmtId="0" xfId="0" applyAlignment="1" applyBorder="1" applyFill="1" applyFont="1">
      <alignment shrinkToFit="0" vertical="center" wrapText="1"/>
    </xf>
    <xf borderId="5" fillId="3" fontId="1" numFmtId="0" xfId="0" applyAlignment="1" applyBorder="1" applyFill="1" applyFont="1">
      <alignment horizontal="center" shrinkToFit="0" vertical="center" wrapText="1"/>
    </xf>
    <xf borderId="5" fillId="5" fontId="9" numFmtId="165" xfId="0" applyAlignment="1" applyBorder="1" applyFill="1" applyFont="1" applyNumberFormat="1">
      <alignment shrinkToFit="0" vertical="center" wrapText="1"/>
    </xf>
    <xf borderId="5" fillId="5" fontId="9" numFmtId="166" xfId="0" applyAlignment="1" applyBorder="1" applyFill="1" applyFont="1" applyNumberFormat="1">
      <alignment shrinkToFit="0" vertical="center" wrapText="1"/>
    </xf>
    <xf borderId="0" fillId="0" fontId="9" numFmtId="165" xfId="0" applyAlignment="1" applyFont="1" applyNumberFormat="1">
      <alignment shrinkToFit="0" vertical="center" wrapText="1"/>
    </xf>
    <xf borderId="0" fillId="0" fontId="9" numFmtId="166" xfId="0" applyAlignment="1" applyFont="1" applyNumberFormat="1">
      <alignment shrinkToFit="0" vertical="center" wrapText="1"/>
    </xf>
    <xf borderId="5" fillId="9" fontId="9" numFmtId="0" xfId="0" applyAlignment="1" applyBorder="1" applyFill="1" applyFont="1">
      <alignment shrinkToFit="0" vertical="center" wrapText="1"/>
    </xf>
    <xf borderId="5" fillId="10" fontId="9" numFmtId="0" xfId="0" applyAlignment="1" applyBorder="1" applyFill="1" applyFont="1">
      <alignment shrinkToFit="0" vertical="center" wrapText="1"/>
    </xf>
    <xf borderId="5" fillId="11" fontId="9" numFmtId="0" xfId="0" applyAlignment="1" applyBorder="1" applyFill="1" applyFont="1">
      <alignment shrinkToFit="0" vertical="center" wrapText="1"/>
    </xf>
    <xf borderId="0" fillId="0" fontId="9" numFmtId="0" xfId="0" applyAlignment="1" applyFont="1">
      <alignment readingOrder="0" shrinkToFit="0" vertical="top" wrapText="1"/>
    </xf>
    <xf borderId="5" fillId="11" fontId="10" numFmtId="0" xfId="0" applyAlignment="1" applyBorder="1" applyFill="1" applyFont="1">
      <alignment horizontal="center" shrinkToFit="0" vertical="center" wrapText="1"/>
    </xf>
    <xf borderId="5" fillId="5" fontId="9" numFmtId="0" xfId="0" applyAlignment="1" applyBorder="1" applyFill="1" applyFont="1">
      <alignment horizontal="center" shrinkToFit="0" vertical="center" wrapText="1"/>
    </xf>
    <xf borderId="6" fillId="5" fontId="9" numFmtId="0" xfId="0" applyAlignment="1" applyBorder="1" applyFill="1" applyFont="1">
      <alignment shrinkToFit="0" vertical="center" wrapText="1"/>
    </xf>
    <xf borderId="6" fillId="5" fontId="9"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0" fillId="0" fontId="9" numFmtId="0" xfId="0" applyAlignment="1" applyFont="1">
      <alignment horizontal="center" shrinkToFit="0" vertical="center" wrapText="1"/>
    </xf>
    <xf borderId="5" fillId="12" fontId="10" numFmtId="0" xfId="0" applyAlignment="1" applyBorder="1" applyFill="1" applyFont="1">
      <alignment horizontal="center" shrinkToFit="0" vertical="center" wrapText="1"/>
    </xf>
    <xf borderId="0" fillId="0" fontId="9" numFmtId="0" xfId="0" applyAlignment="1" applyFont="1">
      <alignment horizontal="left" shrinkToFit="0" vertical="center" wrapText="1"/>
    </xf>
    <xf borderId="5" fillId="5" fontId="9" numFmtId="0" xfId="0" applyAlignment="1" applyBorder="1" applyFill="1" applyFont="1">
      <alignment horizontal="left" shrinkToFit="0" vertical="center" wrapText="1"/>
    </xf>
    <xf borderId="5" fillId="11" fontId="9" numFmtId="0" xfId="0" applyAlignment="1" applyBorder="1" applyFill="1" applyFont="1">
      <alignment horizontal="left" shrinkToFit="0" vertical="center" wrapText="1"/>
    </xf>
  </cellXfs>
  <cellStyles count="1">
    <cellStyle xfId="0" name="Normal" builtinId="0"/>
  </cellStyles>
  <dxfs count="8">
    <dxf>
      <font>
        <b/>
        <sz val="10.0"/>
        <color rgb="FF1E6B34"/>
        <name val="Arial"/>
      </font>
      <fill>
        <patternFill patternType="solid">
          <fgColor rgb="FFD6EFD8"/>
          <bgColor rgb="FFD6EFD8"/>
        </patternFill>
      </fill>
      <border/>
    </dxf>
    <dxf>
      <font>
        <b/>
        <sz val="10.0"/>
        <color rgb="FF9C1C1C"/>
        <name val="Arial"/>
      </font>
      <fill>
        <patternFill patternType="solid">
          <fgColor rgb="FFF8D4D4"/>
          <bgColor rgb="FFF8D4D4"/>
        </patternFill>
      </fill>
      <border/>
    </dxf>
    <dxf>
      <font>
        <b/>
        <sz val="10.0"/>
        <color rgb="FF9A4A05"/>
        <name val="Arial"/>
      </font>
      <fill>
        <patternFill patternType="solid">
          <fgColor rgb="FFFCE2CC"/>
          <bgColor rgb="FFFCE2CC"/>
        </patternFill>
      </fill>
      <border/>
    </dxf>
    <dxf>
      <font>
        <b/>
        <sz val="10.0"/>
        <color rgb="FF7A5B00"/>
        <name val="Arial"/>
      </font>
      <fill>
        <patternFill patternType="solid">
          <fgColor rgb="FFFBF0C4"/>
          <bgColor rgb="FFFBF0C4"/>
        </patternFill>
      </fill>
      <border/>
    </dxf>
    <dxf>
      <font>
        <b/>
        <sz val="10.0"/>
        <color rgb="FF44546A"/>
        <name val="Arial"/>
      </font>
      <fill>
        <patternFill patternType="solid">
          <fgColor rgb="FFE8EAED"/>
          <bgColor rgb="FFE8EAED"/>
        </patternFill>
      </fill>
      <border/>
    </dxf>
    <dxf>
      <font>
        <b/>
      </font>
      <fill>
        <patternFill patternType="solid">
          <fgColor rgb="FFFFE499"/>
          <bgColor rgb="FFFFE499"/>
        </patternFill>
      </fill>
      <border/>
    </dxf>
    <dxf>
      <font>
        <b/>
      </font>
      <fill>
        <patternFill patternType="solid">
          <fgColor rgb="FFD9EFD2"/>
          <bgColor rgb="FFD9EFD2"/>
        </patternFill>
      </fill>
      <border/>
    </dxf>
    <dxf>
      <font>
        <b/>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spreadsheets/d/1MZ4a0eA8IWucgHC-uYO-hEZ9kHk3JJnZqukghApCnXs/edit?gid=0" TargetMode="External"/><Relationship Id="rId42" Type="http://schemas.openxmlformats.org/officeDocument/2006/relationships/hyperlink" Target="https://docs.google.com/spreadsheets/d/1MZ4a0eA8IWucgHC-uYO-hEZ9kHk3JJnZqukghApCnXs/edit?gid=0" TargetMode="External"/><Relationship Id="rId41" Type="http://schemas.openxmlformats.org/officeDocument/2006/relationships/hyperlink" Target="https://docs.google.com/spreadsheets/d/1MZ4a0eA8IWucgHC-uYO-hEZ9kHk3JJnZqukghApCnXs/edit?gid=0" TargetMode="External"/><Relationship Id="rId44" Type="http://schemas.openxmlformats.org/officeDocument/2006/relationships/hyperlink" Target="https://docs.google.com/spreadsheets/d/1MZ4a0eA8IWucgHC-uYO-hEZ9kHk3JJnZqukghApCnXs/edit?gid=0" TargetMode="External"/><Relationship Id="rId43" Type="http://schemas.openxmlformats.org/officeDocument/2006/relationships/hyperlink" Target="https://docs.google.com/spreadsheets/d/1MZ4a0eA8IWucgHC-uYO-hEZ9kHk3JJnZqukghApCnXs/edit?gid=0" TargetMode="External"/><Relationship Id="rId46" Type="http://schemas.openxmlformats.org/officeDocument/2006/relationships/hyperlink" Target="https://docs.google.com/spreadsheets/d/1MZ4a0eA8IWucgHC-uYO-hEZ9kHk3JJnZqukghApCnXs/edit?gid=0" TargetMode="External"/><Relationship Id="rId45" Type="http://schemas.openxmlformats.org/officeDocument/2006/relationships/hyperlink" Target="https://docs.google.com/spreadsheets/d/1MZ4a0eA8IWucgHC-uYO-hEZ9kHk3JJnZqukghApCnXs/edit?gid=0" TargetMode="External"/><Relationship Id="rId1" Type="http://schemas.openxmlformats.org/officeDocument/2006/relationships/hyperlink" Target="https://docs.google.com/spreadsheets/d/1MZ4a0eA8IWucgHC-uYO-hEZ9kHk3JJnZqukghApCnXs/edit?gid=0" TargetMode="External"/><Relationship Id="rId2" Type="http://schemas.openxmlformats.org/officeDocument/2006/relationships/hyperlink" Target="https://docs.google.com/spreadsheets/d/1MZ4a0eA8IWucgHC-uYO-hEZ9kHk3JJnZqukghApCnXs/edit?gid=0" TargetMode="External"/><Relationship Id="rId3" Type="http://schemas.openxmlformats.org/officeDocument/2006/relationships/hyperlink" Target="https://docs.google.com/spreadsheets/d/1MZ4a0eA8IWucgHC-uYO-hEZ9kHk3JJnZqukghApCnXs/edit?gid=0" TargetMode="External"/><Relationship Id="rId4" Type="http://schemas.openxmlformats.org/officeDocument/2006/relationships/hyperlink" Target="https://docs.google.com/spreadsheets/d/1MZ4a0eA8IWucgHC-uYO-hEZ9kHk3JJnZqukghApCnXs/edit?gid=0" TargetMode="External"/><Relationship Id="rId9" Type="http://schemas.openxmlformats.org/officeDocument/2006/relationships/hyperlink" Target="https://docs.google.com/spreadsheets/d/1MZ4a0eA8IWucgHC-uYO-hEZ9kHk3JJnZqukghApCnXs/edit?gid=0" TargetMode="External"/><Relationship Id="rId48" Type="http://schemas.openxmlformats.org/officeDocument/2006/relationships/hyperlink" Target="https://docs.google.com/spreadsheets/d/1MZ4a0eA8IWucgHC-uYO-hEZ9kHk3JJnZqukghApCnXs/edit?gid=0" TargetMode="External"/><Relationship Id="rId47" Type="http://schemas.openxmlformats.org/officeDocument/2006/relationships/hyperlink" Target="https://docs.google.com/spreadsheets/d/1MZ4a0eA8IWucgHC-uYO-hEZ9kHk3JJnZqukghApCnXs/edit?gid=0" TargetMode="External"/><Relationship Id="rId49" Type="http://schemas.openxmlformats.org/officeDocument/2006/relationships/hyperlink" Target="https://docs.google.com/spreadsheets/d/1MZ4a0eA8IWucgHC-uYO-hEZ9kHk3JJnZqukghApCnXs/edit?gid=0" TargetMode="External"/><Relationship Id="rId5" Type="http://schemas.openxmlformats.org/officeDocument/2006/relationships/hyperlink" Target="https://docs.google.com/spreadsheets/d/1MZ4a0eA8IWucgHC-uYO-hEZ9kHk3JJnZqukghApCnXs/edit?gid=0" TargetMode="External"/><Relationship Id="rId6" Type="http://schemas.openxmlformats.org/officeDocument/2006/relationships/hyperlink" Target="https://docs.google.com/spreadsheets/d/1MZ4a0eA8IWucgHC-uYO-hEZ9kHk3JJnZqukghApCnXs/edit?gid=0" TargetMode="External"/><Relationship Id="rId7" Type="http://schemas.openxmlformats.org/officeDocument/2006/relationships/hyperlink" Target="https://docs.google.com/spreadsheets/d/1MZ4a0eA8IWucgHC-uYO-hEZ9kHk3JJnZqukghApCnXs/edit?gid=0" TargetMode="External"/><Relationship Id="rId8" Type="http://schemas.openxmlformats.org/officeDocument/2006/relationships/hyperlink" Target="https://docs.google.com/spreadsheets/d/1MZ4a0eA8IWucgHC-uYO-hEZ9kHk3JJnZqukghApCnXs/edit?gid=0" TargetMode="External"/><Relationship Id="rId31" Type="http://schemas.openxmlformats.org/officeDocument/2006/relationships/hyperlink" Target="https://docs.google.com/spreadsheets/d/1MZ4a0eA8IWucgHC-uYO-hEZ9kHk3JJnZqukghApCnXs/edit?gid=0" TargetMode="External"/><Relationship Id="rId30" Type="http://schemas.openxmlformats.org/officeDocument/2006/relationships/hyperlink" Target="https://docs.google.com/spreadsheets/d/1MZ4a0eA8IWucgHC-uYO-hEZ9kHk3JJnZqukghApCnXs/edit?gid=0" TargetMode="External"/><Relationship Id="rId33" Type="http://schemas.openxmlformats.org/officeDocument/2006/relationships/hyperlink" Target="https://docs.google.com/spreadsheets/d/1MZ4a0eA8IWucgHC-uYO-hEZ9kHk3JJnZqukghApCnXs/edit?gid=0" TargetMode="External"/><Relationship Id="rId32" Type="http://schemas.openxmlformats.org/officeDocument/2006/relationships/hyperlink" Target="https://docs.google.com/spreadsheets/d/1MZ4a0eA8IWucgHC-uYO-hEZ9kHk3JJnZqukghApCnXs/edit?gid=0" TargetMode="External"/><Relationship Id="rId35" Type="http://schemas.openxmlformats.org/officeDocument/2006/relationships/hyperlink" Target="https://docs.google.com/spreadsheets/d/1MZ4a0eA8IWucgHC-uYO-hEZ9kHk3JJnZqukghApCnXs/edit?gid=0" TargetMode="External"/><Relationship Id="rId34" Type="http://schemas.openxmlformats.org/officeDocument/2006/relationships/hyperlink" Target="https://docs.google.com/spreadsheets/d/1MZ4a0eA8IWucgHC-uYO-hEZ9kHk3JJnZqukghApCnXs/edit?gid=0" TargetMode="External"/><Relationship Id="rId37" Type="http://schemas.openxmlformats.org/officeDocument/2006/relationships/hyperlink" Target="https://docs.google.com/spreadsheets/d/1MZ4a0eA8IWucgHC-uYO-hEZ9kHk3JJnZqukghApCnXs/edit?gid=0" TargetMode="External"/><Relationship Id="rId36" Type="http://schemas.openxmlformats.org/officeDocument/2006/relationships/hyperlink" Target="https://docs.google.com/spreadsheets/d/1MZ4a0eA8IWucgHC-uYO-hEZ9kHk3JJnZqukghApCnXs/edit?gid=0" TargetMode="External"/><Relationship Id="rId39" Type="http://schemas.openxmlformats.org/officeDocument/2006/relationships/hyperlink" Target="https://docs.google.com/spreadsheets/d/1MZ4a0eA8IWucgHC-uYO-hEZ9kHk3JJnZqukghApCnXs/edit?gid=0" TargetMode="External"/><Relationship Id="rId38" Type="http://schemas.openxmlformats.org/officeDocument/2006/relationships/hyperlink" Target="https://docs.google.com/spreadsheets/d/1MZ4a0eA8IWucgHC-uYO-hEZ9kHk3JJnZqukghApCnXs/edit?gid=0" TargetMode="External"/><Relationship Id="rId62" Type="http://schemas.openxmlformats.org/officeDocument/2006/relationships/hyperlink" Target="https://docs.google.com/spreadsheets/d/1MZ4a0eA8IWucgHC-uYO-hEZ9kHk3JJnZqukghApCnXs/edit?gid=0" TargetMode="External"/><Relationship Id="rId61" Type="http://schemas.openxmlformats.org/officeDocument/2006/relationships/hyperlink" Target="https://docs.google.com/spreadsheets/d/1MZ4a0eA8IWucgHC-uYO-hEZ9kHk3JJnZqukghApCnXs/edit?gid=0" TargetMode="External"/><Relationship Id="rId20" Type="http://schemas.openxmlformats.org/officeDocument/2006/relationships/hyperlink" Target="https://docs.google.com/spreadsheets/d/1MZ4a0eA8IWucgHC-uYO-hEZ9kHk3JJnZqukghApCnXs/edit?gid=0" TargetMode="External"/><Relationship Id="rId64" Type="http://schemas.openxmlformats.org/officeDocument/2006/relationships/hyperlink" Target="https://docs.google.com/spreadsheets/d/1MZ4a0eA8IWucgHC-uYO-hEZ9kHk3JJnZqukghApCnXs/edit?gid=0" TargetMode="External"/><Relationship Id="rId63" Type="http://schemas.openxmlformats.org/officeDocument/2006/relationships/hyperlink" Target="https://docs.google.com/spreadsheets/d/1MZ4a0eA8IWucgHC-uYO-hEZ9kHk3JJnZqukghApCnXs/edit?gid=0" TargetMode="External"/><Relationship Id="rId22" Type="http://schemas.openxmlformats.org/officeDocument/2006/relationships/hyperlink" Target="https://docs.google.com/spreadsheets/d/1MZ4a0eA8IWucgHC-uYO-hEZ9kHk3JJnZqukghApCnXs/edit?gid=0" TargetMode="External"/><Relationship Id="rId66" Type="http://schemas.openxmlformats.org/officeDocument/2006/relationships/hyperlink" Target="https://docs.google.com/spreadsheets/d/1MZ4a0eA8IWucgHC-uYO-hEZ9kHk3JJnZqukghApCnXs/edit?gid=0" TargetMode="External"/><Relationship Id="rId21" Type="http://schemas.openxmlformats.org/officeDocument/2006/relationships/hyperlink" Target="https://docs.google.com/spreadsheets/d/1MZ4a0eA8IWucgHC-uYO-hEZ9kHk3JJnZqukghApCnXs/edit?gid=0" TargetMode="External"/><Relationship Id="rId65" Type="http://schemas.openxmlformats.org/officeDocument/2006/relationships/hyperlink" Target="https://docs.google.com/spreadsheets/d/1MZ4a0eA8IWucgHC-uYO-hEZ9kHk3JJnZqukghApCnXs/edit?gid=0" TargetMode="External"/><Relationship Id="rId24" Type="http://schemas.openxmlformats.org/officeDocument/2006/relationships/hyperlink" Target="https://docs.google.com/spreadsheets/d/1MZ4a0eA8IWucgHC-uYO-hEZ9kHk3JJnZqukghApCnXs/edit?gid=0" TargetMode="External"/><Relationship Id="rId68" Type="http://schemas.openxmlformats.org/officeDocument/2006/relationships/hyperlink" Target="https://docs.google.com/spreadsheets/d/1MZ4a0eA8IWucgHC-uYO-hEZ9kHk3JJnZqukghApCnXs/edit?gid=0" TargetMode="External"/><Relationship Id="rId23" Type="http://schemas.openxmlformats.org/officeDocument/2006/relationships/hyperlink" Target="https://docs.google.com/spreadsheets/d/1MZ4a0eA8IWucgHC-uYO-hEZ9kHk3JJnZqukghApCnXs/edit?gid=0" TargetMode="External"/><Relationship Id="rId67" Type="http://schemas.openxmlformats.org/officeDocument/2006/relationships/hyperlink" Target="https://docs.google.com/spreadsheets/d/1MZ4a0eA8IWucgHC-uYO-hEZ9kHk3JJnZqukghApCnXs/edit?gid=0" TargetMode="External"/><Relationship Id="rId60" Type="http://schemas.openxmlformats.org/officeDocument/2006/relationships/hyperlink" Target="https://docs.google.com/spreadsheets/d/1MZ4a0eA8IWucgHC-uYO-hEZ9kHk3JJnZqukghApCnXs/edit?gid=0" TargetMode="External"/><Relationship Id="rId26" Type="http://schemas.openxmlformats.org/officeDocument/2006/relationships/hyperlink" Target="https://docs.google.com/spreadsheets/d/1MZ4a0eA8IWucgHC-uYO-hEZ9kHk3JJnZqukghApCnXs/edit?gid=0" TargetMode="External"/><Relationship Id="rId25" Type="http://schemas.openxmlformats.org/officeDocument/2006/relationships/hyperlink" Target="https://docs.google.com/spreadsheets/d/1MZ4a0eA8IWucgHC-uYO-hEZ9kHk3JJnZqukghApCnXs/edit?gid=0" TargetMode="External"/><Relationship Id="rId69" Type="http://schemas.openxmlformats.org/officeDocument/2006/relationships/drawing" Target="../drawings/drawing2.xml"/><Relationship Id="rId28" Type="http://schemas.openxmlformats.org/officeDocument/2006/relationships/hyperlink" Target="https://docs.google.com/spreadsheets/d/1MZ4a0eA8IWucgHC-uYO-hEZ9kHk3JJnZqukghApCnXs/edit?gid=0" TargetMode="External"/><Relationship Id="rId27" Type="http://schemas.openxmlformats.org/officeDocument/2006/relationships/hyperlink" Target="https://docs.google.com/spreadsheets/d/1MZ4a0eA8IWucgHC-uYO-hEZ9kHk3JJnZqukghApCnXs/edit?gid=0" TargetMode="External"/><Relationship Id="rId29" Type="http://schemas.openxmlformats.org/officeDocument/2006/relationships/hyperlink" Target="https://docs.google.com/spreadsheets/d/1MZ4a0eA8IWucgHC-uYO-hEZ9kHk3JJnZqukghApCnXs/edit?gid=0" TargetMode="External"/><Relationship Id="rId51" Type="http://schemas.openxmlformats.org/officeDocument/2006/relationships/hyperlink" Target="https://docs.google.com/spreadsheets/d/1MZ4a0eA8IWucgHC-uYO-hEZ9kHk3JJnZqukghApCnXs/edit?gid=0" TargetMode="External"/><Relationship Id="rId50" Type="http://schemas.openxmlformats.org/officeDocument/2006/relationships/hyperlink" Target="https://docs.google.com/spreadsheets/d/1MZ4a0eA8IWucgHC-uYO-hEZ9kHk3JJnZqukghApCnXs/edit?gid=0" TargetMode="External"/><Relationship Id="rId53" Type="http://schemas.openxmlformats.org/officeDocument/2006/relationships/hyperlink" Target="https://docs.google.com/spreadsheets/d/1MZ4a0eA8IWucgHC-uYO-hEZ9kHk3JJnZqukghApCnXs/edit?gid=0" TargetMode="External"/><Relationship Id="rId52" Type="http://schemas.openxmlformats.org/officeDocument/2006/relationships/hyperlink" Target="https://docs.google.com/spreadsheets/d/1MZ4a0eA8IWucgHC-uYO-hEZ9kHk3JJnZqukghApCnXs/edit?gid=0" TargetMode="External"/><Relationship Id="rId11" Type="http://schemas.openxmlformats.org/officeDocument/2006/relationships/hyperlink" Target="https://docs.google.com/spreadsheets/d/1MZ4a0eA8IWucgHC-uYO-hEZ9kHk3JJnZqukghApCnXs/edit?gid=0" TargetMode="External"/><Relationship Id="rId55" Type="http://schemas.openxmlformats.org/officeDocument/2006/relationships/hyperlink" Target="https://docs.google.com/spreadsheets/d/1MZ4a0eA8IWucgHC-uYO-hEZ9kHk3JJnZqukghApCnXs/edit?gid=0" TargetMode="External"/><Relationship Id="rId10" Type="http://schemas.openxmlformats.org/officeDocument/2006/relationships/hyperlink" Target="https://docs.google.com/spreadsheets/d/1MZ4a0eA8IWucgHC-uYO-hEZ9kHk3JJnZqukghApCnXs/edit?gid=0" TargetMode="External"/><Relationship Id="rId54" Type="http://schemas.openxmlformats.org/officeDocument/2006/relationships/hyperlink" Target="https://docs.google.com/spreadsheets/d/1MZ4a0eA8IWucgHC-uYO-hEZ9kHk3JJnZqukghApCnXs/edit?gid=0" TargetMode="External"/><Relationship Id="rId13" Type="http://schemas.openxmlformats.org/officeDocument/2006/relationships/hyperlink" Target="https://docs.google.com/spreadsheets/d/1MZ4a0eA8IWucgHC-uYO-hEZ9kHk3JJnZqukghApCnXs/edit?gid=0" TargetMode="External"/><Relationship Id="rId57" Type="http://schemas.openxmlformats.org/officeDocument/2006/relationships/hyperlink" Target="https://docs.google.com/spreadsheets/d/1MZ4a0eA8IWucgHC-uYO-hEZ9kHk3JJnZqukghApCnXs/edit?gid=0" TargetMode="External"/><Relationship Id="rId12" Type="http://schemas.openxmlformats.org/officeDocument/2006/relationships/hyperlink" Target="https://docs.google.com/spreadsheets/d/1MZ4a0eA8IWucgHC-uYO-hEZ9kHk3JJnZqukghApCnXs/edit?gid=0" TargetMode="External"/><Relationship Id="rId56" Type="http://schemas.openxmlformats.org/officeDocument/2006/relationships/hyperlink" Target="https://docs.google.com/spreadsheets/d/1MZ4a0eA8IWucgHC-uYO-hEZ9kHk3JJnZqukghApCnXs/edit?gid=0" TargetMode="External"/><Relationship Id="rId15" Type="http://schemas.openxmlformats.org/officeDocument/2006/relationships/hyperlink" Target="https://docs.google.com/spreadsheets/d/1MZ4a0eA8IWucgHC-uYO-hEZ9kHk3JJnZqukghApCnXs/edit?gid=0" TargetMode="External"/><Relationship Id="rId59" Type="http://schemas.openxmlformats.org/officeDocument/2006/relationships/hyperlink" Target="https://docs.google.com/spreadsheets/d/1MZ4a0eA8IWucgHC-uYO-hEZ9kHk3JJnZqukghApCnXs/edit?gid=0" TargetMode="External"/><Relationship Id="rId14" Type="http://schemas.openxmlformats.org/officeDocument/2006/relationships/hyperlink" Target="https://docs.google.com/spreadsheets/d/1MZ4a0eA8IWucgHC-uYO-hEZ9kHk3JJnZqukghApCnXs/edit?gid=0" TargetMode="External"/><Relationship Id="rId58" Type="http://schemas.openxmlformats.org/officeDocument/2006/relationships/hyperlink" Target="https://docs.google.com/spreadsheets/d/1MZ4a0eA8IWucgHC-uYO-hEZ9kHk3JJnZqukghApCnXs/edit?gid=0" TargetMode="External"/><Relationship Id="rId17" Type="http://schemas.openxmlformats.org/officeDocument/2006/relationships/hyperlink" Target="https://docs.google.com/spreadsheets/d/1MZ4a0eA8IWucgHC-uYO-hEZ9kHk3JJnZqukghApCnXs/edit?gid=0" TargetMode="External"/><Relationship Id="rId16" Type="http://schemas.openxmlformats.org/officeDocument/2006/relationships/hyperlink" Target="https://docs.google.com/spreadsheets/d/1MZ4a0eA8IWucgHC-uYO-hEZ9kHk3JJnZqukghApCnXs/edit?gid=0" TargetMode="External"/><Relationship Id="rId19" Type="http://schemas.openxmlformats.org/officeDocument/2006/relationships/hyperlink" Target="https://docs.google.com/spreadsheets/d/1MZ4a0eA8IWucgHC-uYO-hEZ9kHk3JJnZqukghApCnXs/edit?gid=0" TargetMode="External"/><Relationship Id="rId18" Type="http://schemas.openxmlformats.org/officeDocument/2006/relationships/hyperlink" Target="https://docs.google.com/spreadsheets/d/1MZ4a0eA8IWucgHC-uYO-hEZ9kHk3JJnZqukghApCnXs/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EQqHktDNbIqhYyCKQZHQ5_mb501YQG7j_nVoxZILCEs/edit?gid=0" TargetMode="External"/><Relationship Id="rId2" Type="http://schemas.openxmlformats.org/officeDocument/2006/relationships/hyperlink" Target="https://docs.google.com/spreadsheets/d/1EQqHktDNbIqhYyCKQZHQ5_mb501YQG7j_nVoxZILCEs/edit?gid=0" TargetMode="External"/><Relationship Id="rId3" Type="http://schemas.openxmlformats.org/officeDocument/2006/relationships/hyperlink" Target="https://docs.google.com/spreadsheets/d/1EQqHktDNbIqhYyCKQZHQ5_mb501YQG7j_nVoxZILCEs/edit?gid=0" TargetMode="External"/><Relationship Id="rId4" Type="http://schemas.openxmlformats.org/officeDocument/2006/relationships/hyperlink" Target="https://docs.google.com/spreadsheets/d/1EQqHktDNbIqhYyCKQZHQ5_mb501YQG7j_nVoxZILCEs/edit?gid=0" TargetMode="External"/><Relationship Id="rId9" Type="http://schemas.openxmlformats.org/officeDocument/2006/relationships/hyperlink" Target="https://docs.google.com/spreadsheets/d/1EQqHktDNbIqhYyCKQZHQ5_mb501YQG7j_nVoxZILCEs/edit?gid=0" TargetMode="External"/><Relationship Id="rId5" Type="http://schemas.openxmlformats.org/officeDocument/2006/relationships/hyperlink" Target="https://docs.google.com/spreadsheets/d/1EQqHktDNbIqhYyCKQZHQ5_mb501YQG7j_nVoxZILCEs/edit?gid=0" TargetMode="External"/><Relationship Id="rId6" Type="http://schemas.openxmlformats.org/officeDocument/2006/relationships/hyperlink" Target="https://docs.google.com/spreadsheets/d/1EQqHktDNbIqhYyCKQZHQ5_mb501YQG7j_nVoxZILCEs/edit?gid=0" TargetMode="External"/><Relationship Id="rId7" Type="http://schemas.openxmlformats.org/officeDocument/2006/relationships/hyperlink" Target="https://docs.google.com/spreadsheets/d/1EQqHktDNbIqhYyCKQZHQ5_mb501YQG7j_nVoxZILCEs/edit?gid=0" TargetMode="External"/><Relationship Id="rId8" Type="http://schemas.openxmlformats.org/officeDocument/2006/relationships/hyperlink" Target="https://docs.google.com/spreadsheets/d/1EQqHktDNbIqhYyCKQZHQ5_mb501YQG7j_nVoxZILCEs/edit?gid=0" TargetMode="External"/><Relationship Id="rId20" Type="http://schemas.openxmlformats.org/officeDocument/2006/relationships/hyperlink" Target="https://docs.google.com/spreadsheets/d/1EQqHktDNbIqhYyCKQZHQ5_mb501YQG7j_nVoxZILCEs/edit?gid=0" TargetMode="External"/><Relationship Id="rId22" Type="http://schemas.openxmlformats.org/officeDocument/2006/relationships/hyperlink" Target="https://docs.google.com/spreadsheets/d/1EQqHktDNbIqhYyCKQZHQ5_mb501YQG7j_nVoxZILCEs/edit?gid=0" TargetMode="External"/><Relationship Id="rId21" Type="http://schemas.openxmlformats.org/officeDocument/2006/relationships/hyperlink" Target="https://docs.google.com/spreadsheets/d/1EQqHktDNbIqhYyCKQZHQ5_mb501YQG7j_nVoxZILCEs/edit?gid=0" TargetMode="External"/><Relationship Id="rId24" Type="http://schemas.openxmlformats.org/officeDocument/2006/relationships/drawing" Target="../drawings/drawing3.xml"/><Relationship Id="rId23" Type="http://schemas.openxmlformats.org/officeDocument/2006/relationships/hyperlink" Target="https://docs.google.com/spreadsheets/d/1EQqHktDNbIqhYyCKQZHQ5_mb501YQG7j_nVoxZILCEs/edit?gid=0" TargetMode="External"/><Relationship Id="rId11" Type="http://schemas.openxmlformats.org/officeDocument/2006/relationships/hyperlink" Target="https://docs.google.com/spreadsheets/d/1EQqHktDNbIqhYyCKQZHQ5_mb501YQG7j_nVoxZILCEs/edit?gid=0" TargetMode="External"/><Relationship Id="rId10" Type="http://schemas.openxmlformats.org/officeDocument/2006/relationships/hyperlink" Target="https://docs.google.com/spreadsheets/d/1EQqHktDNbIqhYyCKQZHQ5_mb501YQG7j_nVoxZILCEs/edit?gid=0" TargetMode="External"/><Relationship Id="rId13" Type="http://schemas.openxmlformats.org/officeDocument/2006/relationships/hyperlink" Target="https://docs.google.com/spreadsheets/d/1EQqHktDNbIqhYyCKQZHQ5_mb501YQG7j_nVoxZILCEs/edit?gid=0" TargetMode="External"/><Relationship Id="rId12" Type="http://schemas.openxmlformats.org/officeDocument/2006/relationships/hyperlink" Target="https://docs.google.com/spreadsheets/d/1EQqHktDNbIqhYyCKQZHQ5_mb501YQG7j_nVoxZILCEs/edit?gid=0" TargetMode="External"/><Relationship Id="rId15" Type="http://schemas.openxmlformats.org/officeDocument/2006/relationships/hyperlink" Target="https://docs.google.com/spreadsheets/d/1EQqHktDNbIqhYyCKQZHQ5_mb501YQG7j_nVoxZILCEs/edit?gid=0" TargetMode="External"/><Relationship Id="rId14" Type="http://schemas.openxmlformats.org/officeDocument/2006/relationships/hyperlink" Target="https://docs.google.com/spreadsheets/d/1EQqHktDNbIqhYyCKQZHQ5_mb501YQG7j_nVoxZILCEs/edit?gid=0" TargetMode="External"/><Relationship Id="rId17" Type="http://schemas.openxmlformats.org/officeDocument/2006/relationships/hyperlink" Target="https://docs.google.com/spreadsheets/d/1EQqHktDNbIqhYyCKQZHQ5_mb501YQG7j_nVoxZILCEs/edit?gid=0" TargetMode="External"/><Relationship Id="rId16" Type="http://schemas.openxmlformats.org/officeDocument/2006/relationships/hyperlink" Target="https://docs.google.com/spreadsheets/d/1EQqHktDNbIqhYyCKQZHQ5_mb501YQG7j_nVoxZILCEs/edit?gid=0" TargetMode="External"/><Relationship Id="rId19" Type="http://schemas.openxmlformats.org/officeDocument/2006/relationships/hyperlink" Target="https://docs.google.com/spreadsheets/d/1EQqHktDNbIqhYyCKQZHQ5_mb501YQG7j_nVoxZILCEs/edit?gid=0" TargetMode="External"/><Relationship Id="rId18" Type="http://schemas.openxmlformats.org/officeDocument/2006/relationships/hyperlink" Target="https://docs.google.com/spreadsheets/d/1EQqHktDNbIqhYyCKQZHQ5_mb501YQG7j_nVoxZILCEs/edit?gid=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27sqg1pWCKvnr1KYa2ctscpMyJDphAcq6-xflAvkjJ0/edit?gid=0" TargetMode="External"/><Relationship Id="rId2" Type="http://schemas.openxmlformats.org/officeDocument/2006/relationships/hyperlink" Target="https://docs.google.com/spreadsheets/d/127sqg1pWCKvnr1KYa2ctscpMyJDphAcq6-xflAvkjJ0/edit?gid=0" TargetMode="External"/><Relationship Id="rId3" Type="http://schemas.openxmlformats.org/officeDocument/2006/relationships/hyperlink" Target="https://docs.google.com/spreadsheets/d/127sqg1pWCKvnr1KYa2ctscpMyJDphAcq6-xflAvkjJ0/edit?gid=0" TargetMode="External"/><Relationship Id="rId4" Type="http://schemas.openxmlformats.org/officeDocument/2006/relationships/hyperlink" Target="https://docs.google.com/spreadsheets/d/127sqg1pWCKvnr1KYa2ctscpMyJDphAcq6-xflAvkjJ0/edit?gid=0" TargetMode="External"/><Relationship Id="rId9" Type="http://schemas.openxmlformats.org/officeDocument/2006/relationships/hyperlink" Target="https://docs.google.com/spreadsheets/d/127sqg1pWCKvnr1KYa2ctscpMyJDphAcq6-xflAvkjJ0/edit?gid=0" TargetMode="External"/><Relationship Id="rId5" Type="http://schemas.openxmlformats.org/officeDocument/2006/relationships/hyperlink" Target="https://docs.google.com/spreadsheets/d/127sqg1pWCKvnr1KYa2ctscpMyJDphAcq6-xflAvkjJ0/edit?gid=0" TargetMode="External"/><Relationship Id="rId6" Type="http://schemas.openxmlformats.org/officeDocument/2006/relationships/hyperlink" Target="https://docs.google.com/spreadsheets/d/127sqg1pWCKvnr1KYa2ctscpMyJDphAcq6-xflAvkjJ0/edit?gid=0" TargetMode="External"/><Relationship Id="rId7" Type="http://schemas.openxmlformats.org/officeDocument/2006/relationships/hyperlink" Target="https://docs.google.com/spreadsheets/d/127sqg1pWCKvnr1KYa2ctscpMyJDphAcq6-xflAvkjJ0/edit?gid=0" TargetMode="External"/><Relationship Id="rId8" Type="http://schemas.openxmlformats.org/officeDocument/2006/relationships/hyperlink" Target="https://docs.google.com/spreadsheets/d/127sqg1pWCKvnr1KYa2ctscpMyJDphAcq6-xflAvkjJ0/edit?gid=0" TargetMode="External"/><Relationship Id="rId20" Type="http://schemas.openxmlformats.org/officeDocument/2006/relationships/hyperlink" Target="https://docs.google.com/spreadsheets/d/127sqg1pWCKvnr1KYa2ctscpMyJDphAcq6-xflAvkjJ0/edit?gid=0" TargetMode="External"/><Relationship Id="rId21" Type="http://schemas.openxmlformats.org/officeDocument/2006/relationships/drawing" Target="../drawings/drawing4.xml"/><Relationship Id="rId11" Type="http://schemas.openxmlformats.org/officeDocument/2006/relationships/hyperlink" Target="https://docs.google.com/spreadsheets/d/127sqg1pWCKvnr1KYa2ctscpMyJDphAcq6-xflAvkjJ0/edit?gid=0" TargetMode="External"/><Relationship Id="rId10" Type="http://schemas.openxmlformats.org/officeDocument/2006/relationships/hyperlink" Target="https://docs.google.com/spreadsheets/d/127sqg1pWCKvnr1KYa2ctscpMyJDphAcq6-xflAvkjJ0/edit?gid=0" TargetMode="External"/><Relationship Id="rId13" Type="http://schemas.openxmlformats.org/officeDocument/2006/relationships/hyperlink" Target="https://docs.google.com/spreadsheets/d/127sqg1pWCKvnr1KYa2ctscpMyJDphAcq6-xflAvkjJ0/edit?gid=0" TargetMode="External"/><Relationship Id="rId12" Type="http://schemas.openxmlformats.org/officeDocument/2006/relationships/hyperlink" Target="https://docs.google.com/spreadsheets/d/127sqg1pWCKvnr1KYa2ctscpMyJDphAcq6-xflAvkjJ0/edit?gid=0" TargetMode="External"/><Relationship Id="rId15" Type="http://schemas.openxmlformats.org/officeDocument/2006/relationships/hyperlink" Target="https://docs.google.com/spreadsheets/d/127sqg1pWCKvnr1KYa2ctscpMyJDphAcq6-xflAvkjJ0/edit?gid=0" TargetMode="External"/><Relationship Id="rId14" Type="http://schemas.openxmlformats.org/officeDocument/2006/relationships/hyperlink" Target="https://docs.google.com/spreadsheets/d/127sqg1pWCKvnr1KYa2ctscpMyJDphAcq6-xflAvkjJ0/edit?gid=0" TargetMode="External"/><Relationship Id="rId17" Type="http://schemas.openxmlformats.org/officeDocument/2006/relationships/hyperlink" Target="https://docs.google.com/spreadsheets/d/127sqg1pWCKvnr1KYa2ctscpMyJDphAcq6-xflAvkjJ0/edit?gid=0" TargetMode="External"/><Relationship Id="rId16" Type="http://schemas.openxmlformats.org/officeDocument/2006/relationships/hyperlink" Target="https://docs.google.com/spreadsheets/d/127sqg1pWCKvnr1KYa2ctscpMyJDphAcq6-xflAvkjJ0/edit?gid=0" TargetMode="External"/><Relationship Id="rId19" Type="http://schemas.openxmlformats.org/officeDocument/2006/relationships/hyperlink" Target="https://docs.google.com/spreadsheets/d/127sqg1pWCKvnr1KYa2ctscpMyJDphAcq6-xflAvkjJ0/edit?gid=0" TargetMode="External"/><Relationship Id="rId18" Type="http://schemas.openxmlformats.org/officeDocument/2006/relationships/hyperlink" Target="https://docs.google.com/spreadsheets/d/127sqg1pWCKvnr1KYa2ctscpMyJDphAcq6-xflAvkjJ0/edit?gid=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w61jA0dvTI-haDjuVf5AqYuY6ybAJrZ5WYRBkRxA3s/edit?gid=0" TargetMode="External"/><Relationship Id="rId2" Type="http://schemas.openxmlformats.org/officeDocument/2006/relationships/hyperlink" Target="https://docs.google.com/spreadsheets/d/1Mw61jA0dvTI-haDjuVf5AqYuY6ybAJrZ5WYRBkRxA3s/edit?gid=0" TargetMode="External"/><Relationship Id="rId3" Type="http://schemas.openxmlformats.org/officeDocument/2006/relationships/hyperlink" Target="https://docs.google.com/spreadsheets/d/1Mw61jA0dvTI-haDjuVf5AqYuY6ybAJrZ5WYRBkRxA3s/edit?gid=0" TargetMode="External"/><Relationship Id="rId4" Type="http://schemas.openxmlformats.org/officeDocument/2006/relationships/hyperlink" Target="https://docs.google.com/spreadsheets/d/1Mw61jA0dvTI-haDjuVf5AqYuY6ybAJrZ5WYRBkRxA3s/edit?gid=0" TargetMode="External"/><Relationship Id="rId9" Type="http://schemas.openxmlformats.org/officeDocument/2006/relationships/hyperlink" Target="https://docs.google.com/spreadsheets/d/1Mw61jA0dvTI-haDjuVf5AqYuY6ybAJrZ5WYRBkRxA3s/edit?gid=0" TargetMode="External"/><Relationship Id="rId5" Type="http://schemas.openxmlformats.org/officeDocument/2006/relationships/hyperlink" Target="https://docs.google.com/spreadsheets/d/1Mw61jA0dvTI-haDjuVf5AqYuY6ybAJrZ5WYRBkRxA3s/edit?gid=0" TargetMode="External"/><Relationship Id="rId6" Type="http://schemas.openxmlformats.org/officeDocument/2006/relationships/hyperlink" Target="https://docs.google.com/spreadsheets/d/1Mw61jA0dvTI-haDjuVf5AqYuY6ybAJrZ5WYRBkRxA3s/edit?gid=0" TargetMode="External"/><Relationship Id="rId7" Type="http://schemas.openxmlformats.org/officeDocument/2006/relationships/hyperlink" Target="https://docs.google.com/spreadsheets/d/1Mw61jA0dvTI-haDjuVf5AqYuY6ybAJrZ5WYRBkRxA3s/edit?gid=0" TargetMode="External"/><Relationship Id="rId8" Type="http://schemas.openxmlformats.org/officeDocument/2006/relationships/hyperlink" Target="https://docs.google.com/spreadsheets/d/1Mw61jA0dvTI-haDjuVf5AqYuY6ybAJrZ5WYRBkRxA3s/edit?gid=0"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UDclLn4n64_EUd2-2d-S4FgS6A6X6yIbf7f1m4JvLoQ/edit?gid=0" TargetMode="External"/><Relationship Id="rId2" Type="http://schemas.openxmlformats.org/officeDocument/2006/relationships/hyperlink" Target="https://docs.google.com/spreadsheets/d/1UDclLn4n64_EUd2-2d-S4FgS6A6X6yIbf7f1m4JvLoQ/edit?gid=0" TargetMode="External"/><Relationship Id="rId3" Type="http://schemas.openxmlformats.org/officeDocument/2006/relationships/hyperlink" Target="https://docs.google.com/spreadsheets/d/1UDclLn4n64_EUd2-2d-S4FgS6A6X6yIbf7f1m4JvLoQ/edit?gid=0" TargetMode="External"/><Relationship Id="rId4" Type="http://schemas.openxmlformats.org/officeDocument/2006/relationships/hyperlink" Target="https://docs.google.com/spreadsheets/d/1UDclLn4n64_EUd2-2d-S4FgS6A6X6yIbf7f1m4JvLoQ/edit?gid=0" TargetMode="External"/><Relationship Id="rId9" Type="http://schemas.openxmlformats.org/officeDocument/2006/relationships/hyperlink" Target="https://docs.google.com/spreadsheets/d/1UDclLn4n64_EUd2-2d-S4FgS6A6X6yIbf7f1m4JvLoQ/edit?gid=0" TargetMode="External"/><Relationship Id="rId5" Type="http://schemas.openxmlformats.org/officeDocument/2006/relationships/hyperlink" Target="https://docs.google.com/spreadsheets/d/1UDclLn4n64_EUd2-2d-S4FgS6A6X6yIbf7f1m4JvLoQ/edit?gid=0" TargetMode="External"/><Relationship Id="rId6" Type="http://schemas.openxmlformats.org/officeDocument/2006/relationships/hyperlink" Target="https://docs.google.com/spreadsheets/d/1UDclLn4n64_EUd2-2d-S4FgS6A6X6yIbf7f1m4JvLoQ/edit?gid=0" TargetMode="External"/><Relationship Id="rId7" Type="http://schemas.openxmlformats.org/officeDocument/2006/relationships/hyperlink" Target="https://docs.google.com/spreadsheets/d/1UDclLn4n64_EUd2-2d-S4FgS6A6X6yIbf7f1m4JvLoQ/edit?gid=0" TargetMode="External"/><Relationship Id="rId8" Type="http://schemas.openxmlformats.org/officeDocument/2006/relationships/hyperlink" Target="https://docs.google.com/spreadsheets/d/1UDclLn4n64_EUd2-2d-S4FgS6A6X6yIbf7f1m4JvLoQ/edit?gid=0" TargetMode="External"/><Relationship Id="rId11" Type="http://schemas.openxmlformats.org/officeDocument/2006/relationships/hyperlink" Target="https://docs.google.com/spreadsheets/d/1UDclLn4n64_EUd2-2d-S4FgS6A6X6yIbf7f1m4JvLoQ/edit?gid=0" TargetMode="External"/><Relationship Id="rId10" Type="http://schemas.openxmlformats.org/officeDocument/2006/relationships/hyperlink" Target="https://docs.google.com/spreadsheets/d/1UDclLn4n64_EUd2-2d-S4FgS6A6X6yIbf7f1m4JvLoQ/edit?gid=0" TargetMode="External"/><Relationship Id="rId13" Type="http://schemas.openxmlformats.org/officeDocument/2006/relationships/hyperlink" Target="https://docs.google.com/spreadsheets/d/1UDclLn4n64_EUd2-2d-S4FgS6A6X6yIbf7f1m4JvLoQ/edit?gid=0" TargetMode="External"/><Relationship Id="rId12" Type="http://schemas.openxmlformats.org/officeDocument/2006/relationships/hyperlink" Target="https://docs.google.com/spreadsheets/d/1UDclLn4n64_EUd2-2d-S4FgS6A6X6yIbf7f1m4JvLoQ/edit?gid=0"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uCPcrhjbDcjFAlDjyIUG-SEyjn-4W9vwjkUNLEed2FI/edit?gid=0" TargetMode="External"/><Relationship Id="rId2" Type="http://schemas.openxmlformats.org/officeDocument/2006/relationships/hyperlink" Target="https://docs.google.com/spreadsheets/d/1uCPcrhjbDcjFAlDjyIUG-SEyjn-4W9vwjkUNLEed2FI/edit?gid=0" TargetMode="External"/><Relationship Id="rId3" Type="http://schemas.openxmlformats.org/officeDocument/2006/relationships/hyperlink" Target="https://docs.google.com/spreadsheets/d/1uCPcrhjbDcjFAlDjyIUG-SEyjn-4W9vwjkUNLEed2FI/edit?gid=0" TargetMode="External"/><Relationship Id="rId4" Type="http://schemas.openxmlformats.org/officeDocument/2006/relationships/hyperlink" Target="https://docs.google.com/spreadsheets/d/1uCPcrhjbDcjFAlDjyIUG-SEyjn-4W9vwjkUNLEed2FI/edit?gid=0" TargetMode="External"/><Relationship Id="rId9" Type="http://schemas.openxmlformats.org/officeDocument/2006/relationships/hyperlink" Target="https://docs.google.com/spreadsheets/d/1uCPcrhjbDcjFAlDjyIUG-SEyjn-4W9vwjkUNLEed2FI/edit?gid=0" TargetMode="External"/><Relationship Id="rId5" Type="http://schemas.openxmlformats.org/officeDocument/2006/relationships/hyperlink" Target="https://docs.google.com/spreadsheets/d/1uCPcrhjbDcjFAlDjyIUG-SEyjn-4W9vwjkUNLEed2FI/edit?gid=0" TargetMode="External"/><Relationship Id="rId6" Type="http://schemas.openxmlformats.org/officeDocument/2006/relationships/hyperlink" Target="https://docs.google.com/spreadsheets/d/1uCPcrhjbDcjFAlDjyIUG-SEyjn-4W9vwjkUNLEed2FI/edit?gid=0" TargetMode="External"/><Relationship Id="rId7" Type="http://schemas.openxmlformats.org/officeDocument/2006/relationships/hyperlink" Target="https://docs.google.com/spreadsheets/d/1uCPcrhjbDcjFAlDjyIUG-SEyjn-4W9vwjkUNLEed2FI/edit?gid=0" TargetMode="External"/><Relationship Id="rId8" Type="http://schemas.openxmlformats.org/officeDocument/2006/relationships/hyperlink" Target="https://docs.google.com/spreadsheets/d/1uCPcrhjbDcjFAlDjyIUG-SEyjn-4W9vwjkUNLEed2FI/edit?gid=0" TargetMode="External"/><Relationship Id="rId11" Type="http://schemas.openxmlformats.org/officeDocument/2006/relationships/hyperlink" Target="https://docs.google.com/spreadsheets/d/1uCPcrhjbDcjFAlDjyIUG-SEyjn-4W9vwjkUNLEed2FI/edit?gid=0" TargetMode="External"/><Relationship Id="rId10" Type="http://schemas.openxmlformats.org/officeDocument/2006/relationships/hyperlink" Target="https://docs.google.com/spreadsheets/d/1uCPcrhjbDcjFAlDjyIUG-SEyjn-4W9vwjkUNLEed2FI/edit?gid=0" TargetMode="External"/><Relationship Id="rId13" Type="http://schemas.openxmlformats.org/officeDocument/2006/relationships/hyperlink" Target="https://docs.google.com/spreadsheets/d/1uCPcrhjbDcjFAlDjyIUG-SEyjn-4W9vwjkUNLEed2FI/edit?gid=0" TargetMode="External"/><Relationship Id="rId12" Type="http://schemas.openxmlformats.org/officeDocument/2006/relationships/hyperlink" Target="https://docs.google.com/spreadsheets/d/1uCPcrhjbDcjFAlDjyIUG-SEyjn-4W9vwjkUNLEed2FI/edit?gid=0" TargetMode="External"/><Relationship Id="rId15" Type="http://schemas.openxmlformats.org/officeDocument/2006/relationships/drawing" Target="../drawings/drawing7.xml"/><Relationship Id="rId14" Type="http://schemas.openxmlformats.org/officeDocument/2006/relationships/hyperlink" Target="https://docs.google.com/spreadsheets/d/1uCPcrhjbDcjFAlDjyIUG-SEyjn-4W9vwjkUNLEed2FI/edit?gid=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a657V_ATz70log37CslCQJfaS9cDKXEZaFx60siv6Jc/edit?gid=0" TargetMode="External"/><Relationship Id="rId2" Type="http://schemas.openxmlformats.org/officeDocument/2006/relationships/hyperlink" Target="https://docs.google.com/spreadsheets/d/1a657V_ATz70log37CslCQJfaS9cDKXEZaFx60siv6Jc/edit?gid=0" TargetMode="External"/><Relationship Id="rId3" Type="http://schemas.openxmlformats.org/officeDocument/2006/relationships/hyperlink" Target="https://docs.google.com/spreadsheets/d/1a657V_ATz70log37CslCQJfaS9cDKXEZaFx60siv6Jc/edit?gid=0" TargetMode="External"/><Relationship Id="rId4" Type="http://schemas.openxmlformats.org/officeDocument/2006/relationships/hyperlink" Target="https://docs.google.com/spreadsheets/d/1a657V_ATz70log37CslCQJfaS9cDKXEZaFx60siv6Jc/edit?gid=0" TargetMode="External"/><Relationship Id="rId9" Type="http://schemas.openxmlformats.org/officeDocument/2006/relationships/hyperlink" Target="https://docs.google.com/spreadsheets/d/1a657V_ATz70log37CslCQJfaS9cDKXEZaFx60siv6Jc/edit?gid=0" TargetMode="External"/><Relationship Id="rId5" Type="http://schemas.openxmlformats.org/officeDocument/2006/relationships/hyperlink" Target="https://docs.google.com/spreadsheets/d/1a657V_ATz70log37CslCQJfaS9cDKXEZaFx60siv6Jc/edit?gid=0" TargetMode="External"/><Relationship Id="rId6" Type="http://schemas.openxmlformats.org/officeDocument/2006/relationships/hyperlink" Target="https://docs.google.com/spreadsheets/d/1a657V_ATz70log37CslCQJfaS9cDKXEZaFx60siv6Jc/edit?gid=0" TargetMode="External"/><Relationship Id="rId7" Type="http://schemas.openxmlformats.org/officeDocument/2006/relationships/hyperlink" Target="https://docs.google.com/spreadsheets/d/1a657V_ATz70log37CslCQJfaS9cDKXEZaFx60siv6Jc/edit?gid=0" TargetMode="External"/><Relationship Id="rId8" Type="http://schemas.openxmlformats.org/officeDocument/2006/relationships/hyperlink" Target="https://docs.google.com/spreadsheets/d/1a657V_ATz70log37CslCQJfaS9cDKXEZaFx60siv6Jc/edit?gid=0" TargetMode="External"/><Relationship Id="rId20" Type="http://schemas.openxmlformats.org/officeDocument/2006/relationships/drawing" Target="../drawings/drawing8.xml"/><Relationship Id="rId11" Type="http://schemas.openxmlformats.org/officeDocument/2006/relationships/hyperlink" Target="https://docs.google.com/spreadsheets/d/1a657V_ATz70log37CslCQJfaS9cDKXEZaFx60siv6Jc/edit?gid=0" TargetMode="External"/><Relationship Id="rId10" Type="http://schemas.openxmlformats.org/officeDocument/2006/relationships/hyperlink" Target="https://docs.google.com/spreadsheets/d/1a657V_ATz70log37CslCQJfaS9cDKXEZaFx60siv6Jc/edit?gid=0" TargetMode="External"/><Relationship Id="rId13" Type="http://schemas.openxmlformats.org/officeDocument/2006/relationships/hyperlink" Target="https://docs.google.com/spreadsheets/d/1a657V_ATz70log37CslCQJfaS9cDKXEZaFx60siv6Jc/edit?gid=0" TargetMode="External"/><Relationship Id="rId12" Type="http://schemas.openxmlformats.org/officeDocument/2006/relationships/hyperlink" Target="https://docs.google.com/spreadsheets/d/1a657V_ATz70log37CslCQJfaS9cDKXEZaFx60siv6Jc/edit?gid=0" TargetMode="External"/><Relationship Id="rId15" Type="http://schemas.openxmlformats.org/officeDocument/2006/relationships/hyperlink" Target="https://docs.google.com/spreadsheets/d/1a657V_ATz70log37CslCQJfaS9cDKXEZaFx60siv6Jc/edit?gid=0" TargetMode="External"/><Relationship Id="rId14" Type="http://schemas.openxmlformats.org/officeDocument/2006/relationships/hyperlink" Target="https://docs.google.com/spreadsheets/d/1a657V_ATz70log37CslCQJfaS9cDKXEZaFx60siv6Jc/edit?gid=0" TargetMode="External"/><Relationship Id="rId17" Type="http://schemas.openxmlformats.org/officeDocument/2006/relationships/hyperlink" Target="https://docs.google.com/spreadsheets/d/1a657V_ATz70log37CslCQJfaS9cDKXEZaFx60siv6Jc/edit?gid=0" TargetMode="External"/><Relationship Id="rId16" Type="http://schemas.openxmlformats.org/officeDocument/2006/relationships/hyperlink" Target="https://docs.google.com/spreadsheets/d/1a657V_ATz70log37CslCQJfaS9cDKXEZaFx60siv6Jc/edit?gid=0" TargetMode="External"/><Relationship Id="rId19" Type="http://schemas.openxmlformats.org/officeDocument/2006/relationships/hyperlink" Target="https://docs.google.com/spreadsheets/d/1a657V_ATz70log37CslCQJfaS9cDKXEZaFx60siv6Jc/edit?gid=0" TargetMode="External"/><Relationship Id="rId18" Type="http://schemas.openxmlformats.org/officeDocument/2006/relationships/hyperlink" Target="https://docs.google.com/spreadsheets/d/1a657V_ATz70log37CslCQJfaS9cDKXEZaFx60siv6Jc/edit?gid=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4Y7sVaXN_tcR7bX1_7akPhcAbfFjrD8-cx48_JtWDxQ/edit?gid=0" TargetMode="External"/><Relationship Id="rId2" Type="http://schemas.openxmlformats.org/officeDocument/2006/relationships/hyperlink" Target="https://docs.google.com/spreadsheets/d/14Y7sVaXN_tcR7bX1_7akPhcAbfFjrD8-cx48_JtWDxQ/edit?gid=0" TargetMode="External"/><Relationship Id="rId3" Type="http://schemas.openxmlformats.org/officeDocument/2006/relationships/hyperlink" Target="https://docs.google.com/spreadsheets/d/14Y7sVaXN_tcR7bX1_7akPhcAbfFjrD8-cx48_JtWDxQ/edit?gid=0" TargetMode="External"/><Relationship Id="rId4" Type="http://schemas.openxmlformats.org/officeDocument/2006/relationships/hyperlink" Target="https://docs.google.com/spreadsheets/d/14Y7sVaXN_tcR7bX1_7akPhcAbfFjrD8-cx48_JtWDxQ/edit?gid=0" TargetMode="External"/><Relationship Id="rId9" Type="http://schemas.openxmlformats.org/officeDocument/2006/relationships/hyperlink" Target="https://docs.google.com/spreadsheets/d/14Y7sVaXN_tcR7bX1_7akPhcAbfFjrD8-cx48_JtWDxQ/edit?gid=0" TargetMode="External"/><Relationship Id="rId5" Type="http://schemas.openxmlformats.org/officeDocument/2006/relationships/hyperlink" Target="https://docs.google.com/spreadsheets/d/14Y7sVaXN_tcR7bX1_7akPhcAbfFjrD8-cx48_JtWDxQ/edit?gid=0" TargetMode="External"/><Relationship Id="rId6" Type="http://schemas.openxmlformats.org/officeDocument/2006/relationships/hyperlink" Target="https://docs.google.com/spreadsheets/d/14Y7sVaXN_tcR7bX1_7akPhcAbfFjrD8-cx48_JtWDxQ/edit?gid=0" TargetMode="External"/><Relationship Id="rId7" Type="http://schemas.openxmlformats.org/officeDocument/2006/relationships/hyperlink" Target="https://docs.google.com/spreadsheets/d/14Y7sVaXN_tcR7bX1_7akPhcAbfFjrD8-cx48_JtWDxQ/edit?gid=0" TargetMode="External"/><Relationship Id="rId8" Type="http://schemas.openxmlformats.org/officeDocument/2006/relationships/hyperlink" Target="https://docs.google.com/spreadsheets/d/14Y7sVaXN_tcR7bX1_7akPhcAbfFjrD8-cx48_JtWDxQ/edit?gid=0" TargetMode="External"/><Relationship Id="rId11" Type="http://schemas.openxmlformats.org/officeDocument/2006/relationships/hyperlink" Target="https://docs.google.com/spreadsheets/d/14Y7sVaXN_tcR7bX1_7akPhcAbfFjrD8-cx48_JtWDxQ/edit?gid=0" TargetMode="External"/><Relationship Id="rId10" Type="http://schemas.openxmlformats.org/officeDocument/2006/relationships/hyperlink" Target="https://docs.google.com/spreadsheets/d/14Y7sVaXN_tcR7bX1_7akPhcAbfFjrD8-cx48_JtWDxQ/edit?gid=0" TargetMode="External"/><Relationship Id="rId13" Type="http://schemas.openxmlformats.org/officeDocument/2006/relationships/hyperlink" Target="https://docs.google.com/spreadsheets/d/14Y7sVaXN_tcR7bX1_7akPhcAbfFjrD8-cx48_JtWDxQ/edit?gid=0" TargetMode="External"/><Relationship Id="rId12" Type="http://schemas.openxmlformats.org/officeDocument/2006/relationships/hyperlink" Target="https://docs.google.com/spreadsheets/d/14Y7sVaXN_tcR7bX1_7akPhcAbfFjrD8-cx48_JtWDxQ/edit?gid=0" TargetMode="External"/><Relationship Id="rId15" Type="http://schemas.openxmlformats.org/officeDocument/2006/relationships/hyperlink" Target="https://docs.google.com/spreadsheets/d/14Y7sVaXN_tcR7bX1_7akPhcAbfFjrD8-cx48_JtWDxQ/edit?gid=0" TargetMode="External"/><Relationship Id="rId14" Type="http://schemas.openxmlformats.org/officeDocument/2006/relationships/hyperlink" Target="https://docs.google.com/spreadsheets/d/14Y7sVaXN_tcR7bX1_7akPhcAbfFjrD8-cx48_JtWDxQ/edit?gid=0" TargetMode="External"/><Relationship Id="rId17" Type="http://schemas.openxmlformats.org/officeDocument/2006/relationships/drawing" Target="../drawings/drawing9.xml"/><Relationship Id="rId16" Type="http://schemas.openxmlformats.org/officeDocument/2006/relationships/hyperlink" Target="https://docs.google.com/spreadsheets/d/14Y7sVaXN_tcR7bX1_7akPhcAbfFjrD8-cx48_JtWDxQ/edit?gid=0"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drive/folders/1vcWgc4rb9q2GljDgQEWE42YUEK7SxHdo?usp=sharing" TargetMode="External"/><Relationship Id="rId3" Type="http://schemas.openxmlformats.org/officeDocument/2006/relationships/drawing" Target="../drawings/drawing10.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4.xml"/><Relationship Id="rId3"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2.57"/>
    <col customWidth="1" min="2" max="2" width="17.0"/>
    <col customWidth="1" min="3" max="5" width="11.43"/>
    <col customWidth="1" min="6" max="6" width="15.14"/>
    <col customWidth="1" min="7" max="7" width="37.57"/>
    <col customWidth="1" min="8" max="26" width="12.57"/>
  </cols>
  <sheetData>
    <row r="1" ht="25.5" customHeight="1">
      <c r="A1" s="5" t="s">
        <v>1</v>
      </c>
      <c r="B1" s="7"/>
      <c r="C1" s="7"/>
      <c r="D1" s="7"/>
      <c r="E1" s="7"/>
      <c r="F1" s="7"/>
      <c r="G1" s="9"/>
    </row>
    <row r="2" ht="23.25" customHeight="1">
      <c r="A2" s="12" t="s">
        <v>35</v>
      </c>
      <c r="B2" s="7"/>
      <c r="C2" s="7"/>
      <c r="D2" s="7"/>
      <c r="E2" s="7"/>
      <c r="F2" s="7"/>
      <c r="G2" s="9"/>
    </row>
    <row r="3" ht="15.0" customHeight="1">
      <c r="A3" s="17"/>
      <c r="B3" s="17"/>
      <c r="C3" s="17"/>
      <c r="D3" s="17"/>
      <c r="E3" s="17"/>
      <c r="F3" s="17"/>
      <c r="G3" s="17"/>
    </row>
    <row r="4" ht="31.5" customHeight="1">
      <c r="A4" s="18" t="s">
        <v>65</v>
      </c>
      <c r="B4" s="18" t="s">
        <v>73</v>
      </c>
      <c r="C4" s="18" t="s">
        <v>26</v>
      </c>
      <c r="D4" s="18" t="s">
        <v>74</v>
      </c>
      <c r="E4" s="18" t="s">
        <v>76</v>
      </c>
      <c r="F4" s="18" t="s">
        <v>78</v>
      </c>
      <c r="G4" s="18" t="s">
        <v>79</v>
      </c>
    </row>
    <row r="5" ht="15.0" customHeight="1">
      <c r="A5" s="19" t="s">
        <v>89</v>
      </c>
      <c r="B5" s="17">
        <f>COUNTIF('Unit Testing'!A2:A400,"&lt;&gt;")</f>
        <v>68</v>
      </c>
      <c r="C5" s="17">
        <f>COUNTIF('Unit Testing'!G2:G400,"Pass")</f>
        <v>68</v>
      </c>
      <c r="D5" s="17">
        <f>COUNTIF('Unit Testing'!G2:G400,"Fail")</f>
        <v>0</v>
      </c>
      <c r="E5" s="17">
        <f>COUNTIF('Unit Testing'!G2:G400,"Blocked")</f>
        <v>0</v>
      </c>
      <c r="F5" s="17">
        <f>COUNTIF('Unit Testing'!G2:G400,"Retest")</f>
        <v>0</v>
      </c>
      <c r="G5" s="17" t="s">
        <v>165</v>
      </c>
    </row>
    <row r="6" ht="15.0" customHeight="1">
      <c r="A6" s="19" t="s">
        <v>168</v>
      </c>
      <c r="B6" s="17">
        <f>COUNTIF('Integration Testing'!A2:A400,"&lt;&gt;")</f>
        <v>23</v>
      </c>
      <c r="C6" s="17">
        <f>COUNTIF('Integration Testing'!G2:G400,"Pass")</f>
        <v>23</v>
      </c>
      <c r="D6" s="17">
        <f>COUNTIF('Integration Testing'!G2:G400,"Fail")</f>
        <v>0</v>
      </c>
      <c r="E6" s="17">
        <f>COUNTIF('Integration Testing'!G2:G400,"Blocked")</f>
        <v>0</v>
      </c>
      <c r="F6" s="17">
        <f>COUNTIF('Integration Testing'!G2:G400,"Retest")</f>
        <v>0</v>
      </c>
      <c r="G6" s="17" t="s">
        <v>165</v>
      </c>
    </row>
    <row r="7" ht="15.0" customHeight="1">
      <c r="A7" s="19" t="s">
        <v>211</v>
      </c>
      <c r="B7" s="17">
        <f>COUNTIF('System E2E Testing'!A2:A400,"&lt;&gt;")</f>
        <v>21</v>
      </c>
      <c r="C7" s="17">
        <f>COUNTIF('System E2E Testing'!G2:G400,"Pass")</f>
        <v>21</v>
      </c>
      <c r="D7" s="17">
        <f>COUNTIF('System E2E Testing'!G2:G400,"Fail")</f>
        <v>0</v>
      </c>
      <c r="E7" s="17">
        <f>COUNTIF('System E2E Testing'!G2:G400,"Blocked")</f>
        <v>0</v>
      </c>
      <c r="F7" s="17">
        <f>COUNTIF('System E2E Testing'!G2:G400,"Retest")</f>
        <v>0</v>
      </c>
      <c r="G7" s="17" t="s">
        <v>165</v>
      </c>
    </row>
    <row r="8" ht="15.0" customHeight="1">
      <c r="A8" s="19" t="s">
        <v>240</v>
      </c>
      <c r="B8" s="17">
        <f>COUNTIF('AI Model Validation'!A2:A399,"&lt;&gt;")</f>
        <v>9</v>
      </c>
      <c r="C8" s="17">
        <f>COUNTIF('AI Model Validation'!G2:G399,"Pass")</f>
        <v>9</v>
      </c>
      <c r="D8" s="17">
        <f>COUNTIF('AI Model Validation'!G2:G399,"Fail")</f>
        <v>0</v>
      </c>
      <c r="E8" s="17">
        <f>COUNTIF('AI Model Validation'!G2:G399,"Blocked")</f>
        <v>0</v>
      </c>
      <c r="F8" s="17">
        <f>COUNTIF('AI Model Validation'!G2:G399,"Retest")</f>
        <v>0</v>
      </c>
      <c r="G8" s="17" t="s">
        <v>165</v>
      </c>
    </row>
    <row r="9" ht="15.0" customHeight="1">
      <c r="A9" s="19" t="s">
        <v>278</v>
      </c>
      <c r="B9" s="17">
        <f>COUNTIF('Performance &amp; Load Testing'!A2:A399,"&lt;&gt;")</f>
        <v>15</v>
      </c>
      <c r="C9" s="17">
        <f>COUNTIF('Performance &amp; Load Testing'!G2:G399,"Pass")</f>
        <v>15</v>
      </c>
      <c r="D9" s="17">
        <f>COUNTIF('Performance &amp; Load Testing'!G2:G399,"Fail")</f>
        <v>0</v>
      </c>
      <c r="E9" s="17">
        <f>COUNTIF('Performance &amp; Load Testing'!G2:G399,"Blocked")</f>
        <v>0</v>
      </c>
      <c r="F9" s="17">
        <f>COUNTIF('Performance &amp; Load Testing'!G2:G399,"Retest")</f>
        <v>0</v>
      </c>
      <c r="G9" s="17" t="s">
        <v>165</v>
      </c>
    </row>
    <row r="10" ht="15.0" customHeight="1">
      <c r="A10" s="19" t="s">
        <v>317</v>
      </c>
      <c r="B10" s="17">
        <f>COUNTIF('Reliability &amp; Endurance'!A2:A400,"&lt;&gt;")</f>
        <v>15</v>
      </c>
      <c r="C10" s="17">
        <f>COUNTIF('Reliability &amp; Endurance'!G2:G400,"Pass")</f>
        <v>15</v>
      </c>
      <c r="D10" s="17">
        <f>COUNTIF('Reliability &amp; Endurance'!G2:G400,"Fail")</f>
        <v>0</v>
      </c>
      <c r="E10" s="17">
        <f>COUNTIF('Reliability &amp; Endurance'!G2:G400,"Blocked")</f>
        <v>0</v>
      </c>
      <c r="F10" s="17">
        <f>COUNTIF('Reliability &amp; Endurance'!G2:G400,"Retest")</f>
        <v>0</v>
      </c>
      <c r="G10" s="17" t="s">
        <v>165</v>
      </c>
    </row>
    <row r="11" ht="23.25" customHeight="1">
      <c r="A11" s="19" t="s">
        <v>360</v>
      </c>
      <c r="B11" s="17">
        <f>COUNTIF('Backup &amp; Recovery'!A2:A400,"&lt;&gt;")</f>
        <v>16</v>
      </c>
      <c r="C11" s="17">
        <f>COUNTIF('Backup &amp; Recovery'!G2:G400,"Pass")</f>
        <v>16</v>
      </c>
      <c r="D11" s="17">
        <f>COUNTIF('Backup &amp; Recovery'!G2:G400,"Fail")</f>
        <v>0</v>
      </c>
      <c r="E11" s="17">
        <f>COUNTIF('Backup &amp; Recovery'!G2:G400,"Blocked")</f>
        <v>0</v>
      </c>
      <c r="F11" s="17">
        <f>COUNTIF('Backup &amp; Recovery'!G2:G400,"Retest")</f>
        <v>0</v>
      </c>
      <c r="G11" s="17" t="s">
        <v>389</v>
      </c>
    </row>
    <row r="12" ht="23.25" customHeight="1">
      <c r="A12" s="19" t="s">
        <v>392</v>
      </c>
      <c r="B12" s="17">
        <f>COUNTIF('Security Testing'!A2:A28,"&lt;&gt;")</f>
        <v>27</v>
      </c>
      <c r="C12" s="17">
        <f>COUNTIF('Security Testing'!G2:G28,"Pass")</f>
        <v>27</v>
      </c>
      <c r="D12" s="17">
        <f>COUNTIF('Security Testing'!G2:G28,"Fail")</f>
        <v>0</v>
      </c>
      <c r="E12" s="17">
        <f>COUNTIF('Security Testing'!G2:G28,"Blocked")</f>
        <v>0</v>
      </c>
      <c r="F12" s="17">
        <f>COUNTIF('Security Testing'!G2:G28,"Retest")</f>
        <v>0</v>
      </c>
      <c r="G12" s="17" t="s">
        <v>434</v>
      </c>
    </row>
    <row r="13" ht="15.0" customHeight="1">
      <c r="A13" s="17" t="s">
        <v>436</v>
      </c>
      <c r="B13" s="17">
        <f>COUNTA('Execution Log'!A2:A34)</f>
        <v>33</v>
      </c>
      <c r="C13" s="17">
        <f>COUNTIF('Execution Log'!C2:C34,"Pass")</f>
        <v>33</v>
      </c>
      <c r="D13" s="17">
        <f>COUNTIF('Execution Log'!C2:C34,"Fail")</f>
        <v>0</v>
      </c>
      <c r="E13" s="17">
        <f>COUNTIF('Execution Log'!C2:C34,"Blocked")</f>
        <v>0</v>
      </c>
      <c r="F13" s="17">
        <f>COUNTIF('Execution Log'!C2:C34,"Retest Required")</f>
        <v>0</v>
      </c>
      <c r="G13" s="17" t="s">
        <v>462</v>
      </c>
    </row>
    <row r="14" ht="23.25" customHeight="1">
      <c r="A14" s="17" t="s">
        <v>465</v>
      </c>
      <c r="B14" s="17" t="s">
        <v>467</v>
      </c>
      <c r="C14" s="17">
        <f>COUNTIF('SUS Questionnaire'!N5:N8,"&gt;=68")</f>
        <v>4</v>
      </c>
      <c r="D14" s="17">
        <f>COUNTIF('SUS Questionnaire'!N5:N8,"&lt;68")</f>
        <v>0</v>
      </c>
      <c r="E14" s="17"/>
      <c r="F14" s="17"/>
      <c r="G14" s="21" t="s">
        <v>480</v>
      </c>
    </row>
    <row r="15" ht="23.25" customHeight="1">
      <c r="A15" s="17" t="s">
        <v>493</v>
      </c>
      <c r="B15" s="17" t="s">
        <v>495</v>
      </c>
      <c r="C15" s="17">
        <f>IF('UAT Results'!B13="ELIGIBLE FOR FORMAL SIGN-OFF",1,0)</f>
        <v>1</v>
      </c>
      <c r="D15" s="17"/>
      <c r="E15" s="17"/>
      <c r="F15" s="17"/>
      <c r="G15" s="17" t="s">
        <v>516</v>
      </c>
    </row>
    <row r="16" ht="23.25" customHeight="1">
      <c r="A16" s="22" t="s">
        <v>517</v>
      </c>
      <c r="B16" s="22">
        <f t="shared" ref="B16:F16" si="1">SUM(B5:B12)</f>
        <v>194</v>
      </c>
      <c r="C16" s="22">
        <f t="shared" si="1"/>
        <v>194</v>
      </c>
      <c r="D16" s="22">
        <f t="shared" si="1"/>
        <v>0</v>
      </c>
      <c r="E16" s="22">
        <f t="shared" si="1"/>
        <v>0</v>
      </c>
      <c r="F16" s="22">
        <f t="shared" si="1"/>
        <v>0</v>
      </c>
      <c r="G16" s="25" t="s">
        <v>538</v>
      </c>
    </row>
    <row r="17" ht="15.0" customHeight="1">
      <c r="A17" s="17"/>
      <c r="B17" s="17"/>
      <c r="C17" s="17"/>
      <c r="D17" s="17"/>
      <c r="E17" s="17"/>
      <c r="F17" s="17"/>
      <c r="G17" s="17"/>
    </row>
    <row r="18" ht="15.0" customHeight="1">
      <c r="A18" s="28" t="s">
        <v>587</v>
      </c>
      <c r="B18" s="7"/>
      <c r="C18" s="7"/>
      <c r="D18" s="7"/>
      <c r="E18" s="7"/>
      <c r="F18" s="7"/>
      <c r="G18" s="9"/>
    </row>
    <row r="19" ht="23.25" customHeight="1">
      <c r="A19" s="21" t="s">
        <v>649</v>
      </c>
    </row>
    <row r="20" ht="23.25" customHeight="1">
      <c r="A20" s="21" t="s">
        <v>654</v>
      </c>
    </row>
    <row r="21" ht="23.25" customHeight="1">
      <c r="A21" s="21" t="s">
        <v>657</v>
      </c>
    </row>
    <row r="22" ht="15.0" customHeight="1">
      <c r="A22" s="17" t="s">
        <v>660</v>
      </c>
    </row>
    <row r="23" ht="15.0" customHeight="1">
      <c r="A23" s="17"/>
      <c r="B23" s="17"/>
      <c r="C23" s="17"/>
      <c r="D23" s="17"/>
      <c r="E23" s="17"/>
      <c r="F23" s="17"/>
      <c r="G23" s="17"/>
    </row>
    <row r="24" ht="23.25" customHeight="1">
      <c r="A24" s="17" t="s">
        <v>666</v>
      </c>
      <c r="B24" s="17" t="s">
        <v>669</v>
      </c>
      <c r="C24" s="17" t="s">
        <v>671</v>
      </c>
      <c r="D24" s="17"/>
      <c r="E24" s="17"/>
      <c r="F24" s="17"/>
      <c r="G24" s="17"/>
    </row>
    <row r="25" ht="26.25" customHeight="1">
      <c r="A25" s="18" t="s">
        <v>673</v>
      </c>
      <c r="B25" s="18">
        <f>'UAT Results'!B4</f>
        <v>33</v>
      </c>
      <c r="C25" s="18" t="s">
        <v>703</v>
      </c>
      <c r="D25" s="17"/>
      <c r="E25" s="17"/>
      <c r="F25" s="17"/>
      <c r="G25" s="17"/>
    </row>
    <row r="26" ht="15.0" customHeight="1">
      <c r="A26" s="17" t="s">
        <v>706</v>
      </c>
      <c r="B26" s="17">
        <f>'UAT Results'!B5</f>
        <v>33</v>
      </c>
      <c r="C26" s="17" t="s">
        <v>703</v>
      </c>
      <c r="D26" s="17"/>
      <c r="E26" s="17"/>
      <c r="F26" s="17"/>
      <c r="G26" s="17"/>
    </row>
    <row r="27" ht="15.0" customHeight="1">
      <c r="A27" s="17" t="s">
        <v>713</v>
      </c>
      <c r="B27" s="29">
        <f>'UAT Results'!B7</f>
        <v>1</v>
      </c>
      <c r="C27" s="17" t="s">
        <v>730</v>
      </c>
      <c r="D27" s="17"/>
      <c r="E27" s="17"/>
      <c r="F27" s="17"/>
      <c r="G27" s="17"/>
    </row>
    <row r="28" ht="15.0" customHeight="1">
      <c r="A28" s="17" t="s">
        <v>732</v>
      </c>
      <c r="B28" s="17">
        <f>'UAT Results'!B10</f>
        <v>0</v>
      </c>
      <c r="C28" s="17" t="s">
        <v>742</v>
      </c>
      <c r="D28" s="17"/>
      <c r="E28" s="17"/>
      <c r="F28" s="17"/>
      <c r="G28" s="17"/>
    </row>
    <row r="29" ht="15.0" customHeight="1">
      <c r="A29" s="17" t="s">
        <v>744</v>
      </c>
      <c r="B29" s="17">
        <f>'UAT Results'!B11</f>
        <v>89.375</v>
      </c>
      <c r="C29" s="17" t="s">
        <v>745</v>
      </c>
      <c r="D29" s="17"/>
      <c r="E29" s="17"/>
      <c r="F29" s="17"/>
      <c r="G29" s="17"/>
    </row>
    <row r="30" ht="15.0" customHeight="1">
      <c r="A30" s="17" t="s">
        <v>746</v>
      </c>
      <c r="B30" s="17">
        <f>'UAT Results'!B12</f>
        <v>9</v>
      </c>
      <c r="C30" s="17" t="s">
        <v>747</v>
      </c>
      <c r="D30" s="17"/>
      <c r="E30" s="17"/>
      <c r="F30" s="17"/>
      <c r="G30" s="17"/>
    </row>
    <row r="31" ht="15.0" customHeight="1">
      <c r="A31" s="30" t="s">
        <v>748</v>
      </c>
      <c r="B31" s="30" t="str">
        <f>'UAT Results'!B13</f>
        <v>ELIGIBLE FOR FORMAL SIGN-OFF</v>
      </c>
      <c r="C31" s="30" t="s">
        <v>749</v>
      </c>
      <c r="D31" s="31"/>
      <c r="E31" s="31"/>
      <c r="F31" s="31"/>
      <c r="G31" s="31"/>
    </row>
    <row r="32" ht="15.0" customHeight="1">
      <c r="A32" s="30" t="s">
        <v>750</v>
      </c>
      <c r="B32" s="30" t="str">
        <f>'UAT Results'!B14</f>
        <v>Accepted</v>
      </c>
      <c r="C32" s="30" t="s">
        <v>751</v>
      </c>
      <c r="D32" s="31"/>
      <c r="E32" s="31"/>
      <c r="F32" s="31"/>
      <c r="G32" s="31"/>
    </row>
    <row r="33" ht="15.75" customHeight="1">
      <c r="A33" s="31"/>
      <c r="B33" s="31"/>
      <c r="C33" s="31"/>
      <c r="D33" s="31"/>
      <c r="E33" s="31"/>
      <c r="F33" s="31"/>
      <c r="G33" s="31"/>
    </row>
    <row r="34" ht="15.75" customHeight="1">
      <c r="A34" s="31"/>
      <c r="B34" s="31"/>
      <c r="C34" s="31"/>
      <c r="D34" s="31"/>
      <c r="E34" s="31"/>
      <c r="F34" s="31"/>
      <c r="G34" s="31"/>
    </row>
    <row r="35" ht="15.75" customHeight="1">
      <c r="A35" s="31"/>
      <c r="B35" s="31"/>
      <c r="C35" s="31"/>
      <c r="D35" s="31"/>
      <c r="E35" s="31"/>
      <c r="F35" s="31"/>
      <c r="G35" s="31"/>
    </row>
    <row r="36" ht="15.75" customHeight="1">
      <c r="A36" s="31"/>
      <c r="B36" s="31"/>
      <c r="C36" s="31"/>
      <c r="D36" s="31"/>
      <c r="E36" s="31"/>
      <c r="F36" s="31"/>
      <c r="G36" s="31"/>
    </row>
    <row r="37" ht="15.75" customHeight="1">
      <c r="A37" s="31"/>
      <c r="B37" s="31"/>
      <c r="C37" s="31"/>
      <c r="D37" s="31"/>
      <c r="E37" s="31"/>
      <c r="F37" s="31"/>
      <c r="G37" s="31"/>
    </row>
    <row r="38" ht="15.75" customHeight="1">
      <c r="A38" s="31"/>
      <c r="B38" s="31"/>
      <c r="C38" s="31"/>
      <c r="D38" s="31"/>
      <c r="E38" s="31"/>
      <c r="F38" s="31"/>
      <c r="G38" s="31"/>
    </row>
    <row r="39" ht="15.75" customHeight="1">
      <c r="A39" s="31"/>
      <c r="B39" s="31"/>
      <c r="C39" s="31"/>
      <c r="D39" s="31"/>
      <c r="E39" s="31"/>
      <c r="F39" s="31"/>
      <c r="G39" s="31"/>
    </row>
    <row r="40" ht="15.75" customHeight="1">
      <c r="A40" s="31"/>
      <c r="B40" s="31"/>
      <c r="C40" s="31"/>
      <c r="D40" s="31"/>
      <c r="E40" s="31"/>
      <c r="F40" s="31"/>
      <c r="G40" s="31"/>
    </row>
    <row r="41" ht="15.75" customHeight="1">
      <c r="A41" s="31"/>
      <c r="B41" s="31"/>
      <c r="C41" s="31"/>
      <c r="D41" s="31"/>
      <c r="E41" s="31"/>
      <c r="F41" s="31"/>
      <c r="G41" s="31"/>
    </row>
    <row r="42" ht="15.75" customHeight="1">
      <c r="A42" s="31"/>
      <c r="B42" s="31"/>
      <c r="C42" s="31"/>
      <c r="D42" s="31"/>
      <c r="E42" s="31"/>
      <c r="F42" s="31"/>
      <c r="G42" s="31"/>
    </row>
    <row r="43" ht="15.75" customHeight="1">
      <c r="A43" s="31"/>
      <c r="B43" s="31"/>
      <c r="C43" s="31"/>
      <c r="D43" s="31"/>
      <c r="E43" s="31"/>
      <c r="F43" s="31"/>
      <c r="G43" s="31"/>
    </row>
    <row r="44" ht="15.75" customHeight="1">
      <c r="A44" s="31"/>
      <c r="B44" s="31"/>
      <c r="C44" s="31"/>
      <c r="D44" s="31"/>
      <c r="E44" s="31"/>
      <c r="F44" s="31"/>
      <c r="G44" s="31"/>
    </row>
    <row r="45" ht="15.75" customHeight="1">
      <c r="A45" s="31"/>
      <c r="B45" s="31"/>
      <c r="C45" s="31"/>
      <c r="D45" s="31"/>
      <c r="E45" s="31"/>
      <c r="F45" s="31"/>
      <c r="G45" s="31"/>
    </row>
    <row r="46" ht="15.75" customHeight="1">
      <c r="A46" s="31"/>
      <c r="B46" s="31"/>
      <c r="C46" s="31"/>
      <c r="D46" s="31"/>
      <c r="E46" s="31"/>
      <c r="F46" s="31"/>
      <c r="G46" s="31"/>
    </row>
    <row r="47" ht="15.75" customHeight="1">
      <c r="A47" s="31"/>
      <c r="B47" s="31"/>
      <c r="C47" s="31"/>
      <c r="D47" s="31"/>
      <c r="E47" s="31"/>
      <c r="F47" s="31"/>
      <c r="G47" s="31"/>
    </row>
    <row r="48" ht="15.75" customHeight="1">
      <c r="A48" s="31"/>
      <c r="B48" s="31"/>
      <c r="C48" s="31"/>
      <c r="D48" s="31"/>
      <c r="E48" s="31"/>
      <c r="F48" s="31"/>
      <c r="G48" s="31"/>
    </row>
    <row r="49" ht="15.75" customHeight="1">
      <c r="A49" s="31"/>
      <c r="B49" s="31"/>
      <c r="C49" s="31"/>
      <c r="D49" s="31"/>
      <c r="E49" s="31"/>
      <c r="F49" s="31"/>
      <c r="G49" s="31"/>
    </row>
    <row r="50" ht="15.75" customHeight="1">
      <c r="A50" s="31"/>
      <c r="B50" s="31"/>
      <c r="C50" s="31"/>
      <c r="D50" s="31"/>
      <c r="E50" s="31"/>
      <c r="F50" s="31"/>
      <c r="G50" s="31"/>
    </row>
    <row r="51" ht="15.75" customHeight="1">
      <c r="A51" s="31"/>
      <c r="B51" s="31"/>
      <c r="C51" s="31"/>
      <c r="D51" s="31"/>
      <c r="E51" s="31"/>
      <c r="F51" s="31"/>
      <c r="G51" s="31"/>
    </row>
    <row r="52" ht="15.75" customHeight="1">
      <c r="A52" s="31"/>
      <c r="B52" s="31"/>
      <c r="C52" s="31"/>
      <c r="D52" s="31"/>
      <c r="E52" s="31"/>
      <c r="F52" s="31"/>
      <c r="G52" s="31"/>
    </row>
    <row r="53" ht="15.75" customHeight="1">
      <c r="A53" s="31"/>
      <c r="B53" s="31"/>
      <c r="C53" s="31"/>
      <c r="D53" s="31"/>
      <c r="E53" s="31"/>
      <c r="F53" s="31"/>
      <c r="G53" s="31"/>
    </row>
    <row r="54" ht="15.75" customHeight="1">
      <c r="A54" s="31"/>
      <c r="B54" s="31"/>
      <c r="C54" s="31"/>
      <c r="D54" s="31"/>
      <c r="E54" s="31"/>
      <c r="F54" s="31"/>
      <c r="G54" s="31"/>
    </row>
    <row r="55" ht="15.75" customHeight="1">
      <c r="A55" s="31"/>
      <c r="B55" s="31"/>
      <c r="C55" s="31"/>
      <c r="D55" s="31"/>
      <c r="E55" s="31"/>
      <c r="F55" s="31"/>
      <c r="G55" s="31"/>
    </row>
    <row r="56" ht="15.75" customHeight="1">
      <c r="A56" s="31"/>
      <c r="B56" s="31"/>
      <c r="C56" s="31"/>
      <c r="D56" s="31"/>
      <c r="E56" s="31"/>
      <c r="F56" s="31"/>
      <c r="G56" s="31"/>
    </row>
    <row r="57" ht="15.75" customHeight="1">
      <c r="A57" s="31"/>
      <c r="B57" s="31"/>
      <c r="C57" s="31"/>
      <c r="D57" s="31"/>
      <c r="E57" s="31"/>
      <c r="F57" s="31"/>
      <c r="G57" s="31"/>
    </row>
    <row r="58" ht="15.75" customHeight="1">
      <c r="A58" s="31"/>
      <c r="B58" s="31"/>
      <c r="C58" s="31"/>
      <c r="D58" s="31"/>
      <c r="E58" s="31"/>
      <c r="F58" s="31"/>
      <c r="G58" s="31"/>
    </row>
    <row r="59" ht="15.75" customHeight="1">
      <c r="A59" s="31"/>
      <c r="B59" s="31"/>
      <c r="C59" s="31"/>
      <c r="D59" s="31"/>
      <c r="E59" s="31"/>
      <c r="F59" s="31"/>
      <c r="G59" s="31"/>
    </row>
    <row r="60" ht="15.75" customHeight="1">
      <c r="A60" s="31"/>
      <c r="B60" s="31"/>
      <c r="C60" s="31"/>
      <c r="D60" s="31"/>
      <c r="E60" s="31"/>
      <c r="F60" s="31"/>
      <c r="G60" s="31"/>
    </row>
    <row r="61" ht="15.75" customHeight="1">
      <c r="A61" s="31"/>
      <c r="B61" s="31"/>
      <c r="C61" s="31"/>
      <c r="D61" s="31"/>
      <c r="E61" s="31"/>
      <c r="F61" s="31"/>
      <c r="G61" s="31"/>
    </row>
    <row r="62" ht="15.75" customHeight="1">
      <c r="A62" s="31"/>
      <c r="B62" s="31"/>
      <c r="C62" s="31"/>
      <c r="D62" s="31"/>
      <c r="E62" s="31"/>
      <c r="F62" s="31"/>
      <c r="G62" s="31"/>
    </row>
    <row r="63" ht="15.75" customHeight="1">
      <c r="A63" s="31"/>
      <c r="B63" s="31"/>
      <c r="C63" s="31"/>
      <c r="D63" s="31"/>
      <c r="E63" s="31"/>
      <c r="F63" s="31"/>
      <c r="G63" s="31"/>
    </row>
    <row r="64" ht="15.75" customHeight="1">
      <c r="A64" s="31"/>
      <c r="B64" s="31"/>
      <c r="C64" s="31"/>
      <c r="D64" s="31"/>
      <c r="E64" s="31"/>
      <c r="F64" s="31"/>
      <c r="G64" s="31"/>
    </row>
    <row r="65" ht="15.75" customHeight="1">
      <c r="A65" s="31"/>
      <c r="B65" s="31"/>
      <c r="C65" s="31"/>
      <c r="D65" s="31"/>
      <c r="E65" s="31"/>
      <c r="F65" s="31"/>
      <c r="G65" s="31"/>
    </row>
    <row r="66" ht="15.75" customHeight="1">
      <c r="A66" s="31"/>
      <c r="B66" s="31"/>
      <c r="C66" s="31"/>
      <c r="D66" s="31"/>
      <c r="E66" s="31"/>
      <c r="F66" s="31"/>
      <c r="G66" s="31"/>
    </row>
    <row r="67" ht="15.75" customHeight="1">
      <c r="A67" s="31"/>
      <c r="B67" s="31"/>
      <c r="C67" s="31"/>
      <c r="D67" s="31"/>
      <c r="E67" s="31"/>
      <c r="F67" s="31"/>
      <c r="G67" s="31"/>
    </row>
    <row r="68" ht="15.75" customHeight="1">
      <c r="A68" s="31"/>
      <c r="B68" s="31"/>
      <c r="C68" s="31"/>
      <c r="D68" s="31"/>
      <c r="E68" s="31"/>
      <c r="F68" s="31"/>
      <c r="G68" s="31"/>
    </row>
    <row r="69" ht="15.75" customHeight="1">
      <c r="A69" s="31"/>
      <c r="B69" s="31"/>
      <c r="C69" s="31"/>
      <c r="D69" s="31"/>
      <c r="E69" s="31"/>
      <c r="F69" s="31"/>
      <c r="G69" s="31"/>
    </row>
    <row r="70" ht="15.75" customHeight="1">
      <c r="A70" s="31"/>
      <c r="B70" s="31"/>
      <c r="C70" s="31"/>
      <c r="D70" s="31"/>
      <c r="E70" s="31"/>
      <c r="F70" s="31"/>
      <c r="G70" s="31"/>
    </row>
    <row r="71" ht="15.75" customHeight="1">
      <c r="A71" s="31"/>
      <c r="B71" s="31"/>
      <c r="C71" s="31"/>
      <c r="D71" s="31"/>
      <c r="E71" s="31"/>
      <c r="F71" s="31"/>
      <c r="G71" s="31"/>
    </row>
    <row r="72" ht="15.75" customHeight="1">
      <c r="A72" s="31"/>
      <c r="B72" s="31"/>
      <c r="C72" s="31"/>
      <c r="D72" s="31"/>
      <c r="E72" s="31"/>
      <c r="F72" s="31"/>
      <c r="G72" s="31"/>
    </row>
    <row r="73" ht="15.75" customHeight="1">
      <c r="A73" s="31"/>
      <c r="B73" s="31"/>
      <c r="C73" s="31"/>
      <c r="D73" s="31"/>
      <c r="E73" s="31"/>
      <c r="F73" s="31"/>
      <c r="G73" s="31"/>
    </row>
    <row r="74" ht="15.75" customHeight="1">
      <c r="A74" s="31"/>
      <c r="B74" s="31"/>
      <c r="C74" s="31"/>
      <c r="D74" s="31"/>
      <c r="E74" s="31"/>
      <c r="F74" s="31"/>
      <c r="G74" s="31"/>
    </row>
    <row r="75" ht="15.75" customHeight="1">
      <c r="A75" s="31"/>
      <c r="B75" s="31"/>
      <c r="C75" s="31"/>
      <c r="D75" s="31"/>
      <c r="E75" s="31"/>
      <c r="F75" s="31"/>
      <c r="G75" s="31"/>
    </row>
    <row r="76" ht="15.75" customHeight="1">
      <c r="A76" s="31"/>
      <c r="B76" s="31"/>
      <c r="C76" s="31"/>
      <c r="D76" s="31"/>
      <c r="E76" s="31"/>
      <c r="F76" s="31"/>
      <c r="G76" s="31"/>
    </row>
    <row r="77" ht="15.75" customHeight="1">
      <c r="A77" s="31"/>
      <c r="B77" s="31"/>
      <c r="C77" s="31"/>
      <c r="D77" s="31"/>
      <c r="E77" s="31"/>
      <c r="F77" s="31"/>
      <c r="G77" s="31"/>
    </row>
    <row r="78" ht="15.75" customHeight="1">
      <c r="A78" s="31"/>
      <c r="B78" s="31"/>
      <c r="C78" s="31"/>
      <c r="D78" s="31"/>
      <c r="E78" s="31"/>
      <c r="F78" s="31"/>
      <c r="G78" s="31"/>
    </row>
    <row r="79" ht="15.75" customHeight="1">
      <c r="A79" s="31"/>
      <c r="B79" s="31"/>
      <c r="C79" s="31"/>
      <c r="D79" s="31"/>
      <c r="E79" s="31"/>
      <c r="F79" s="31"/>
      <c r="G79" s="31"/>
    </row>
    <row r="80" ht="15.75" customHeight="1">
      <c r="A80" s="31"/>
      <c r="B80" s="31"/>
      <c r="C80" s="31"/>
      <c r="D80" s="31"/>
      <c r="E80" s="31"/>
      <c r="F80" s="31"/>
      <c r="G80" s="31"/>
    </row>
    <row r="81" ht="15.75" customHeight="1">
      <c r="A81" s="31"/>
      <c r="B81" s="31"/>
      <c r="C81" s="31"/>
      <c r="D81" s="31"/>
      <c r="E81" s="31"/>
      <c r="F81" s="31"/>
      <c r="G81" s="31"/>
    </row>
    <row r="82" ht="15.75" customHeight="1">
      <c r="A82" s="31"/>
      <c r="B82" s="31"/>
      <c r="C82" s="31"/>
      <c r="D82" s="31"/>
      <c r="E82" s="31"/>
      <c r="F82" s="31"/>
      <c r="G82" s="31"/>
    </row>
    <row r="83" ht="15.75" customHeight="1">
      <c r="A83" s="31"/>
      <c r="B83" s="31"/>
      <c r="C83" s="31"/>
      <c r="D83" s="31"/>
      <c r="E83" s="31"/>
      <c r="F83" s="31"/>
      <c r="G83" s="31"/>
    </row>
    <row r="84" ht="15.75" customHeight="1">
      <c r="A84" s="31"/>
      <c r="B84" s="31"/>
      <c r="C84" s="31"/>
      <c r="D84" s="31"/>
      <c r="E84" s="31"/>
      <c r="F84" s="31"/>
      <c r="G84" s="31"/>
    </row>
    <row r="85" ht="15.75" customHeight="1">
      <c r="A85" s="31"/>
      <c r="B85" s="31"/>
      <c r="C85" s="31"/>
      <c r="D85" s="31"/>
      <c r="E85" s="31"/>
      <c r="F85" s="31"/>
      <c r="G85" s="31"/>
    </row>
    <row r="86" ht="15.75" customHeight="1">
      <c r="A86" s="31"/>
      <c r="B86" s="31"/>
      <c r="C86" s="31"/>
      <c r="D86" s="31"/>
      <c r="E86" s="31"/>
      <c r="F86" s="31"/>
      <c r="G86" s="31"/>
    </row>
    <row r="87" ht="15.75" customHeight="1">
      <c r="A87" s="31"/>
      <c r="B87" s="31"/>
      <c r="C87" s="31"/>
      <c r="D87" s="31"/>
      <c r="E87" s="31"/>
      <c r="F87" s="31"/>
      <c r="G87" s="31"/>
    </row>
    <row r="88" ht="15.75" customHeight="1">
      <c r="A88" s="31"/>
      <c r="B88" s="31"/>
      <c r="C88" s="31"/>
      <c r="D88" s="31"/>
      <c r="E88" s="31"/>
      <c r="F88" s="31"/>
      <c r="G88" s="31"/>
    </row>
    <row r="89" ht="15.75" customHeight="1">
      <c r="A89" s="31"/>
      <c r="B89" s="31"/>
      <c r="C89" s="31"/>
      <c r="D89" s="31"/>
      <c r="E89" s="31"/>
      <c r="F89" s="31"/>
      <c r="G89" s="31"/>
    </row>
    <row r="90" ht="15.75" customHeight="1">
      <c r="A90" s="31"/>
      <c r="B90" s="31"/>
      <c r="C90" s="31"/>
      <c r="D90" s="31"/>
      <c r="E90" s="31"/>
      <c r="F90" s="31"/>
      <c r="G90" s="31"/>
    </row>
    <row r="91" ht="15.75" customHeight="1">
      <c r="A91" s="31"/>
      <c r="B91" s="31"/>
      <c r="C91" s="31"/>
      <c r="D91" s="31"/>
      <c r="E91" s="31"/>
      <c r="F91" s="31"/>
      <c r="G91" s="31"/>
    </row>
    <row r="92" ht="15.75" customHeight="1">
      <c r="A92" s="31"/>
      <c r="B92" s="31"/>
      <c r="C92" s="31"/>
      <c r="D92" s="31"/>
      <c r="E92" s="31"/>
      <c r="F92" s="31"/>
      <c r="G92" s="31"/>
    </row>
    <row r="93" ht="15.75" customHeight="1">
      <c r="A93" s="31"/>
      <c r="B93" s="31"/>
      <c r="C93" s="31"/>
      <c r="D93" s="31"/>
      <c r="E93" s="31"/>
      <c r="F93" s="31"/>
      <c r="G93" s="31"/>
    </row>
    <row r="94" ht="15.75" customHeight="1">
      <c r="A94" s="31"/>
      <c r="B94" s="31"/>
      <c r="C94" s="31"/>
      <c r="D94" s="31"/>
      <c r="E94" s="31"/>
      <c r="F94" s="31"/>
      <c r="G94" s="31"/>
    </row>
    <row r="95" ht="15.75" customHeight="1">
      <c r="A95" s="31"/>
      <c r="B95" s="31"/>
      <c r="C95" s="31"/>
      <c r="D95" s="31"/>
      <c r="E95" s="31"/>
      <c r="F95" s="31"/>
      <c r="G95" s="31"/>
    </row>
    <row r="96" ht="15.75" customHeight="1">
      <c r="A96" s="31"/>
      <c r="B96" s="31"/>
      <c r="C96" s="31"/>
      <c r="D96" s="31"/>
      <c r="E96" s="31"/>
      <c r="F96" s="31"/>
      <c r="G96" s="31"/>
    </row>
    <row r="97" ht="15.75" customHeight="1">
      <c r="A97" s="31"/>
      <c r="B97" s="31"/>
      <c r="C97" s="31"/>
      <c r="D97" s="31"/>
      <c r="E97" s="31"/>
      <c r="F97" s="31"/>
      <c r="G97" s="31"/>
    </row>
    <row r="98" ht="15.75" customHeight="1">
      <c r="A98" s="31"/>
      <c r="B98" s="31"/>
      <c r="C98" s="31"/>
      <c r="D98" s="31"/>
      <c r="E98" s="31"/>
      <c r="F98" s="31"/>
      <c r="G98" s="31"/>
    </row>
    <row r="99" ht="15.75" customHeight="1">
      <c r="A99" s="31"/>
      <c r="B99" s="31"/>
      <c r="C99" s="31"/>
      <c r="D99" s="31"/>
      <c r="E99" s="31"/>
      <c r="F99" s="31"/>
      <c r="G99" s="31"/>
    </row>
    <row r="100" ht="15.75" customHeight="1">
      <c r="A100" s="31"/>
      <c r="B100" s="31"/>
      <c r="C100" s="31"/>
      <c r="D100" s="31"/>
      <c r="E100" s="31"/>
      <c r="F100" s="31"/>
      <c r="G100" s="31"/>
    </row>
    <row r="101" ht="15.75" customHeight="1">
      <c r="A101" s="31"/>
      <c r="B101" s="31"/>
      <c r="C101" s="31"/>
      <c r="D101" s="31"/>
      <c r="E101" s="31"/>
      <c r="F101" s="31"/>
      <c r="G101" s="31"/>
    </row>
    <row r="102" ht="15.75" customHeight="1">
      <c r="A102" s="31"/>
      <c r="B102" s="31"/>
      <c r="C102" s="31"/>
      <c r="D102" s="31"/>
      <c r="E102" s="31"/>
      <c r="F102" s="31"/>
      <c r="G102" s="31"/>
    </row>
    <row r="103" ht="15.75" customHeight="1">
      <c r="A103" s="31"/>
      <c r="B103" s="31"/>
      <c r="C103" s="31"/>
      <c r="D103" s="31"/>
      <c r="E103" s="31"/>
      <c r="F103" s="31"/>
      <c r="G103" s="31"/>
    </row>
    <row r="104" ht="15.75" customHeight="1">
      <c r="A104" s="31"/>
      <c r="B104" s="31"/>
      <c r="C104" s="31"/>
      <c r="D104" s="31"/>
      <c r="E104" s="31"/>
      <c r="F104" s="31"/>
      <c r="G104" s="31"/>
    </row>
    <row r="105" ht="15.75" customHeight="1">
      <c r="A105" s="31"/>
      <c r="B105" s="31"/>
      <c r="C105" s="31"/>
      <c r="D105" s="31"/>
      <c r="E105" s="31"/>
      <c r="F105" s="31"/>
      <c r="G105" s="31"/>
    </row>
    <row r="106" ht="15.75" customHeight="1">
      <c r="A106" s="31"/>
      <c r="B106" s="31"/>
      <c r="C106" s="31"/>
      <c r="D106" s="31"/>
      <c r="E106" s="31"/>
      <c r="F106" s="31"/>
      <c r="G106" s="31"/>
    </row>
    <row r="107" ht="15.75" customHeight="1">
      <c r="A107" s="31"/>
      <c r="B107" s="31"/>
      <c r="C107" s="31"/>
      <c r="D107" s="31"/>
      <c r="E107" s="31"/>
      <c r="F107" s="31"/>
      <c r="G107" s="31"/>
    </row>
    <row r="108" ht="15.75" customHeight="1">
      <c r="A108" s="31"/>
      <c r="B108" s="31"/>
      <c r="C108" s="31"/>
      <c r="D108" s="31"/>
      <c r="E108" s="31"/>
      <c r="F108" s="31"/>
      <c r="G108" s="31"/>
    </row>
    <row r="109" ht="15.75" customHeight="1">
      <c r="A109" s="31"/>
      <c r="B109" s="31"/>
      <c r="C109" s="31"/>
      <c r="D109" s="31"/>
      <c r="E109" s="31"/>
      <c r="F109" s="31"/>
      <c r="G109" s="31"/>
    </row>
    <row r="110" ht="15.75" customHeight="1">
      <c r="A110" s="31"/>
      <c r="B110" s="31"/>
      <c r="C110" s="31"/>
      <c r="D110" s="31"/>
      <c r="E110" s="31"/>
      <c r="F110" s="31"/>
      <c r="G110" s="31"/>
    </row>
    <row r="111" ht="15.75" customHeight="1">
      <c r="A111" s="31"/>
      <c r="B111" s="31"/>
      <c r="C111" s="31"/>
      <c r="D111" s="31"/>
      <c r="E111" s="31"/>
      <c r="F111" s="31"/>
      <c r="G111" s="31"/>
    </row>
    <row r="112" ht="15.75" customHeight="1">
      <c r="A112" s="31"/>
      <c r="B112" s="31"/>
      <c r="C112" s="31"/>
      <c r="D112" s="31"/>
      <c r="E112" s="31"/>
      <c r="F112" s="31"/>
      <c r="G112" s="31"/>
    </row>
    <row r="113" ht="15.75" customHeight="1">
      <c r="A113" s="31"/>
      <c r="B113" s="31"/>
      <c r="C113" s="31"/>
      <c r="D113" s="31"/>
      <c r="E113" s="31"/>
      <c r="F113" s="31"/>
      <c r="G113" s="31"/>
    </row>
    <row r="114" ht="15.75" customHeight="1">
      <c r="A114" s="31"/>
      <c r="B114" s="31"/>
      <c r="C114" s="31"/>
      <c r="D114" s="31"/>
      <c r="E114" s="31"/>
      <c r="F114" s="31"/>
      <c r="G114" s="31"/>
    </row>
    <row r="115" ht="15.75" customHeight="1">
      <c r="A115" s="31"/>
      <c r="B115" s="31"/>
      <c r="C115" s="31"/>
      <c r="D115" s="31"/>
      <c r="E115" s="31"/>
      <c r="F115" s="31"/>
      <c r="G115" s="31"/>
    </row>
    <row r="116" ht="15.75" customHeight="1">
      <c r="A116" s="31"/>
      <c r="B116" s="31"/>
      <c r="C116" s="31"/>
      <c r="D116" s="31"/>
      <c r="E116" s="31"/>
      <c r="F116" s="31"/>
      <c r="G116" s="31"/>
    </row>
    <row r="117" ht="15.75" customHeight="1">
      <c r="A117" s="31"/>
      <c r="B117" s="31"/>
      <c r="C117" s="31"/>
      <c r="D117" s="31"/>
      <c r="E117" s="31"/>
      <c r="F117" s="31"/>
      <c r="G117" s="31"/>
    </row>
    <row r="118" ht="15.75" customHeight="1">
      <c r="A118" s="31"/>
      <c r="B118" s="31"/>
      <c r="C118" s="31"/>
      <c r="D118" s="31"/>
      <c r="E118" s="31"/>
      <c r="F118" s="31"/>
      <c r="G118" s="31"/>
    </row>
    <row r="119" ht="15.75" customHeight="1">
      <c r="A119" s="31"/>
      <c r="B119" s="31"/>
      <c r="C119" s="31"/>
      <c r="D119" s="31"/>
      <c r="E119" s="31"/>
      <c r="F119" s="31"/>
      <c r="G119" s="31"/>
    </row>
    <row r="120" ht="15.75" customHeight="1">
      <c r="A120" s="31"/>
      <c r="B120" s="31"/>
      <c r="C120" s="31"/>
      <c r="D120" s="31"/>
      <c r="E120" s="31"/>
      <c r="F120" s="31"/>
      <c r="G120" s="31"/>
    </row>
    <row r="121" ht="15.75" customHeight="1">
      <c r="A121" s="31"/>
      <c r="B121" s="31"/>
      <c r="C121" s="31"/>
      <c r="D121" s="31"/>
      <c r="E121" s="31"/>
      <c r="F121" s="31"/>
      <c r="G121" s="31"/>
    </row>
    <row r="122" ht="15.75" customHeight="1">
      <c r="A122" s="31"/>
      <c r="B122" s="31"/>
      <c r="C122" s="31"/>
      <c r="D122" s="31"/>
      <c r="E122" s="31"/>
      <c r="F122" s="31"/>
      <c r="G122" s="31"/>
    </row>
    <row r="123" ht="15.75" customHeight="1">
      <c r="A123" s="31"/>
      <c r="B123" s="31"/>
      <c r="C123" s="31"/>
      <c r="D123" s="31"/>
      <c r="E123" s="31"/>
      <c r="F123" s="31"/>
      <c r="G123" s="31"/>
    </row>
    <row r="124" ht="15.75" customHeight="1">
      <c r="A124" s="31"/>
      <c r="B124" s="31"/>
      <c r="C124" s="31"/>
      <c r="D124" s="31"/>
      <c r="E124" s="31"/>
      <c r="F124" s="31"/>
      <c r="G124" s="31"/>
    </row>
    <row r="125" ht="15.75" customHeight="1">
      <c r="A125" s="31"/>
      <c r="B125" s="31"/>
      <c r="C125" s="31"/>
      <c r="D125" s="31"/>
      <c r="E125" s="31"/>
      <c r="F125" s="31"/>
      <c r="G125" s="31"/>
    </row>
    <row r="126" ht="15.75" customHeight="1">
      <c r="A126" s="31"/>
      <c r="B126" s="31"/>
      <c r="C126" s="31"/>
      <c r="D126" s="31"/>
      <c r="E126" s="31"/>
      <c r="F126" s="31"/>
      <c r="G126" s="31"/>
    </row>
    <row r="127" ht="15.75" customHeight="1">
      <c r="A127" s="31"/>
      <c r="B127" s="31"/>
      <c r="C127" s="31"/>
      <c r="D127" s="31"/>
      <c r="E127" s="31"/>
      <c r="F127" s="31"/>
      <c r="G127" s="31"/>
    </row>
    <row r="128" ht="15.75" customHeight="1">
      <c r="A128" s="31"/>
      <c r="B128" s="31"/>
      <c r="C128" s="31"/>
      <c r="D128" s="31"/>
      <c r="E128" s="31"/>
      <c r="F128" s="31"/>
      <c r="G128" s="31"/>
    </row>
    <row r="129" ht="15.75" customHeight="1">
      <c r="A129" s="31"/>
      <c r="B129" s="31"/>
      <c r="C129" s="31"/>
      <c r="D129" s="31"/>
      <c r="E129" s="31"/>
      <c r="F129" s="31"/>
      <c r="G129" s="31"/>
    </row>
    <row r="130" ht="15.75" customHeight="1">
      <c r="A130" s="31"/>
      <c r="B130" s="31"/>
      <c r="C130" s="31"/>
      <c r="D130" s="31"/>
      <c r="E130" s="31"/>
      <c r="F130" s="31"/>
      <c r="G130" s="31"/>
    </row>
    <row r="131" ht="15.75" customHeight="1">
      <c r="A131" s="31"/>
      <c r="B131" s="31"/>
      <c r="C131" s="31"/>
      <c r="D131" s="31"/>
      <c r="E131" s="31"/>
      <c r="F131" s="31"/>
      <c r="G131" s="31"/>
    </row>
    <row r="132" ht="15.75" customHeight="1">
      <c r="A132" s="31"/>
      <c r="B132" s="31"/>
      <c r="C132" s="31"/>
      <c r="D132" s="31"/>
      <c r="E132" s="31"/>
      <c r="F132" s="31"/>
      <c r="G132" s="31"/>
    </row>
    <row r="133" ht="15.75" customHeight="1">
      <c r="A133" s="31"/>
      <c r="B133" s="31"/>
      <c r="C133" s="31"/>
      <c r="D133" s="31"/>
      <c r="E133" s="31"/>
      <c r="F133" s="31"/>
      <c r="G133" s="31"/>
    </row>
    <row r="134" ht="15.75" customHeight="1">
      <c r="A134" s="31"/>
      <c r="B134" s="31"/>
      <c r="C134" s="31"/>
      <c r="D134" s="31"/>
      <c r="E134" s="31"/>
      <c r="F134" s="31"/>
      <c r="G134" s="31"/>
    </row>
    <row r="135" ht="15.75" customHeight="1">
      <c r="A135" s="31"/>
      <c r="B135" s="31"/>
      <c r="C135" s="31"/>
      <c r="D135" s="31"/>
      <c r="E135" s="31"/>
      <c r="F135" s="31"/>
      <c r="G135" s="31"/>
    </row>
    <row r="136" ht="15.75" customHeight="1">
      <c r="A136" s="31"/>
      <c r="B136" s="31"/>
      <c r="C136" s="31"/>
      <c r="D136" s="31"/>
      <c r="E136" s="31"/>
      <c r="F136" s="31"/>
      <c r="G136" s="31"/>
    </row>
    <row r="137" ht="15.75" customHeight="1">
      <c r="A137" s="31"/>
      <c r="B137" s="31"/>
      <c r="C137" s="31"/>
      <c r="D137" s="31"/>
      <c r="E137" s="31"/>
      <c r="F137" s="31"/>
      <c r="G137" s="31"/>
    </row>
    <row r="138" ht="15.75" customHeight="1">
      <c r="A138" s="31"/>
      <c r="B138" s="31"/>
      <c r="C138" s="31"/>
      <c r="D138" s="31"/>
      <c r="E138" s="31"/>
      <c r="F138" s="31"/>
      <c r="G138" s="31"/>
    </row>
    <row r="139" ht="15.75" customHeight="1">
      <c r="A139" s="31"/>
      <c r="B139" s="31"/>
      <c r="C139" s="31"/>
      <c r="D139" s="31"/>
      <c r="E139" s="31"/>
      <c r="F139" s="31"/>
      <c r="G139" s="31"/>
    </row>
    <row r="140" ht="15.75" customHeight="1">
      <c r="A140" s="31"/>
      <c r="B140" s="31"/>
      <c r="C140" s="31"/>
      <c r="D140" s="31"/>
      <c r="E140" s="31"/>
      <c r="F140" s="31"/>
      <c r="G140" s="31"/>
    </row>
    <row r="141" ht="15.75" customHeight="1">
      <c r="A141" s="31"/>
      <c r="B141" s="31"/>
      <c r="C141" s="31"/>
      <c r="D141" s="31"/>
      <c r="E141" s="31"/>
      <c r="F141" s="31"/>
      <c r="G141" s="31"/>
    </row>
    <row r="142" ht="15.75" customHeight="1">
      <c r="A142" s="31"/>
      <c r="B142" s="31"/>
      <c r="C142" s="31"/>
      <c r="D142" s="31"/>
      <c r="E142" s="31"/>
      <c r="F142" s="31"/>
      <c r="G142" s="31"/>
    </row>
    <row r="143" ht="15.75" customHeight="1">
      <c r="A143" s="31"/>
      <c r="B143" s="31"/>
      <c r="C143" s="31"/>
      <c r="D143" s="31"/>
      <c r="E143" s="31"/>
      <c r="F143" s="31"/>
      <c r="G143" s="31"/>
    </row>
    <row r="144" ht="15.75" customHeight="1">
      <c r="A144" s="31"/>
      <c r="B144" s="31"/>
      <c r="C144" s="31"/>
      <c r="D144" s="31"/>
      <c r="E144" s="31"/>
      <c r="F144" s="31"/>
      <c r="G144" s="31"/>
    </row>
    <row r="145" ht="15.75" customHeight="1">
      <c r="A145" s="31"/>
      <c r="B145" s="31"/>
      <c r="C145" s="31"/>
      <c r="D145" s="31"/>
      <c r="E145" s="31"/>
      <c r="F145" s="31"/>
      <c r="G145" s="31"/>
    </row>
    <row r="146" ht="15.75" customHeight="1">
      <c r="A146" s="31"/>
      <c r="B146" s="31"/>
      <c r="C146" s="31"/>
      <c r="D146" s="31"/>
      <c r="E146" s="31"/>
      <c r="F146" s="31"/>
      <c r="G146" s="31"/>
    </row>
    <row r="147" ht="15.75" customHeight="1">
      <c r="A147" s="31"/>
      <c r="B147" s="31"/>
      <c r="C147" s="31"/>
      <c r="D147" s="31"/>
      <c r="E147" s="31"/>
      <c r="F147" s="31"/>
      <c r="G147" s="31"/>
    </row>
    <row r="148" ht="15.75" customHeight="1">
      <c r="A148" s="31"/>
      <c r="B148" s="31"/>
      <c r="C148" s="31"/>
      <c r="D148" s="31"/>
      <c r="E148" s="31"/>
      <c r="F148" s="31"/>
      <c r="G148" s="31"/>
    </row>
    <row r="149" ht="15.75" customHeight="1">
      <c r="A149" s="31"/>
      <c r="B149" s="31"/>
      <c r="C149" s="31"/>
      <c r="D149" s="31"/>
      <c r="E149" s="31"/>
      <c r="F149" s="31"/>
      <c r="G149" s="31"/>
    </row>
    <row r="150" ht="15.75" customHeight="1">
      <c r="A150" s="31"/>
      <c r="B150" s="31"/>
      <c r="C150" s="31"/>
      <c r="D150" s="31"/>
      <c r="E150" s="31"/>
      <c r="F150" s="31"/>
      <c r="G150" s="31"/>
    </row>
    <row r="151" ht="15.75" customHeight="1">
      <c r="A151" s="31"/>
      <c r="B151" s="31"/>
      <c r="C151" s="31"/>
      <c r="D151" s="31"/>
      <c r="E151" s="31"/>
      <c r="F151" s="31"/>
      <c r="G151" s="31"/>
    </row>
    <row r="152" ht="15.75" customHeight="1">
      <c r="A152" s="31"/>
      <c r="B152" s="31"/>
      <c r="C152" s="31"/>
      <c r="D152" s="31"/>
      <c r="E152" s="31"/>
      <c r="F152" s="31"/>
      <c r="G152" s="31"/>
    </row>
    <row r="153" ht="15.75" customHeight="1">
      <c r="A153" s="31"/>
      <c r="B153" s="31"/>
      <c r="C153" s="31"/>
      <c r="D153" s="31"/>
      <c r="E153" s="31"/>
      <c r="F153" s="31"/>
      <c r="G153" s="31"/>
    </row>
    <row r="154" ht="15.75" customHeight="1">
      <c r="A154" s="31"/>
      <c r="B154" s="31"/>
      <c r="C154" s="31"/>
      <c r="D154" s="31"/>
      <c r="E154" s="31"/>
      <c r="F154" s="31"/>
      <c r="G154" s="31"/>
    </row>
    <row r="155" ht="15.75" customHeight="1">
      <c r="A155" s="31"/>
      <c r="B155" s="31"/>
      <c r="C155" s="31"/>
      <c r="D155" s="31"/>
      <c r="E155" s="31"/>
      <c r="F155" s="31"/>
      <c r="G155" s="31"/>
    </row>
    <row r="156" ht="15.75" customHeight="1">
      <c r="A156" s="31"/>
      <c r="B156" s="31"/>
      <c r="C156" s="31"/>
      <c r="D156" s="31"/>
      <c r="E156" s="31"/>
      <c r="F156" s="31"/>
      <c r="G156" s="31"/>
    </row>
    <row r="157" ht="15.75" customHeight="1">
      <c r="A157" s="31"/>
      <c r="B157" s="31"/>
      <c r="C157" s="31"/>
      <c r="D157" s="31"/>
      <c r="E157" s="31"/>
      <c r="F157" s="31"/>
      <c r="G157" s="31"/>
    </row>
    <row r="158" ht="15.75" customHeight="1">
      <c r="A158" s="31"/>
      <c r="B158" s="31"/>
      <c r="C158" s="31"/>
      <c r="D158" s="31"/>
      <c r="E158" s="31"/>
      <c r="F158" s="31"/>
      <c r="G158" s="31"/>
    </row>
    <row r="159" ht="15.75" customHeight="1">
      <c r="A159" s="31"/>
      <c r="B159" s="31"/>
      <c r="C159" s="31"/>
      <c r="D159" s="31"/>
      <c r="E159" s="31"/>
      <c r="F159" s="31"/>
      <c r="G159" s="31"/>
    </row>
    <row r="160" ht="15.75" customHeight="1">
      <c r="A160" s="31"/>
      <c r="B160" s="31"/>
      <c r="C160" s="31"/>
      <c r="D160" s="31"/>
      <c r="E160" s="31"/>
      <c r="F160" s="31"/>
      <c r="G160" s="31"/>
    </row>
    <row r="161" ht="15.75" customHeight="1">
      <c r="A161" s="31"/>
      <c r="B161" s="31"/>
      <c r="C161" s="31"/>
      <c r="D161" s="31"/>
      <c r="E161" s="31"/>
      <c r="F161" s="31"/>
      <c r="G161" s="31"/>
    </row>
    <row r="162" ht="15.75" customHeight="1">
      <c r="A162" s="31"/>
      <c r="B162" s="31"/>
      <c r="C162" s="31"/>
      <c r="D162" s="31"/>
      <c r="E162" s="31"/>
      <c r="F162" s="31"/>
      <c r="G162" s="31"/>
    </row>
    <row r="163" ht="15.75" customHeight="1">
      <c r="A163" s="31"/>
      <c r="B163" s="31"/>
      <c r="C163" s="31"/>
      <c r="D163" s="31"/>
      <c r="E163" s="31"/>
      <c r="F163" s="31"/>
      <c r="G163" s="31"/>
    </row>
    <row r="164" ht="15.75" customHeight="1">
      <c r="A164" s="31"/>
      <c r="B164" s="31"/>
      <c r="C164" s="31"/>
      <c r="D164" s="31"/>
      <c r="E164" s="31"/>
      <c r="F164" s="31"/>
      <c r="G164" s="31"/>
    </row>
    <row r="165" ht="15.75" customHeight="1">
      <c r="A165" s="31"/>
      <c r="B165" s="31"/>
      <c r="C165" s="31"/>
      <c r="D165" s="31"/>
      <c r="E165" s="31"/>
      <c r="F165" s="31"/>
      <c r="G165" s="31"/>
    </row>
    <row r="166" ht="15.75" customHeight="1">
      <c r="A166" s="31"/>
      <c r="B166" s="31"/>
      <c r="C166" s="31"/>
      <c r="D166" s="31"/>
      <c r="E166" s="31"/>
      <c r="F166" s="31"/>
      <c r="G166" s="31"/>
    </row>
    <row r="167" ht="15.75" customHeight="1">
      <c r="A167" s="31"/>
      <c r="B167" s="31"/>
      <c r="C167" s="31"/>
      <c r="D167" s="31"/>
      <c r="E167" s="31"/>
      <c r="F167" s="31"/>
      <c r="G167" s="31"/>
    </row>
    <row r="168" ht="15.75" customHeight="1">
      <c r="A168" s="31"/>
      <c r="B168" s="31"/>
      <c r="C168" s="31"/>
      <c r="D168" s="31"/>
      <c r="E168" s="31"/>
      <c r="F168" s="31"/>
      <c r="G168" s="31"/>
    </row>
    <row r="169" ht="15.75" customHeight="1">
      <c r="A169" s="31"/>
      <c r="B169" s="31"/>
      <c r="C169" s="31"/>
      <c r="D169" s="31"/>
      <c r="E169" s="31"/>
      <c r="F169" s="31"/>
      <c r="G169" s="31"/>
    </row>
    <row r="170" ht="15.75" customHeight="1">
      <c r="A170" s="31"/>
      <c r="B170" s="31"/>
      <c r="C170" s="31"/>
      <c r="D170" s="31"/>
      <c r="E170" s="31"/>
      <c r="F170" s="31"/>
      <c r="G170" s="31"/>
    </row>
    <row r="171" ht="15.75" customHeight="1">
      <c r="A171" s="31"/>
      <c r="B171" s="31"/>
      <c r="C171" s="31"/>
      <c r="D171" s="31"/>
      <c r="E171" s="31"/>
      <c r="F171" s="31"/>
      <c r="G171" s="31"/>
    </row>
    <row r="172" ht="15.75" customHeight="1">
      <c r="A172" s="31"/>
      <c r="B172" s="31"/>
      <c r="C172" s="31"/>
      <c r="D172" s="31"/>
      <c r="E172" s="31"/>
      <c r="F172" s="31"/>
      <c r="G172" s="31"/>
    </row>
    <row r="173" ht="15.75" customHeight="1">
      <c r="A173" s="31"/>
      <c r="B173" s="31"/>
      <c r="C173" s="31"/>
      <c r="D173" s="31"/>
      <c r="E173" s="31"/>
      <c r="F173" s="31"/>
      <c r="G173" s="31"/>
    </row>
    <row r="174" ht="15.75" customHeight="1">
      <c r="A174" s="31"/>
      <c r="B174" s="31"/>
      <c r="C174" s="31"/>
      <c r="D174" s="31"/>
      <c r="E174" s="31"/>
      <c r="F174" s="31"/>
      <c r="G174" s="31"/>
    </row>
    <row r="175" ht="15.75" customHeight="1">
      <c r="A175" s="31"/>
      <c r="B175" s="31"/>
      <c r="C175" s="31"/>
      <c r="D175" s="31"/>
      <c r="E175" s="31"/>
      <c r="F175" s="31"/>
      <c r="G175" s="31"/>
    </row>
    <row r="176" ht="15.75" customHeight="1">
      <c r="A176" s="31"/>
      <c r="B176" s="31"/>
      <c r="C176" s="31"/>
      <c r="D176" s="31"/>
      <c r="E176" s="31"/>
      <c r="F176" s="31"/>
      <c r="G176" s="31"/>
    </row>
    <row r="177" ht="15.75" customHeight="1">
      <c r="A177" s="31"/>
      <c r="B177" s="31"/>
      <c r="C177" s="31"/>
      <c r="D177" s="31"/>
      <c r="E177" s="31"/>
      <c r="F177" s="31"/>
      <c r="G177" s="31"/>
    </row>
    <row r="178" ht="15.75" customHeight="1">
      <c r="A178" s="31"/>
      <c r="B178" s="31"/>
      <c r="C178" s="31"/>
      <c r="D178" s="31"/>
      <c r="E178" s="31"/>
      <c r="F178" s="31"/>
      <c r="G178" s="31"/>
    </row>
    <row r="179" ht="15.75" customHeight="1">
      <c r="A179" s="31"/>
      <c r="B179" s="31"/>
      <c r="C179" s="31"/>
      <c r="D179" s="31"/>
      <c r="E179" s="31"/>
      <c r="F179" s="31"/>
      <c r="G179" s="31"/>
    </row>
    <row r="180" ht="15.75" customHeight="1">
      <c r="A180" s="31"/>
      <c r="B180" s="31"/>
      <c r="C180" s="31"/>
      <c r="D180" s="31"/>
      <c r="E180" s="31"/>
      <c r="F180" s="31"/>
      <c r="G180" s="31"/>
    </row>
    <row r="181" ht="15.75" customHeight="1">
      <c r="A181" s="31"/>
      <c r="B181" s="31"/>
      <c r="C181" s="31"/>
      <c r="D181" s="31"/>
      <c r="E181" s="31"/>
      <c r="F181" s="31"/>
      <c r="G181" s="31"/>
    </row>
    <row r="182" ht="15.75" customHeight="1">
      <c r="A182" s="31"/>
      <c r="B182" s="31"/>
      <c r="C182" s="31"/>
      <c r="D182" s="31"/>
      <c r="E182" s="31"/>
      <c r="F182" s="31"/>
      <c r="G182" s="31"/>
    </row>
    <row r="183" ht="15.75" customHeight="1">
      <c r="A183" s="31"/>
      <c r="B183" s="31"/>
      <c r="C183" s="31"/>
      <c r="D183" s="31"/>
      <c r="E183" s="31"/>
      <c r="F183" s="31"/>
      <c r="G183" s="31"/>
    </row>
    <row r="184" ht="15.75" customHeight="1">
      <c r="A184" s="31"/>
      <c r="B184" s="31"/>
      <c r="C184" s="31"/>
      <c r="D184" s="31"/>
      <c r="E184" s="31"/>
      <c r="F184" s="31"/>
      <c r="G184" s="31"/>
    </row>
    <row r="185" ht="15.75" customHeight="1">
      <c r="A185" s="31"/>
      <c r="B185" s="31"/>
      <c r="C185" s="31"/>
      <c r="D185" s="31"/>
      <c r="E185" s="31"/>
      <c r="F185" s="31"/>
      <c r="G185" s="31"/>
    </row>
    <row r="186" ht="15.75" customHeight="1">
      <c r="A186" s="31"/>
      <c r="B186" s="31"/>
      <c r="C186" s="31"/>
      <c r="D186" s="31"/>
      <c r="E186" s="31"/>
      <c r="F186" s="31"/>
      <c r="G186" s="31"/>
    </row>
    <row r="187" ht="15.75" customHeight="1">
      <c r="A187" s="31"/>
      <c r="B187" s="31"/>
      <c r="C187" s="31"/>
      <c r="D187" s="31"/>
      <c r="E187" s="31"/>
      <c r="F187" s="31"/>
      <c r="G187" s="31"/>
    </row>
    <row r="188" ht="15.75" customHeight="1">
      <c r="A188" s="31"/>
      <c r="B188" s="31"/>
      <c r="C188" s="31"/>
      <c r="D188" s="31"/>
      <c r="E188" s="31"/>
      <c r="F188" s="31"/>
      <c r="G188" s="31"/>
    </row>
    <row r="189" ht="15.75" customHeight="1">
      <c r="A189" s="31"/>
      <c r="B189" s="31"/>
      <c r="C189" s="31"/>
      <c r="D189" s="31"/>
      <c r="E189" s="31"/>
      <c r="F189" s="31"/>
      <c r="G189" s="31"/>
    </row>
    <row r="190" ht="15.75" customHeight="1">
      <c r="A190" s="31"/>
      <c r="B190" s="31"/>
      <c r="C190" s="31"/>
      <c r="D190" s="31"/>
      <c r="E190" s="31"/>
      <c r="F190" s="31"/>
      <c r="G190" s="31"/>
    </row>
    <row r="191" ht="15.75" customHeight="1">
      <c r="A191" s="31"/>
      <c r="B191" s="31"/>
      <c r="C191" s="31"/>
      <c r="D191" s="31"/>
      <c r="E191" s="31"/>
      <c r="F191" s="31"/>
      <c r="G191" s="31"/>
    </row>
    <row r="192" ht="15.75" customHeight="1">
      <c r="A192" s="31"/>
      <c r="B192" s="31"/>
      <c r="C192" s="31"/>
      <c r="D192" s="31"/>
      <c r="E192" s="31"/>
      <c r="F192" s="31"/>
      <c r="G192" s="31"/>
    </row>
    <row r="193" ht="15.75" customHeight="1">
      <c r="A193" s="31"/>
      <c r="B193" s="31"/>
      <c r="C193" s="31"/>
      <c r="D193" s="31"/>
      <c r="E193" s="31"/>
      <c r="F193" s="31"/>
      <c r="G193" s="31"/>
    </row>
    <row r="194" ht="15.75" customHeight="1">
      <c r="A194" s="31"/>
      <c r="B194" s="31"/>
      <c r="C194" s="31"/>
      <c r="D194" s="31"/>
      <c r="E194" s="31"/>
      <c r="F194" s="31"/>
      <c r="G194" s="31"/>
    </row>
    <row r="195" ht="15.75" customHeight="1">
      <c r="A195" s="31"/>
      <c r="B195" s="31"/>
      <c r="C195" s="31"/>
      <c r="D195" s="31"/>
      <c r="E195" s="31"/>
      <c r="F195" s="31"/>
      <c r="G195" s="31"/>
    </row>
    <row r="196" ht="15.75" customHeight="1">
      <c r="A196" s="31"/>
      <c r="B196" s="31"/>
      <c r="C196" s="31"/>
      <c r="D196" s="31"/>
      <c r="E196" s="31"/>
      <c r="F196" s="31"/>
      <c r="G196" s="31"/>
    </row>
    <row r="197" ht="15.75" customHeight="1">
      <c r="A197" s="31"/>
      <c r="B197" s="31"/>
      <c r="C197" s="31"/>
      <c r="D197" s="31"/>
      <c r="E197" s="31"/>
      <c r="F197" s="31"/>
      <c r="G197" s="31"/>
    </row>
    <row r="198" ht="15.75" customHeight="1">
      <c r="A198" s="31"/>
      <c r="B198" s="31"/>
      <c r="C198" s="31"/>
      <c r="D198" s="31"/>
      <c r="E198" s="31"/>
      <c r="F198" s="31"/>
      <c r="G198" s="31"/>
    </row>
    <row r="199" ht="15.75" customHeight="1">
      <c r="A199" s="31"/>
      <c r="B199" s="31"/>
      <c r="C199" s="31"/>
      <c r="D199" s="31"/>
      <c r="E199" s="31"/>
      <c r="F199" s="31"/>
      <c r="G199" s="31"/>
    </row>
    <row r="200" ht="15.75" customHeight="1">
      <c r="A200" s="31"/>
      <c r="B200" s="31"/>
      <c r="C200" s="31"/>
      <c r="D200" s="31"/>
      <c r="E200" s="31"/>
      <c r="F200" s="31"/>
      <c r="G200" s="31"/>
    </row>
    <row r="201" ht="15.75" customHeight="1">
      <c r="A201" s="31"/>
      <c r="B201" s="31"/>
      <c r="C201" s="31"/>
      <c r="D201" s="31"/>
      <c r="E201" s="31"/>
      <c r="F201" s="31"/>
      <c r="G201" s="31"/>
    </row>
    <row r="202" ht="15.75" customHeight="1">
      <c r="A202" s="31"/>
      <c r="B202" s="31"/>
      <c r="C202" s="31"/>
      <c r="D202" s="31"/>
      <c r="E202" s="31"/>
      <c r="F202" s="31"/>
      <c r="G202" s="31"/>
    </row>
    <row r="203" ht="15.75" customHeight="1">
      <c r="A203" s="31"/>
      <c r="B203" s="31"/>
      <c r="C203" s="31"/>
      <c r="D203" s="31"/>
      <c r="E203" s="31"/>
      <c r="F203" s="31"/>
      <c r="G203" s="31"/>
    </row>
    <row r="204" ht="15.75" customHeight="1">
      <c r="A204" s="31"/>
      <c r="B204" s="31"/>
      <c r="C204" s="31"/>
      <c r="D204" s="31"/>
      <c r="E204" s="31"/>
      <c r="F204" s="31"/>
      <c r="G204" s="31"/>
    </row>
    <row r="205" ht="15.75" customHeight="1">
      <c r="A205" s="31"/>
      <c r="B205" s="31"/>
      <c r="C205" s="31"/>
      <c r="D205" s="31"/>
      <c r="E205" s="31"/>
      <c r="F205" s="31"/>
      <c r="G205" s="31"/>
    </row>
    <row r="206" ht="15.75" customHeight="1">
      <c r="A206" s="31"/>
      <c r="B206" s="31"/>
      <c r="C206" s="31"/>
      <c r="D206" s="31"/>
      <c r="E206" s="31"/>
      <c r="F206" s="31"/>
      <c r="G206" s="31"/>
    </row>
    <row r="207" ht="15.75" customHeight="1">
      <c r="A207" s="31"/>
      <c r="B207" s="31"/>
      <c r="C207" s="31"/>
      <c r="D207" s="31"/>
      <c r="E207" s="31"/>
      <c r="F207" s="31"/>
      <c r="G207" s="31"/>
    </row>
    <row r="208" ht="15.75" customHeight="1">
      <c r="A208" s="31"/>
      <c r="B208" s="31"/>
      <c r="C208" s="31"/>
      <c r="D208" s="31"/>
      <c r="E208" s="31"/>
      <c r="F208" s="31"/>
      <c r="G208" s="31"/>
    </row>
    <row r="209" ht="15.75" customHeight="1">
      <c r="A209" s="31"/>
      <c r="B209" s="31"/>
      <c r="C209" s="31"/>
      <c r="D209" s="31"/>
      <c r="E209" s="31"/>
      <c r="F209" s="31"/>
      <c r="G209" s="31"/>
    </row>
    <row r="210" ht="15.75" customHeight="1">
      <c r="A210" s="31"/>
      <c r="B210" s="31"/>
      <c r="C210" s="31"/>
      <c r="D210" s="31"/>
      <c r="E210" s="31"/>
      <c r="F210" s="31"/>
      <c r="G210" s="31"/>
    </row>
    <row r="211" ht="15.75" customHeight="1">
      <c r="A211" s="31"/>
      <c r="B211" s="31"/>
      <c r="C211" s="31"/>
      <c r="D211" s="31"/>
      <c r="E211" s="31"/>
      <c r="F211" s="31"/>
      <c r="G211" s="31"/>
    </row>
    <row r="212" ht="15.75" customHeight="1">
      <c r="A212" s="31"/>
      <c r="B212" s="31"/>
      <c r="C212" s="31"/>
      <c r="D212" s="31"/>
      <c r="E212" s="31"/>
      <c r="F212" s="31"/>
      <c r="G212" s="31"/>
    </row>
    <row r="213" ht="15.75" customHeight="1">
      <c r="A213" s="31"/>
      <c r="B213" s="31"/>
      <c r="C213" s="31"/>
      <c r="D213" s="31"/>
      <c r="E213" s="31"/>
      <c r="F213" s="31"/>
      <c r="G213" s="31"/>
    </row>
    <row r="214" ht="15.75" customHeight="1">
      <c r="A214" s="31"/>
      <c r="B214" s="31"/>
      <c r="C214" s="31"/>
      <c r="D214" s="31"/>
      <c r="E214" s="31"/>
      <c r="F214" s="31"/>
      <c r="G214" s="31"/>
    </row>
    <row r="215" ht="15.75" customHeight="1">
      <c r="A215" s="31"/>
      <c r="B215" s="31"/>
      <c r="C215" s="31"/>
      <c r="D215" s="31"/>
      <c r="E215" s="31"/>
      <c r="F215" s="31"/>
      <c r="G215" s="31"/>
    </row>
    <row r="216" ht="15.75" customHeight="1">
      <c r="A216" s="31"/>
      <c r="B216" s="31"/>
      <c r="C216" s="31"/>
      <c r="D216" s="31"/>
      <c r="E216" s="31"/>
      <c r="F216" s="31"/>
      <c r="G216" s="31"/>
    </row>
    <row r="217" ht="15.75" customHeight="1">
      <c r="A217" s="31"/>
      <c r="B217" s="31"/>
      <c r="C217" s="31"/>
      <c r="D217" s="31"/>
      <c r="E217" s="31"/>
      <c r="F217" s="31"/>
      <c r="G217" s="31"/>
    </row>
    <row r="218" ht="15.75" customHeight="1">
      <c r="A218" s="31"/>
      <c r="B218" s="31"/>
      <c r="C218" s="31"/>
      <c r="D218" s="31"/>
      <c r="E218" s="31"/>
      <c r="F218" s="31"/>
      <c r="G218" s="31"/>
    </row>
    <row r="219" ht="15.75" customHeight="1">
      <c r="A219" s="31"/>
      <c r="B219" s="31"/>
      <c r="C219" s="31"/>
      <c r="D219" s="31"/>
      <c r="E219" s="31"/>
      <c r="F219" s="31"/>
      <c r="G219" s="31"/>
    </row>
    <row r="220" ht="15.75" customHeight="1">
      <c r="A220" s="31"/>
      <c r="B220" s="31"/>
      <c r="C220" s="31"/>
      <c r="D220" s="31"/>
      <c r="E220" s="31"/>
      <c r="F220" s="31"/>
      <c r="G220" s="31"/>
    </row>
    <row r="221" ht="15.75" customHeight="1">
      <c r="A221" s="31"/>
      <c r="B221" s="31"/>
      <c r="C221" s="31"/>
      <c r="D221" s="31"/>
      <c r="E221" s="31"/>
      <c r="F221" s="31"/>
      <c r="G221" s="31"/>
    </row>
    <row r="222" ht="15.75" customHeight="1">
      <c r="A222" s="31"/>
      <c r="B222" s="31"/>
      <c r="C222" s="31"/>
      <c r="D222" s="31"/>
      <c r="E222" s="31"/>
      <c r="F222" s="31"/>
      <c r="G222" s="31"/>
    </row>
    <row r="223" ht="15.75" customHeight="1">
      <c r="A223" s="31"/>
      <c r="B223" s="31"/>
      <c r="C223" s="31"/>
      <c r="D223" s="31"/>
      <c r="E223" s="31"/>
      <c r="F223" s="31"/>
      <c r="G223" s="31"/>
    </row>
    <row r="224" ht="15.75" customHeight="1">
      <c r="A224" s="31"/>
      <c r="B224" s="31"/>
      <c r="C224" s="31"/>
      <c r="D224" s="31"/>
      <c r="E224" s="31"/>
      <c r="F224" s="31"/>
      <c r="G224" s="31"/>
    </row>
    <row r="225" ht="15.75" customHeight="1">
      <c r="A225" s="31"/>
      <c r="B225" s="31"/>
      <c r="C225" s="31"/>
      <c r="D225" s="31"/>
      <c r="E225" s="31"/>
      <c r="F225" s="31"/>
      <c r="G225" s="31"/>
    </row>
    <row r="226" ht="15.75" customHeight="1">
      <c r="A226" s="31"/>
      <c r="B226" s="31"/>
      <c r="C226" s="31"/>
      <c r="D226" s="31"/>
      <c r="E226" s="31"/>
      <c r="F226" s="31"/>
      <c r="G226" s="31"/>
    </row>
    <row r="227" ht="15.75" customHeight="1">
      <c r="A227" s="31"/>
      <c r="B227" s="31"/>
      <c r="C227" s="31"/>
      <c r="D227" s="31"/>
      <c r="E227" s="31"/>
      <c r="F227" s="31"/>
      <c r="G227" s="31"/>
    </row>
    <row r="228" ht="15.75" customHeight="1">
      <c r="A228" s="31"/>
      <c r="B228" s="31"/>
      <c r="C228" s="31"/>
      <c r="D228" s="31"/>
      <c r="E228" s="31"/>
      <c r="F228" s="31"/>
      <c r="G228" s="31"/>
    </row>
    <row r="229" ht="15.75" customHeight="1">
      <c r="A229" s="31"/>
      <c r="B229" s="31"/>
      <c r="C229" s="31"/>
      <c r="D229" s="31"/>
      <c r="E229" s="31"/>
      <c r="F229" s="31"/>
      <c r="G229" s="31"/>
    </row>
    <row r="230" ht="15.75" customHeight="1">
      <c r="A230" s="31"/>
      <c r="B230" s="31"/>
      <c r="C230" s="31"/>
      <c r="D230" s="31"/>
      <c r="E230" s="31"/>
      <c r="F230" s="31"/>
      <c r="G230" s="31"/>
    </row>
    <row r="231" ht="15.75" customHeight="1">
      <c r="A231" s="31"/>
      <c r="B231" s="31"/>
      <c r="C231" s="31"/>
      <c r="D231" s="31"/>
      <c r="E231" s="31"/>
      <c r="F231" s="31"/>
      <c r="G231" s="31"/>
    </row>
    <row r="232" ht="15.75" customHeight="1">
      <c r="A232" s="31"/>
      <c r="B232" s="31"/>
      <c r="C232" s="31"/>
      <c r="D232" s="31"/>
      <c r="E232" s="31"/>
      <c r="F232" s="31"/>
      <c r="G232" s="31"/>
    </row>
    <row r="233" ht="15.75" customHeight="1">
      <c r="A233" s="31"/>
      <c r="B233" s="31"/>
      <c r="C233" s="31"/>
      <c r="D233" s="31"/>
      <c r="E233" s="31"/>
      <c r="F233" s="31"/>
      <c r="G233" s="31"/>
    </row>
    <row r="234" ht="15.75" customHeight="1">
      <c r="A234" s="31"/>
      <c r="B234" s="31"/>
      <c r="C234" s="31"/>
      <c r="D234" s="31"/>
      <c r="E234" s="31"/>
      <c r="F234" s="31"/>
      <c r="G234" s="31"/>
    </row>
    <row r="235" ht="15.75" customHeight="1">
      <c r="A235" s="31"/>
      <c r="B235" s="31"/>
      <c r="C235" s="31"/>
      <c r="D235" s="31"/>
      <c r="E235" s="31"/>
      <c r="F235" s="31"/>
      <c r="G235" s="31"/>
    </row>
    <row r="236" ht="15.75" customHeight="1">
      <c r="A236" s="31"/>
      <c r="B236" s="31"/>
      <c r="C236" s="31"/>
      <c r="D236" s="31"/>
      <c r="E236" s="31"/>
      <c r="F236" s="31"/>
      <c r="G236" s="31"/>
    </row>
    <row r="237" ht="15.75" customHeight="1">
      <c r="A237" s="31"/>
      <c r="B237" s="31"/>
      <c r="C237" s="31"/>
      <c r="D237" s="31"/>
      <c r="E237" s="31"/>
      <c r="F237" s="31"/>
      <c r="G237" s="31"/>
    </row>
    <row r="238" ht="15.75" customHeight="1">
      <c r="A238" s="31"/>
      <c r="B238" s="31"/>
      <c r="C238" s="31"/>
      <c r="D238" s="31"/>
      <c r="E238" s="31"/>
      <c r="F238" s="31"/>
      <c r="G238" s="31"/>
    </row>
    <row r="239" ht="15.75" customHeight="1">
      <c r="A239" s="31"/>
      <c r="B239" s="31"/>
      <c r="C239" s="31"/>
      <c r="D239" s="31"/>
      <c r="E239" s="31"/>
      <c r="F239" s="31"/>
      <c r="G239" s="31"/>
    </row>
    <row r="240" ht="15.75" customHeight="1">
      <c r="A240" s="31"/>
      <c r="B240" s="31"/>
      <c r="C240" s="31"/>
      <c r="D240" s="31"/>
      <c r="E240" s="31"/>
      <c r="F240" s="31"/>
      <c r="G240" s="31"/>
    </row>
    <row r="241" ht="15.75" customHeight="1">
      <c r="A241" s="31"/>
      <c r="B241" s="31"/>
      <c r="C241" s="31"/>
      <c r="D241" s="31"/>
      <c r="E241" s="31"/>
      <c r="F241" s="31"/>
      <c r="G241" s="31"/>
    </row>
    <row r="242" ht="15.75" customHeight="1">
      <c r="A242" s="31"/>
      <c r="B242" s="31"/>
      <c r="C242" s="31"/>
      <c r="D242" s="31"/>
      <c r="E242" s="31"/>
      <c r="F242" s="31"/>
      <c r="G242" s="31"/>
    </row>
    <row r="243" ht="15.75" customHeight="1">
      <c r="A243" s="31"/>
      <c r="B243" s="31"/>
      <c r="C243" s="31"/>
      <c r="D243" s="31"/>
      <c r="E243" s="31"/>
      <c r="F243" s="31"/>
      <c r="G243" s="31"/>
    </row>
    <row r="244" ht="15.75" customHeight="1">
      <c r="A244" s="31"/>
      <c r="B244" s="31"/>
      <c r="C244" s="31"/>
      <c r="D244" s="31"/>
      <c r="E244" s="31"/>
      <c r="F244" s="31"/>
      <c r="G244" s="31"/>
    </row>
    <row r="245" ht="15.75" customHeight="1">
      <c r="A245" s="31"/>
      <c r="B245" s="31"/>
      <c r="C245" s="31"/>
      <c r="D245" s="31"/>
      <c r="E245" s="31"/>
      <c r="F245" s="31"/>
      <c r="G245" s="31"/>
    </row>
    <row r="246" ht="15.75" customHeight="1">
      <c r="A246" s="31"/>
      <c r="B246" s="31"/>
      <c r="C246" s="31"/>
      <c r="D246" s="31"/>
      <c r="E246" s="31"/>
      <c r="F246" s="31"/>
      <c r="G246" s="31"/>
    </row>
    <row r="247" ht="15.75" customHeight="1">
      <c r="A247" s="31"/>
      <c r="B247" s="31"/>
      <c r="C247" s="31"/>
      <c r="D247" s="31"/>
      <c r="E247" s="31"/>
      <c r="F247" s="31"/>
      <c r="G247" s="31"/>
    </row>
    <row r="248" ht="15.75" customHeight="1">
      <c r="A248" s="31"/>
      <c r="B248" s="31"/>
      <c r="C248" s="31"/>
      <c r="D248" s="31"/>
      <c r="E248" s="31"/>
      <c r="F248" s="31"/>
      <c r="G248" s="31"/>
    </row>
    <row r="249" ht="15.75" customHeight="1">
      <c r="A249" s="31"/>
      <c r="B249" s="31"/>
      <c r="C249" s="31"/>
      <c r="D249" s="31"/>
      <c r="E249" s="31"/>
      <c r="F249" s="31"/>
      <c r="G249" s="31"/>
    </row>
    <row r="250" ht="15.75" customHeight="1">
      <c r="A250" s="31"/>
      <c r="B250" s="31"/>
      <c r="C250" s="31"/>
      <c r="D250" s="31"/>
      <c r="E250" s="31"/>
      <c r="F250" s="31"/>
      <c r="G250" s="31"/>
    </row>
    <row r="251" ht="15.75" customHeight="1">
      <c r="A251" s="31"/>
      <c r="B251" s="31"/>
      <c r="C251" s="31"/>
      <c r="D251" s="31"/>
      <c r="E251" s="31"/>
      <c r="F251" s="31"/>
      <c r="G251" s="31"/>
    </row>
    <row r="252" ht="15.75" customHeight="1">
      <c r="A252" s="31"/>
      <c r="B252" s="31"/>
      <c r="C252" s="31"/>
      <c r="D252" s="31"/>
      <c r="E252" s="31"/>
      <c r="F252" s="31"/>
      <c r="G252" s="31"/>
    </row>
    <row r="253" ht="15.75" customHeight="1">
      <c r="A253" s="31"/>
      <c r="B253" s="31"/>
      <c r="C253" s="31"/>
      <c r="D253" s="31"/>
      <c r="E253" s="31"/>
      <c r="F253" s="31"/>
      <c r="G253" s="31"/>
    </row>
    <row r="254" ht="15.75" customHeight="1">
      <c r="A254" s="31"/>
      <c r="B254" s="31"/>
      <c r="C254" s="31"/>
      <c r="D254" s="31"/>
      <c r="E254" s="31"/>
      <c r="F254" s="31"/>
      <c r="G254" s="31"/>
    </row>
    <row r="255" ht="15.75" customHeight="1">
      <c r="A255" s="31"/>
      <c r="B255" s="31"/>
      <c r="C255" s="31"/>
      <c r="D255" s="31"/>
      <c r="E255" s="31"/>
      <c r="F255" s="31"/>
      <c r="G255" s="31"/>
    </row>
    <row r="256" ht="15.75" customHeight="1">
      <c r="A256" s="31"/>
      <c r="B256" s="31"/>
      <c r="C256" s="31"/>
      <c r="D256" s="31"/>
      <c r="E256" s="31"/>
      <c r="F256" s="31"/>
      <c r="G256" s="31"/>
    </row>
    <row r="257" ht="15.75" customHeight="1">
      <c r="A257" s="31"/>
      <c r="B257" s="31"/>
      <c r="C257" s="31"/>
      <c r="D257" s="31"/>
      <c r="E257" s="31"/>
      <c r="F257" s="31"/>
      <c r="G257" s="31"/>
    </row>
    <row r="258" ht="15.75" customHeight="1">
      <c r="A258" s="31"/>
      <c r="B258" s="31"/>
      <c r="C258" s="31"/>
      <c r="D258" s="31"/>
      <c r="E258" s="31"/>
      <c r="F258" s="31"/>
      <c r="G258" s="31"/>
    </row>
    <row r="259" ht="15.75" customHeight="1">
      <c r="A259" s="31"/>
      <c r="B259" s="31"/>
      <c r="C259" s="31"/>
      <c r="D259" s="31"/>
      <c r="E259" s="31"/>
      <c r="F259" s="31"/>
      <c r="G259" s="31"/>
    </row>
    <row r="260" ht="15.75" customHeight="1">
      <c r="A260" s="31"/>
      <c r="B260" s="31"/>
      <c r="C260" s="31"/>
      <c r="D260" s="31"/>
      <c r="E260" s="31"/>
      <c r="F260" s="31"/>
      <c r="G260" s="31"/>
    </row>
    <row r="261" ht="15.75" customHeight="1">
      <c r="A261" s="31"/>
      <c r="B261" s="31"/>
      <c r="C261" s="31"/>
      <c r="D261" s="31"/>
      <c r="E261" s="31"/>
      <c r="F261" s="31"/>
      <c r="G261" s="31"/>
    </row>
    <row r="262" ht="15.75" customHeight="1">
      <c r="A262" s="31"/>
      <c r="B262" s="31"/>
      <c r="C262" s="31"/>
      <c r="D262" s="31"/>
      <c r="E262" s="31"/>
      <c r="F262" s="31"/>
      <c r="G262" s="31"/>
    </row>
    <row r="263" ht="15.75" customHeight="1">
      <c r="A263" s="31"/>
      <c r="B263" s="31"/>
      <c r="C263" s="31"/>
      <c r="D263" s="31"/>
      <c r="E263" s="31"/>
      <c r="F263" s="31"/>
      <c r="G263" s="31"/>
    </row>
    <row r="264" ht="15.75" customHeight="1">
      <c r="A264" s="31"/>
      <c r="B264" s="31"/>
      <c r="C264" s="31"/>
      <c r="D264" s="31"/>
      <c r="E264" s="31"/>
      <c r="F264" s="31"/>
      <c r="G264" s="31"/>
    </row>
    <row r="265" ht="15.75" customHeight="1">
      <c r="A265" s="31"/>
      <c r="B265" s="31"/>
      <c r="C265" s="31"/>
      <c r="D265" s="31"/>
      <c r="E265" s="31"/>
      <c r="F265" s="31"/>
      <c r="G265" s="31"/>
    </row>
    <row r="266" ht="15.75" customHeight="1">
      <c r="A266" s="31"/>
      <c r="B266" s="31"/>
      <c r="C266" s="31"/>
      <c r="D266" s="31"/>
      <c r="E266" s="31"/>
      <c r="F266" s="31"/>
      <c r="G266" s="31"/>
    </row>
    <row r="267" ht="15.75" customHeight="1">
      <c r="A267" s="31"/>
      <c r="B267" s="31"/>
      <c r="C267" s="31"/>
      <c r="D267" s="31"/>
      <c r="E267" s="31"/>
      <c r="F267" s="31"/>
      <c r="G267" s="31"/>
    </row>
    <row r="268" ht="15.75" customHeight="1">
      <c r="A268" s="31"/>
      <c r="B268" s="31"/>
      <c r="C268" s="31"/>
      <c r="D268" s="31"/>
      <c r="E268" s="31"/>
      <c r="F268" s="31"/>
      <c r="G268" s="31"/>
    </row>
    <row r="269" ht="15.75" customHeight="1">
      <c r="A269" s="31"/>
      <c r="B269" s="31"/>
      <c r="C269" s="31"/>
      <c r="D269" s="31"/>
      <c r="E269" s="31"/>
      <c r="F269" s="31"/>
      <c r="G269" s="31"/>
    </row>
    <row r="270" ht="15.75" customHeight="1">
      <c r="A270" s="31"/>
      <c r="B270" s="31"/>
      <c r="C270" s="31"/>
      <c r="D270" s="31"/>
      <c r="E270" s="31"/>
      <c r="F270" s="31"/>
      <c r="G270" s="31"/>
    </row>
    <row r="271" ht="15.75" customHeight="1">
      <c r="A271" s="31"/>
      <c r="B271" s="31"/>
      <c r="C271" s="31"/>
      <c r="D271" s="31"/>
      <c r="E271" s="31"/>
      <c r="F271" s="31"/>
      <c r="G271" s="31"/>
    </row>
    <row r="272" ht="15.75" customHeight="1">
      <c r="A272" s="31"/>
      <c r="B272" s="31"/>
      <c r="C272" s="31"/>
      <c r="D272" s="31"/>
      <c r="E272" s="31"/>
      <c r="F272" s="31"/>
      <c r="G272" s="31"/>
    </row>
    <row r="273" ht="15.75" customHeight="1">
      <c r="A273" s="31"/>
      <c r="B273" s="31"/>
      <c r="C273" s="31"/>
      <c r="D273" s="31"/>
      <c r="E273" s="31"/>
      <c r="F273" s="31"/>
      <c r="G273" s="31"/>
    </row>
    <row r="274" ht="15.75" customHeight="1">
      <c r="A274" s="31"/>
      <c r="B274" s="31"/>
      <c r="C274" s="31"/>
      <c r="D274" s="31"/>
      <c r="E274" s="31"/>
      <c r="F274" s="31"/>
      <c r="G274" s="31"/>
    </row>
    <row r="275" ht="15.75" customHeight="1">
      <c r="A275" s="31"/>
      <c r="B275" s="31"/>
      <c r="C275" s="31"/>
      <c r="D275" s="31"/>
      <c r="E275" s="31"/>
      <c r="F275" s="31"/>
      <c r="G275" s="31"/>
    </row>
    <row r="276" ht="15.75" customHeight="1">
      <c r="A276" s="31"/>
      <c r="B276" s="31"/>
      <c r="C276" s="31"/>
      <c r="D276" s="31"/>
      <c r="E276" s="31"/>
      <c r="F276" s="31"/>
      <c r="G276" s="31"/>
    </row>
    <row r="277" ht="15.75" customHeight="1">
      <c r="A277" s="31"/>
      <c r="B277" s="31"/>
      <c r="C277" s="31"/>
      <c r="D277" s="31"/>
      <c r="E277" s="31"/>
      <c r="F277" s="31"/>
      <c r="G277" s="31"/>
    </row>
    <row r="278" ht="15.75" customHeight="1">
      <c r="A278" s="31"/>
      <c r="B278" s="31"/>
      <c r="C278" s="31"/>
      <c r="D278" s="31"/>
      <c r="E278" s="31"/>
      <c r="F278" s="31"/>
      <c r="G278" s="31"/>
    </row>
    <row r="279" ht="15.75" customHeight="1">
      <c r="A279" s="31"/>
      <c r="B279" s="31"/>
      <c r="C279" s="31"/>
      <c r="D279" s="31"/>
      <c r="E279" s="31"/>
      <c r="F279" s="31"/>
      <c r="G279" s="31"/>
    </row>
    <row r="280" ht="15.75" customHeight="1">
      <c r="A280" s="31"/>
      <c r="B280" s="31"/>
      <c r="C280" s="31"/>
      <c r="D280" s="31"/>
      <c r="E280" s="31"/>
      <c r="F280" s="31"/>
      <c r="G280" s="31"/>
    </row>
    <row r="281" ht="15.75" customHeight="1">
      <c r="A281" s="31"/>
      <c r="B281" s="31"/>
      <c r="C281" s="31"/>
      <c r="D281" s="31"/>
      <c r="E281" s="31"/>
      <c r="F281" s="31"/>
      <c r="G281" s="31"/>
    </row>
    <row r="282" ht="15.75" customHeight="1">
      <c r="A282" s="31"/>
      <c r="B282" s="31"/>
      <c r="C282" s="31"/>
      <c r="D282" s="31"/>
      <c r="E282" s="31"/>
      <c r="F282" s="31"/>
      <c r="G282" s="31"/>
    </row>
    <row r="283" ht="15.75" customHeight="1">
      <c r="A283" s="31"/>
      <c r="B283" s="31"/>
      <c r="C283" s="31"/>
      <c r="D283" s="31"/>
      <c r="E283" s="31"/>
      <c r="F283" s="31"/>
      <c r="G283" s="31"/>
    </row>
    <row r="284" ht="15.75" customHeight="1">
      <c r="A284" s="31"/>
      <c r="B284" s="31"/>
      <c r="C284" s="31"/>
      <c r="D284" s="31"/>
      <c r="E284" s="31"/>
      <c r="F284" s="31"/>
      <c r="G284" s="31"/>
    </row>
    <row r="285" ht="15.75" customHeight="1">
      <c r="A285" s="31"/>
      <c r="B285" s="31"/>
      <c r="C285" s="31"/>
      <c r="D285" s="31"/>
      <c r="E285" s="31"/>
      <c r="F285" s="31"/>
      <c r="G285" s="31"/>
    </row>
    <row r="286" ht="15.75" customHeight="1">
      <c r="A286" s="31"/>
      <c r="B286" s="31"/>
      <c r="C286" s="31"/>
      <c r="D286" s="31"/>
      <c r="E286" s="31"/>
      <c r="F286" s="31"/>
      <c r="G286" s="31"/>
    </row>
    <row r="287" ht="15.75" customHeight="1">
      <c r="A287" s="31"/>
      <c r="B287" s="31"/>
      <c r="C287" s="31"/>
      <c r="D287" s="31"/>
      <c r="E287" s="31"/>
      <c r="F287" s="31"/>
      <c r="G287" s="31"/>
    </row>
    <row r="288" ht="15.75" customHeight="1">
      <c r="A288" s="31"/>
      <c r="B288" s="31"/>
      <c r="C288" s="31"/>
      <c r="D288" s="31"/>
      <c r="E288" s="31"/>
      <c r="F288" s="31"/>
      <c r="G288" s="31"/>
    </row>
    <row r="289" ht="15.75" customHeight="1">
      <c r="A289" s="31"/>
      <c r="B289" s="31"/>
      <c r="C289" s="31"/>
      <c r="D289" s="31"/>
      <c r="E289" s="31"/>
      <c r="F289" s="31"/>
      <c r="G289" s="31"/>
    </row>
    <row r="290" ht="15.75" customHeight="1">
      <c r="A290" s="31"/>
      <c r="B290" s="31"/>
      <c r="C290" s="31"/>
      <c r="D290" s="31"/>
      <c r="E290" s="31"/>
      <c r="F290" s="31"/>
      <c r="G290" s="31"/>
    </row>
    <row r="291" ht="15.75" customHeight="1">
      <c r="A291" s="31"/>
      <c r="B291" s="31"/>
      <c r="C291" s="31"/>
      <c r="D291" s="31"/>
      <c r="E291" s="31"/>
      <c r="F291" s="31"/>
      <c r="G291" s="31"/>
    </row>
    <row r="292" ht="15.75" customHeight="1">
      <c r="A292" s="31"/>
      <c r="B292" s="31"/>
      <c r="C292" s="31"/>
      <c r="D292" s="31"/>
      <c r="E292" s="31"/>
      <c r="F292" s="31"/>
      <c r="G292" s="31"/>
    </row>
    <row r="293" ht="15.75" customHeight="1">
      <c r="A293" s="31"/>
      <c r="B293" s="31"/>
      <c r="C293" s="31"/>
      <c r="D293" s="31"/>
      <c r="E293" s="31"/>
      <c r="F293" s="31"/>
      <c r="G293" s="31"/>
    </row>
    <row r="294" ht="15.75" customHeight="1">
      <c r="A294" s="31"/>
      <c r="B294" s="31"/>
      <c r="C294" s="31"/>
      <c r="D294" s="31"/>
      <c r="E294" s="31"/>
      <c r="F294" s="31"/>
      <c r="G294" s="31"/>
    </row>
    <row r="295" ht="15.75" customHeight="1">
      <c r="A295" s="31"/>
      <c r="B295" s="31"/>
      <c r="C295" s="31"/>
      <c r="D295" s="31"/>
      <c r="E295" s="31"/>
      <c r="F295" s="31"/>
      <c r="G295" s="31"/>
    </row>
    <row r="296" ht="15.75" customHeight="1">
      <c r="A296" s="31"/>
      <c r="B296" s="31"/>
      <c r="C296" s="31"/>
      <c r="D296" s="31"/>
      <c r="E296" s="31"/>
      <c r="F296" s="31"/>
      <c r="G296" s="31"/>
    </row>
    <row r="297" ht="15.75" customHeight="1">
      <c r="A297" s="31"/>
      <c r="B297" s="31"/>
      <c r="C297" s="31"/>
      <c r="D297" s="31"/>
      <c r="E297" s="31"/>
      <c r="F297" s="31"/>
      <c r="G297" s="31"/>
    </row>
    <row r="298" ht="15.75" customHeight="1">
      <c r="A298" s="31"/>
      <c r="B298" s="31"/>
      <c r="C298" s="31"/>
      <c r="D298" s="31"/>
      <c r="E298" s="31"/>
      <c r="F298" s="31"/>
      <c r="G298" s="31"/>
    </row>
    <row r="299" ht="15.75" customHeight="1">
      <c r="A299" s="31"/>
      <c r="B299" s="31"/>
      <c r="C299" s="31"/>
      <c r="D299" s="31"/>
      <c r="E299" s="31"/>
      <c r="F299" s="31"/>
      <c r="G299" s="31"/>
    </row>
    <row r="300" ht="15.75" customHeight="1">
      <c r="A300" s="31"/>
      <c r="B300" s="31"/>
      <c r="C300" s="31"/>
      <c r="D300" s="31"/>
      <c r="E300" s="31"/>
      <c r="F300" s="31"/>
      <c r="G300" s="31"/>
    </row>
    <row r="301" ht="15.75" customHeight="1">
      <c r="A301" s="31"/>
      <c r="B301" s="31"/>
      <c r="C301" s="31"/>
      <c r="D301" s="31"/>
      <c r="E301" s="31"/>
      <c r="F301" s="31"/>
      <c r="G301" s="31"/>
    </row>
    <row r="302" ht="15.75" customHeight="1">
      <c r="A302" s="31"/>
      <c r="B302" s="31"/>
      <c r="C302" s="31"/>
      <c r="D302" s="31"/>
      <c r="E302" s="31"/>
      <c r="F302" s="31"/>
      <c r="G302" s="31"/>
    </row>
    <row r="303" ht="15.75" customHeight="1">
      <c r="A303" s="31"/>
      <c r="B303" s="31"/>
      <c r="C303" s="31"/>
      <c r="D303" s="31"/>
      <c r="E303" s="31"/>
      <c r="F303" s="31"/>
      <c r="G303" s="31"/>
    </row>
    <row r="304" ht="15.75" customHeight="1">
      <c r="A304" s="31"/>
      <c r="B304" s="31"/>
      <c r="C304" s="31"/>
      <c r="D304" s="31"/>
      <c r="E304" s="31"/>
      <c r="F304" s="31"/>
      <c r="G304" s="31"/>
    </row>
    <row r="305" ht="15.75" customHeight="1">
      <c r="A305" s="31"/>
      <c r="B305" s="31"/>
      <c r="C305" s="31"/>
      <c r="D305" s="31"/>
      <c r="E305" s="31"/>
      <c r="F305" s="31"/>
      <c r="G305" s="31"/>
    </row>
    <row r="306" ht="15.75" customHeight="1">
      <c r="A306" s="31"/>
      <c r="B306" s="31"/>
      <c r="C306" s="31"/>
      <c r="D306" s="31"/>
      <c r="E306" s="31"/>
      <c r="F306" s="31"/>
      <c r="G306" s="31"/>
    </row>
    <row r="307" ht="15.75" customHeight="1">
      <c r="A307" s="31"/>
      <c r="B307" s="31"/>
      <c r="C307" s="31"/>
      <c r="D307" s="31"/>
      <c r="E307" s="31"/>
      <c r="F307" s="31"/>
      <c r="G307" s="31"/>
    </row>
    <row r="308" ht="15.75" customHeight="1">
      <c r="A308" s="31"/>
      <c r="B308" s="31"/>
      <c r="C308" s="31"/>
      <c r="D308" s="31"/>
      <c r="E308" s="31"/>
      <c r="F308" s="31"/>
      <c r="G308" s="31"/>
    </row>
    <row r="309" ht="15.75" customHeight="1">
      <c r="A309" s="31"/>
      <c r="B309" s="31"/>
      <c r="C309" s="31"/>
      <c r="D309" s="31"/>
      <c r="E309" s="31"/>
      <c r="F309" s="31"/>
      <c r="G309" s="31"/>
    </row>
    <row r="310" ht="15.75" customHeight="1">
      <c r="A310" s="31"/>
      <c r="B310" s="31"/>
      <c r="C310" s="31"/>
      <c r="D310" s="31"/>
      <c r="E310" s="31"/>
      <c r="F310" s="31"/>
      <c r="G310" s="31"/>
    </row>
    <row r="311" ht="15.75" customHeight="1">
      <c r="A311" s="31"/>
      <c r="B311" s="31"/>
      <c r="C311" s="31"/>
      <c r="D311" s="31"/>
      <c r="E311" s="31"/>
      <c r="F311" s="31"/>
      <c r="G311" s="31"/>
    </row>
    <row r="312" ht="15.75" customHeight="1">
      <c r="A312" s="31"/>
      <c r="B312" s="31"/>
      <c r="C312" s="31"/>
      <c r="D312" s="31"/>
      <c r="E312" s="31"/>
      <c r="F312" s="31"/>
      <c r="G312" s="31"/>
    </row>
    <row r="313" ht="15.75" customHeight="1">
      <c r="A313" s="31"/>
      <c r="B313" s="31"/>
      <c r="C313" s="31"/>
      <c r="D313" s="31"/>
      <c r="E313" s="31"/>
      <c r="F313" s="31"/>
      <c r="G313" s="31"/>
    </row>
    <row r="314" ht="15.75" customHeight="1">
      <c r="A314" s="31"/>
      <c r="B314" s="31"/>
      <c r="C314" s="31"/>
      <c r="D314" s="31"/>
      <c r="E314" s="31"/>
      <c r="F314" s="31"/>
      <c r="G314" s="31"/>
    </row>
    <row r="315" ht="15.75" customHeight="1">
      <c r="A315" s="31"/>
      <c r="B315" s="31"/>
      <c r="C315" s="31"/>
      <c r="D315" s="31"/>
      <c r="E315" s="31"/>
      <c r="F315" s="31"/>
      <c r="G315" s="31"/>
    </row>
    <row r="316" ht="15.75" customHeight="1">
      <c r="A316" s="31"/>
      <c r="B316" s="31"/>
      <c r="C316" s="31"/>
      <c r="D316" s="31"/>
      <c r="E316" s="31"/>
      <c r="F316" s="31"/>
      <c r="G316" s="31"/>
    </row>
    <row r="317" ht="15.75" customHeight="1">
      <c r="A317" s="31"/>
      <c r="B317" s="31"/>
      <c r="C317" s="31"/>
      <c r="D317" s="31"/>
      <c r="E317" s="31"/>
      <c r="F317" s="31"/>
      <c r="G317" s="31"/>
    </row>
    <row r="318" ht="15.75" customHeight="1">
      <c r="A318" s="31"/>
      <c r="B318" s="31"/>
      <c r="C318" s="31"/>
      <c r="D318" s="31"/>
      <c r="E318" s="31"/>
      <c r="F318" s="31"/>
      <c r="G318" s="31"/>
    </row>
    <row r="319" ht="15.75" customHeight="1">
      <c r="A319" s="31"/>
      <c r="B319" s="31"/>
      <c r="C319" s="31"/>
      <c r="D319" s="31"/>
      <c r="E319" s="31"/>
      <c r="F319" s="31"/>
      <c r="G319" s="31"/>
    </row>
    <row r="320" ht="15.75" customHeight="1">
      <c r="A320" s="31"/>
      <c r="B320" s="31"/>
      <c r="C320" s="31"/>
      <c r="D320" s="31"/>
      <c r="E320" s="31"/>
      <c r="F320" s="31"/>
      <c r="G320" s="31"/>
    </row>
    <row r="321" ht="15.75" customHeight="1">
      <c r="A321" s="31"/>
      <c r="B321" s="31"/>
      <c r="C321" s="31"/>
      <c r="D321" s="31"/>
      <c r="E321" s="31"/>
      <c r="F321" s="31"/>
      <c r="G321" s="31"/>
    </row>
    <row r="322" ht="15.75" customHeight="1">
      <c r="A322" s="31"/>
      <c r="B322" s="31"/>
      <c r="C322" s="31"/>
      <c r="D322" s="31"/>
      <c r="E322" s="31"/>
      <c r="F322" s="31"/>
      <c r="G322" s="31"/>
    </row>
    <row r="323" ht="15.75" customHeight="1">
      <c r="A323" s="31"/>
      <c r="B323" s="31"/>
      <c r="C323" s="31"/>
      <c r="D323" s="31"/>
      <c r="E323" s="31"/>
      <c r="F323" s="31"/>
      <c r="G323" s="31"/>
    </row>
    <row r="324" ht="15.75" customHeight="1">
      <c r="A324" s="31"/>
      <c r="B324" s="31"/>
      <c r="C324" s="31"/>
      <c r="D324" s="31"/>
      <c r="E324" s="31"/>
      <c r="F324" s="31"/>
      <c r="G324" s="31"/>
    </row>
    <row r="325" ht="15.75" customHeight="1">
      <c r="A325" s="31"/>
      <c r="B325" s="31"/>
      <c r="C325" s="31"/>
      <c r="D325" s="31"/>
      <c r="E325" s="31"/>
      <c r="F325" s="31"/>
      <c r="G325" s="31"/>
    </row>
    <row r="326" ht="15.75" customHeight="1">
      <c r="A326" s="31"/>
      <c r="B326" s="31"/>
      <c r="C326" s="31"/>
      <c r="D326" s="31"/>
      <c r="E326" s="31"/>
      <c r="F326" s="31"/>
      <c r="G326" s="31"/>
    </row>
    <row r="327" ht="15.75" customHeight="1">
      <c r="A327" s="31"/>
      <c r="B327" s="31"/>
      <c r="C327" s="31"/>
      <c r="D327" s="31"/>
      <c r="E327" s="31"/>
      <c r="F327" s="31"/>
      <c r="G327" s="31"/>
    </row>
    <row r="328" ht="15.75" customHeight="1">
      <c r="A328" s="31"/>
      <c r="B328" s="31"/>
      <c r="C328" s="31"/>
      <c r="D328" s="31"/>
      <c r="E328" s="31"/>
      <c r="F328" s="31"/>
      <c r="G328" s="31"/>
    </row>
    <row r="329" ht="15.75" customHeight="1">
      <c r="A329" s="31"/>
      <c r="B329" s="31"/>
      <c r="C329" s="31"/>
      <c r="D329" s="31"/>
      <c r="E329" s="31"/>
      <c r="F329" s="31"/>
      <c r="G329" s="31"/>
    </row>
    <row r="330" ht="15.75" customHeight="1">
      <c r="A330" s="31"/>
      <c r="B330" s="31"/>
      <c r="C330" s="31"/>
      <c r="D330" s="31"/>
      <c r="E330" s="31"/>
      <c r="F330" s="31"/>
      <c r="G330" s="31"/>
    </row>
    <row r="331" ht="15.75" customHeight="1">
      <c r="A331" s="31"/>
      <c r="B331" s="31"/>
      <c r="C331" s="31"/>
      <c r="D331" s="31"/>
      <c r="E331" s="31"/>
      <c r="F331" s="31"/>
      <c r="G331" s="31"/>
    </row>
    <row r="332" ht="15.75" customHeight="1">
      <c r="A332" s="31"/>
      <c r="B332" s="31"/>
      <c r="C332" s="31"/>
      <c r="D332" s="31"/>
      <c r="E332" s="31"/>
      <c r="F332" s="31"/>
      <c r="G332" s="31"/>
    </row>
    <row r="333" ht="15.75" customHeight="1">
      <c r="A333" s="31"/>
      <c r="B333" s="31"/>
      <c r="C333" s="31"/>
      <c r="D333" s="31"/>
      <c r="E333" s="31"/>
      <c r="F333" s="31"/>
      <c r="G333" s="31"/>
    </row>
    <row r="334" ht="15.75" customHeight="1">
      <c r="A334" s="31"/>
      <c r="B334" s="31"/>
      <c r="C334" s="31"/>
      <c r="D334" s="31"/>
      <c r="E334" s="31"/>
      <c r="F334" s="31"/>
      <c r="G334" s="31"/>
    </row>
    <row r="335" ht="15.75" customHeight="1">
      <c r="A335" s="31"/>
      <c r="B335" s="31"/>
      <c r="C335" s="31"/>
      <c r="D335" s="31"/>
      <c r="E335" s="31"/>
      <c r="F335" s="31"/>
      <c r="G335" s="31"/>
    </row>
    <row r="336" ht="15.75" customHeight="1">
      <c r="A336" s="31"/>
      <c r="B336" s="31"/>
      <c r="C336" s="31"/>
      <c r="D336" s="31"/>
      <c r="E336" s="31"/>
      <c r="F336" s="31"/>
      <c r="G336" s="31"/>
    </row>
    <row r="337" ht="15.75" customHeight="1">
      <c r="A337" s="31"/>
      <c r="B337" s="31"/>
      <c r="C337" s="31"/>
      <c r="D337" s="31"/>
      <c r="E337" s="31"/>
      <c r="F337" s="31"/>
      <c r="G337" s="31"/>
    </row>
    <row r="338" ht="15.75" customHeight="1">
      <c r="A338" s="31"/>
      <c r="B338" s="31"/>
      <c r="C338" s="31"/>
      <c r="D338" s="31"/>
      <c r="E338" s="31"/>
      <c r="F338" s="31"/>
      <c r="G338" s="31"/>
    </row>
    <row r="339" ht="15.75" customHeight="1">
      <c r="A339" s="31"/>
      <c r="B339" s="31"/>
      <c r="C339" s="31"/>
      <c r="D339" s="31"/>
      <c r="E339" s="31"/>
      <c r="F339" s="31"/>
      <c r="G339" s="31"/>
    </row>
    <row r="340" ht="15.75" customHeight="1">
      <c r="A340" s="31"/>
      <c r="B340" s="31"/>
      <c r="C340" s="31"/>
      <c r="D340" s="31"/>
      <c r="E340" s="31"/>
      <c r="F340" s="31"/>
      <c r="G340" s="31"/>
    </row>
    <row r="341" ht="15.75" customHeight="1">
      <c r="A341" s="31"/>
      <c r="B341" s="31"/>
      <c r="C341" s="31"/>
      <c r="D341" s="31"/>
      <c r="E341" s="31"/>
      <c r="F341" s="31"/>
      <c r="G341" s="31"/>
    </row>
    <row r="342" ht="15.75" customHeight="1">
      <c r="A342" s="31"/>
      <c r="B342" s="31"/>
      <c r="C342" s="31"/>
      <c r="D342" s="31"/>
      <c r="E342" s="31"/>
      <c r="F342" s="31"/>
      <c r="G342" s="31"/>
    </row>
    <row r="343" ht="15.75" customHeight="1">
      <c r="A343" s="31"/>
      <c r="B343" s="31"/>
      <c r="C343" s="31"/>
      <c r="D343" s="31"/>
      <c r="E343" s="31"/>
      <c r="F343" s="31"/>
      <c r="G343" s="31"/>
    </row>
    <row r="344" ht="15.75" customHeight="1">
      <c r="A344" s="31"/>
      <c r="B344" s="31"/>
      <c r="C344" s="31"/>
      <c r="D344" s="31"/>
      <c r="E344" s="31"/>
      <c r="F344" s="31"/>
      <c r="G344" s="31"/>
    </row>
    <row r="345" ht="15.75" customHeight="1">
      <c r="A345" s="31"/>
      <c r="B345" s="31"/>
      <c r="C345" s="31"/>
      <c r="D345" s="31"/>
      <c r="E345" s="31"/>
      <c r="F345" s="31"/>
      <c r="G345" s="31"/>
    </row>
    <row r="346" ht="15.75" customHeight="1">
      <c r="A346" s="31"/>
      <c r="B346" s="31"/>
      <c r="C346" s="31"/>
      <c r="D346" s="31"/>
      <c r="E346" s="31"/>
      <c r="F346" s="31"/>
      <c r="G346" s="31"/>
    </row>
    <row r="347" ht="15.75" customHeight="1">
      <c r="A347" s="31"/>
      <c r="B347" s="31"/>
      <c r="C347" s="31"/>
      <c r="D347" s="31"/>
      <c r="E347" s="31"/>
      <c r="F347" s="31"/>
      <c r="G347" s="31"/>
    </row>
    <row r="348" ht="15.75" customHeight="1">
      <c r="A348" s="31"/>
      <c r="B348" s="31"/>
      <c r="C348" s="31"/>
      <c r="D348" s="31"/>
      <c r="E348" s="31"/>
      <c r="F348" s="31"/>
      <c r="G348" s="31"/>
    </row>
    <row r="349" ht="15.75" customHeight="1">
      <c r="A349" s="31"/>
      <c r="B349" s="31"/>
      <c r="C349" s="31"/>
      <c r="D349" s="31"/>
      <c r="E349" s="31"/>
      <c r="F349" s="31"/>
      <c r="G349" s="31"/>
    </row>
    <row r="350" ht="15.75" customHeight="1">
      <c r="A350" s="31"/>
      <c r="B350" s="31"/>
      <c r="C350" s="31"/>
      <c r="D350" s="31"/>
      <c r="E350" s="31"/>
      <c r="F350" s="31"/>
      <c r="G350" s="31"/>
    </row>
    <row r="351" ht="15.75" customHeight="1">
      <c r="A351" s="31"/>
      <c r="B351" s="31"/>
      <c r="C351" s="31"/>
      <c r="D351" s="31"/>
      <c r="E351" s="31"/>
      <c r="F351" s="31"/>
      <c r="G351" s="31"/>
    </row>
    <row r="352" ht="15.75" customHeight="1">
      <c r="A352" s="31"/>
      <c r="B352" s="31"/>
      <c r="C352" s="31"/>
      <c r="D352" s="31"/>
      <c r="E352" s="31"/>
      <c r="F352" s="31"/>
      <c r="G352" s="31"/>
    </row>
    <row r="353" ht="15.75" customHeight="1">
      <c r="A353" s="31"/>
      <c r="B353" s="31"/>
      <c r="C353" s="31"/>
      <c r="D353" s="31"/>
      <c r="E353" s="31"/>
      <c r="F353" s="31"/>
      <c r="G353" s="31"/>
    </row>
    <row r="354" ht="15.75" customHeight="1">
      <c r="A354" s="31"/>
      <c r="B354" s="31"/>
      <c r="C354" s="31"/>
      <c r="D354" s="31"/>
      <c r="E354" s="31"/>
      <c r="F354" s="31"/>
      <c r="G354" s="31"/>
    </row>
    <row r="355" ht="15.75" customHeight="1">
      <c r="A355" s="31"/>
      <c r="B355" s="31"/>
      <c r="C355" s="31"/>
      <c r="D355" s="31"/>
      <c r="E355" s="31"/>
      <c r="F355" s="31"/>
      <c r="G355" s="31"/>
    </row>
    <row r="356" ht="15.75" customHeight="1">
      <c r="A356" s="31"/>
      <c r="B356" s="31"/>
      <c r="C356" s="31"/>
      <c r="D356" s="31"/>
      <c r="E356" s="31"/>
      <c r="F356" s="31"/>
      <c r="G356" s="31"/>
    </row>
    <row r="357" ht="15.75" customHeight="1">
      <c r="A357" s="31"/>
      <c r="B357" s="31"/>
      <c r="C357" s="31"/>
      <c r="D357" s="31"/>
      <c r="E357" s="31"/>
      <c r="F357" s="31"/>
      <c r="G357" s="31"/>
    </row>
    <row r="358" ht="15.75" customHeight="1">
      <c r="A358" s="31"/>
      <c r="B358" s="31"/>
      <c r="C358" s="31"/>
      <c r="D358" s="31"/>
      <c r="E358" s="31"/>
      <c r="F358" s="31"/>
      <c r="G358" s="31"/>
    </row>
    <row r="359" ht="15.75" customHeight="1">
      <c r="A359" s="31"/>
      <c r="B359" s="31"/>
      <c r="C359" s="31"/>
      <c r="D359" s="31"/>
      <c r="E359" s="31"/>
      <c r="F359" s="31"/>
      <c r="G359" s="31"/>
    </row>
    <row r="360" ht="15.75" customHeight="1">
      <c r="A360" s="31"/>
      <c r="B360" s="31"/>
      <c r="C360" s="31"/>
      <c r="D360" s="31"/>
      <c r="E360" s="31"/>
      <c r="F360" s="31"/>
      <c r="G360" s="31"/>
    </row>
    <row r="361" ht="15.75" customHeight="1">
      <c r="A361" s="31"/>
      <c r="B361" s="31"/>
      <c r="C361" s="31"/>
      <c r="D361" s="31"/>
      <c r="E361" s="31"/>
      <c r="F361" s="31"/>
      <c r="G361" s="31"/>
    </row>
    <row r="362" ht="15.75" customHeight="1">
      <c r="A362" s="31"/>
      <c r="B362" s="31"/>
      <c r="C362" s="31"/>
      <c r="D362" s="31"/>
      <c r="E362" s="31"/>
      <c r="F362" s="31"/>
      <c r="G362" s="31"/>
    </row>
    <row r="363" ht="15.75" customHeight="1">
      <c r="A363" s="31"/>
      <c r="B363" s="31"/>
      <c r="C363" s="31"/>
      <c r="D363" s="31"/>
      <c r="E363" s="31"/>
      <c r="F363" s="31"/>
      <c r="G363" s="31"/>
    </row>
    <row r="364" ht="15.75" customHeight="1">
      <c r="A364" s="31"/>
      <c r="B364" s="31"/>
      <c r="C364" s="31"/>
      <c r="D364" s="31"/>
      <c r="E364" s="31"/>
      <c r="F364" s="31"/>
      <c r="G364" s="31"/>
    </row>
    <row r="365" ht="15.75" customHeight="1">
      <c r="A365" s="31"/>
      <c r="B365" s="31"/>
      <c r="C365" s="31"/>
      <c r="D365" s="31"/>
      <c r="E365" s="31"/>
      <c r="F365" s="31"/>
      <c r="G365" s="31"/>
    </row>
    <row r="366" ht="15.75" customHeight="1">
      <c r="A366" s="31"/>
      <c r="B366" s="31"/>
      <c r="C366" s="31"/>
      <c r="D366" s="31"/>
      <c r="E366" s="31"/>
      <c r="F366" s="31"/>
      <c r="G366" s="31"/>
    </row>
    <row r="367" ht="15.75" customHeight="1">
      <c r="A367" s="31"/>
      <c r="B367" s="31"/>
      <c r="C367" s="31"/>
      <c r="D367" s="31"/>
      <c r="E367" s="31"/>
      <c r="F367" s="31"/>
      <c r="G367" s="31"/>
    </row>
    <row r="368" ht="15.75" customHeight="1">
      <c r="A368" s="31"/>
      <c r="B368" s="31"/>
      <c r="C368" s="31"/>
      <c r="D368" s="31"/>
      <c r="E368" s="31"/>
      <c r="F368" s="31"/>
      <c r="G368" s="31"/>
    </row>
    <row r="369" ht="15.75" customHeight="1">
      <c r="A369" s="31"/>
      <c r="B369" s="31"/>
      <c r="C369" s="31"/>
      <c r="D369" s="31"/>
      <c r="E369" s="31"/>
      <c r="F369" s="31"/>
      <c r="G369" s="31"/>
    </row>
    <row r="370" ht="15.75" customHeight="1">
      <c r="A370" s="31"/>
      <c r="B370" s="31"/>
      <c r="C370" s="31"/>
      <c r="D370" s="31"/>
      <c r="E370" s="31"/>
      <c r="F370" s="31"/>
      <c r="G370" s="31"/>
    </row>
    <row r="371" ht="15.75" customHeight="1">
      <c r="A371" s="31"/>
      <c r="B371" s="31"/>
      <c r="C371" s="31"/>
      <c r="D371" s="31"/>
      <c r="E371" s="31"/>
      <c r="F371" s="31"/>
      <c r="G371" s="31"/>
    </row>
    <row r="372" ht="15.75" customHeight="1">
      <c r="A372" s="31"/>
      <c r="B372" s="31"/>
      <c r="C372" s="31"/>
      <c r="D372" s="31"/>
      <c r="E372" s="31"/>
      <c r="F372" s="31"/>
      <c r="G372" s="31"/>
    </row>
    <row r="373" ht="15.75" customHeight="1">
      <c r="A373" s="31"/>
      <c r="B373" s="31"/>
      <c r="C373" s="31"/>
      <c r="D373" s="31"/>
      <c r="E373" s="31"/>
      <c r="F373" s="31"/>
      <c r="G373" s="31"/>
    </row>
    <row r="374" ht="15.75" customHeight="1">
      <c r="A374" s="31"/>
      <c r="B374" s="31"/>
      <c r="C374" s="31"/>
      <c r="D374" s="31"/>
      <c r="E374" s="31"/>
      <c r="F374" s="31"/>
      <c r="G374" s="31"/>
    </row>
    <row r="375" ht="15.75" customHeight="1">
      <c r="A375" s="31"/>
      <c r="B375" s="31"/>
      <c r="C375" s="31"/>
      <c r="D375" s="31"/>
      <c r="E375" s="31"/>
      <c r="F375" s="31"/>
      <c r="G375" s="31"/>
    </row>
    <row r="376" ht="15.75" customHeight="1">
      <c r="A376" s="31"/>
      <c r="B376" s="31"/>
      <c r="C376" s="31"/>
      <c r="D376" s="31"/>
      <c r="E376" s="31"/>
      <c r="F376" s="31"/>
      <c r="G376" s="31"/>
    </row>
    <row r="377" ht="15.75" customHeight="1">
      <c r="A377" s="31"/>
      <c r="B377" s="31"/>
      <c r="C377" s="31"/>
      <c r="D377" s="31"/>
      <c r="E377" s="31"/>
      <c r="F377" s="31"/>
      <c r="G377" s="31"/>
    </row>
    <row r="378" ht="15.75" customHeight="1">
      <c r="A378" s="31"/>
      <c r="B378" s="31"/>
      <c r="C378" s="31"/>
      <c r="D378" s="31"/>
      <c r="E378" s="31"/>
      <c r="F378" s="31"/>
      <c r="G378" s="31"/>
    </row>
    <row r="379" ht="15.75" customHeight="1">
      <c r="A379" s="31"/>
      <c r="B379" s="31"/>
      <c r="C379" s="31"/>
      <c r="D379" s="31"/>
      <c r="E379" s="31"/>
      <c r="F379" s="31"/>
      <c r="G379" s="31"/>
    </row>
    <row r="380" ht="15.75" customHeight="1">
      <c r="A380" s="31"/>
      <c r="B380" s="31"/>
      <c r="C380" s="31"/>
      <c r="D380" s="31"/>
      <c r="E380" s="31"/>
      <c r="F380" s="31"/>
      <c r="G380" s="31"/>
    </row>
    <row r="381" ht="15.75" customHeight="1">
      <c r="A381" s="31"/>
      <c r="B381" s="31"/>
      <c r="C381" s="31"/>
      <c r="D381" s="31"/>
      <c r="E381" s="31"/>
      <c r="F381" s="31"/>
      <c r="G381" s="31"/>
    </row>
    <row r="382" ht="15.75" customHeight="1">
      <c r="A382" s="31"/>
      <c r="B382" s="31"/>
      <c r="C382" s="31"/>
      <c r="D382" s="31"/>
      <c r="E382" s="31"/>
      <c r="F382" s="31"/>
      <c r="G382" s="31"/>
    </row>
    <row r="383" ht="15.75" customHeight="1">
      <c r="A383" s="31"/>
      <c r="B383" s="31"/>
      <c r="C383" s="31"/>
      <c r="D383" s="31"/>
      <c r="E383" s="31"/>
      <c r="F383" s="31"/>
      <c r="G383" s="31"/>
    </row>
    <row r="384" ht="15.75" customHeight="1">
      <c r="A384" s="31"/>
      <c r="B384" s="31"/>
      <c r="C384" s="31"/>
      <c r="D384" s="31"/>
      <c r="E384" s="31"/>
      <c r="F384" s="31"/>
      <c r="G384" s="31"/>
    </row>
    <row r="385" ht="15.75" customHeight="1">
      <c r="A385" s="31"/>
      <c r="B385" s="31"/>
      <c r="C385" s="31"/>
      <c r="D385" s="31"/>
      <c r="E385" s="31"/>
      <c r="F385" s="31"/>
      <c r="G385" s="31"/>
    </row>
    <row r="386" ht="15.75" customHeight="1">
      <c r="A386" s="31"/>
      <c r="B386" s="31"/>
      <c r="C386" s="31"/>
      <c r="D386" s="31"/>
      <c r="E386" s="31"/>
      <c r="F386" s="31"/>
      <c r="G386" s="31"/>
    </row>
    <row r="387" ht="15.75" customHeight="1">
      <c r="A387" s="31"/>
      <c r="B387" s="31"/>
      <c r="C387" s="31"/>
      <c r="D387" s="31"/>
      <c r="E387" s="31"/>
      <c r="F387" s="31"/>
      <c r="G387" s="31"/>
    </row>
    <row r="388" ht="15.75" customHeight="1">
      <c r="A388" s="31"/>
      <c r="B388" s="31"/>
      <c r="C388" s="31"/>
      <c r="D388" s="31"/>
      <c r="E388" s="31"/>
      <c r="F388" s="31"/>
      <c r="G388" s="31"/>
    </row>
    <row r="389" ht="15.75" customHeight="1">
      <c r="A389" s="31"/>
      <c r="B389" s="31"/>
      <c r="C389" s="31"/>
      <c r="D389" s="31"/>
      <c r="E389" s="31"/>
      <c r="F389" s="31"/>
      <c r="G389" s="31"/>
    </row>
    <row r="390" ht="15.75" customHeight="1">
      <c r="A390" s="31"/>
      <c r="B390" s="31"/>
      <c r="C390" s="31"/>
      <c r="D390" s="31"/>
      <c r="E390" s="31"/>
      <c r="F390" s="31"/>
      <c r="G390" s="31"/>
    </row>
    <row r="391" ht="15.75" customHeight="1">
      <c r="A391" s="31"/>
      <c r="B391" s="31"/>
      <c r="C391" s="31"/>
      <c r="D391" s="31"/>
      <c r="E391" s="31"/>
      <c r="F391" s="31"/>
      <c r="G391" s="31"/>
    </row>
    <row r="392" ht="15.75" customHeight="1">
      <c r="A392" s="31"/>
      <c r="B392" s="31"/>
      <c r="C392" s="31"/>
      <c r="D392" s="31"/>
      <c r="E392" s="31"/>
      <c r="F392" s="31"/>
      <c r="G392" s="31"/>
    </row>
    <row r="393" ht="15.75" customHeight="1">
      <c r="A393" s="31"/>
      <c r="B393" s="31"/>
      <c r="C393" s="31"/>
      <c r="D393" s="31"/>
      <c r="E393" s="31"/>
      <c r="F393" s="31"/>
      <c r="G393" s="31"/>
    </row>
    <row r="394" ht="15.75" customHeight="1">
      <c r="A394" s="31"/>
      <c r="B394" s="31"/>
      <c r="C394" s="31"/>
      <c r="D394" s="31"/>
      <c r="E394" s="31"/>
      <c r="F394" s="31"/>
      <c r="G394" s="31"/>
    </row>
    <row r="395" ht="15.75" customHeight="1">
      <c r="A395" s="31"/>
      <c r="B395" s="31"/>
      <c r="C395" s="31"/>
      <c r="D395" s="31"/>
      <c r="E395" s="31"/>
      <c r="F395" s="31"/>
      <c r="G395" s="31"/>
    </row>
    <row r="396" ht="15.75" customHeight="1">
      <c r="A396" s="31"/>
      <c r="B396" s="31"/>
      <c r="C396" s="31"/>
      <c r="D396" s="31"/>
      <c r="E396" s="31"/>
      <c r="F396" s="31"/>
      <c r="G396" s="31"/>
    </row>
    <row r="397" ht="15.75" customHeight="1">
      <c r="A397" s="31"/>
      <c r="B397" s="31"/>
      <c r="C397" s="31"/>
      <c r="D397" s="31"/>
      <c r="E397" s="31"/>
      <c r="F397" s="31"/>
      <c r="G397" s="31"/>
    </row>
    <row r="398" ht="15.75" customHeight="1">
      <c r="A398" s="31"/>
      <c r="B398" s="31"/>
      <c r="C398" s="31"/>
      <c r="D398" s="31"/>
      <c r="E398" s="31"/>
      <c r="F398" s="31"/>
      <c r="G398" s="31"/>
    </row>
    <row r="399" ht="15.75" customHeight="1">
      <c r="A399" s="31"/>
      <c r="B399" s="31"/>
      <c r="C399" s="31"/>
      <c r="D399" s="31"/>
      <c r="E399" s="31"/>
      <c r="F399" s="31"/>
      <c r="G399" s="31"/>
    </row>
    <row r="400" ht="15.75" customHeight="1">
      <c r="A400" s="31"/>
      <c r="B400" s="31"/>
      <c r="C400" s="31"/>
      <c r="D400" s="31"/>
      <c r="E400" s="31"/>
      <c r="F400" s="31"/>
      <c r="G400" s="31"/>
    </row>
    <row r="401" ht="15.75" customHeight="1">
      <c r="A401" s="31"/>
      <c r="B401" s="31"/>
      <c r="C401" s="31"/>
      <c r="D401" s="31"/>
      <c r="E401" s="31"/>
      <c r="F401" s="31"/>
      <c r="G401" s="31"/>
    </row>
    <row r="402" ht="15.75" customHeight="1">
      <c r="A402" s="31"/>
      <c r="B402" s="31"/>
      <c r="C402" s="31"/>
      <c r="D402" s="31"/>
      <c r="E402" s="31"/>
      <c r="F402" s="31"/>
      <c r="G402" s="31"/>
    </row>
    <row r="403" ht="15.75" customHeight="1">
      <c r="A403" s="31"/>
      <c r="B403" s="31"/>
      <c r="C403" s="31"/>
      <c r="D403" s="31"/>
      <c r="E403" s="31"/>
      <c r="F403" s="31"/>
      <c r="G403" s="31"/>
    </row>
    <row r="404" ht="15.75" customHeight="1">
      <c r="A404" s="31"/>
      <c r="B404" s="31"/>
      <c r="C404" s="31"/>
      <c r="D404" s="31"/>
      <c r="E404" s="31"/>
      <c r="F404" s="31"/>
      <c r="G404" s="31"/>
    </row>
    <row r="405" ht="15.75" customHeight="1">
      <c r="A405" s="31"/>
      <c r="B405" s="31"/>
      <c r="C405" s="31"/>
      <c r="D405" s="31"/>
      <c r="E405" s="31"/>
      <c r="F405" s="31"/>
      <c r="G405" s="31"/>
    </row>
    <row r="406" ht="15.75" customHeight="1">
      <c r="A406" s="31"/>
      <c r="B406" s="31"/>
      <c r="C406" s="31"/>
      <c r="D406" s="31"/>
      <c r="E406" s="31"/>
      <c r="F406" s="31"/>
      <c r="G406" s="31"/>
    </row>
    <row r="407" ht="15.75" customHeight="1">
      <c r="A407" s="31"/>
      <c r="B407" s="31"/>
      <c r="C407" s="31"/>
      <c r="D407" s="31"/>
      <c r="E407" s="31"/>
      <c r="F407" s="31"/>
      <c r="G407" s="31"/>
    </row>
    <row r="408" ht="15.75" customHeight="1">
      <c r="A408" s="31"/>
      <c r="B408" s="31"/>
      <c r="C408" s="31"/>
      <c r="D408" s="31"/>
      <c r="E408" s="31"/>
      <c r="F408" s="31"/>
      <c r="G408" s="31"/>
    </row>
    <row r="409" ht="15.75" customHeight="1">
      <c r="A409" s="31"/>
      <c r="B409" s="31"/>
      <c r="C409" s="31"/>
      <c r="D409" s="31"/>
      <c r="E409" s="31"/>
      <c r="F409" s="31"/>
      <c r="G409" s="31"/>
    </row>
    <row r="410" ht="15.75" customHeight="1">
      <c r="A410" s="31"/>
      <c r="B410" s="31"/>
      <c r="C410" s="31"/>
      <c r="D410" s="31"/>
      <c r="E410" s="31"/>
      <c r="F410" s="31"/>
      <c r="G410" s="31"/>
    </row>
    <row r="411" ht="15.75" customHeight="1">
      <c r="A411" s="31"/>
      <c r="B411" s="31"/>
      <c r="C411" s="31"/>
      <c r="D411" s="31"/>
      <c r="E411" s="31"/>
      <c r="F411" s="31"/>
      <c r="G411" s="31"/>
    </row>
    <row r="412" ht="15.75" customHeight="1">
      <c r="A412" s="31"/>
      <c r="B412" s="31"/>
      <c r="C412" s="31"/>
      <c r="D412" s="31"/>
      <c r="E412" s="31"/>
      <c r="F412" s="31"/>
      <c r="G412" s="31"/>
    </row>
    <row r="413" ht="15.75" customHeight="1">
      <c r="A413" s="31"/>
      <c r="B413" s="31"/>
      <c r="C413" s="31"/>
      <c r="D413" s="31"/>
      <c r="E413" s="31"/>
      <c r="F413" s="31"/>
      <c r="G413" s="31"/>
    </row>
    <row r="414" ht="15.75" customHeight="1">
      <c r="A414" s="31"/>
      <c r="B414" s="31"/>
      <c r="C414" s="31"/>
      <c r="D414" s="31"/>
      <c r="E414" s="31"/>
      <c r="F414" s="31"/>
      <c r="G414" s="31"/>
    </row>
    <row r="415" ht="15.75" customHeight="1">
      <c r="A415" s="31"/>
      <c r="B415" s="31"/>
      <c r="C415" s="31"/>
      <c r="D415" s="31"/>
      <c r="E415" s="31"/>
      <c r="F415" s="31"/>
      <c r="G415" s="31"/>
    </row>
    <row r="416" ht="15.75" customHeight="1">
      <c r="A416" s="31"/>
      <c r="B416" s="31"/>
      <c r="C416" s="31"/>
      <c r="D416" s="31"/>
      <c r="E416" s="31"/>
      <c r="F416" s="31"/>
      <c r="G416" s="31"/>
    </row>
    <row r="417" ht="15.75" customHeight="1">
      <c r="A417" s="31"/>
      <c r="B417" s="31"/>
      <c r="C417" s="31"/>
      <c r="D417" s="31"/>
      <c r="E417" s="31"/>
      <c r="F417" s="31"/>
      <c r="G417" s="31"/>
    </row>
    <row r="418" ht="15.75" customHeight="1">
      <c r="A418" s="31"/>
      <c r="B418" s="31"/>
      <c r="C418" s="31"/>
      <c r="D418" s="31"/>
      <c r="E418" s="31"/>
      <c r="F418" s="31"/>
      <c r="G418" s="31"/>
    </row>
    <row r="419" ht="15.75" customHeight="1">
      <c r="A419" s="31"/>
      <c r="B419" s="31"/>
      <c r="C419" s="31"/>
      <c r="D419" s="31"/>
      <c r="E419" s="31"/>
      <c r="F419" s="31"/>
      <c r="G419" s="31"/>
    </row>
    <row r="420" ht="15.75" customHeight="1">
      <c r="A420" s="31"/>
      <c r="B420" s="31"/>
      <c r="C420" s="31"/>
      <c r="D420" s="31"/>
      <c r="E420" s="31"/>
      <c r="F420" s="31"/>
      <c r="G420" s="31"/>
    </row>
    <row r="421" ht="15.75" customHeight="1">
      <c r="A421" s="31"/>
      <c r="B421" s="31"/>
      <c r="C421" s="31"/>
      <c r="D421" s="31"/>
      <c r="E421" s="31"/>
      <c r="F421" s="31"/>
      <c r="G421" s="31"/>
    </row>
    <row r="422" ht="15.75" customHeight="1">
      <c r="A422" s="31"/>
      <c r="B422" s="31"/>
      <c r="C422" s="31"/>
      <c r="D422" s="31"/>
      <c r="E422" s="31"/>
      <c r="F422" s="31"/>
      <c r="G422" s="31"/>
    </row>
    <row r="423" ht="15.75" customHeight="1">
      <c r="A423" s="31"/>
      <c r="B423" s="31"/>
      <c r="C423" s="31"/>
      <c r="D423" s="31"/>
      <c r="E423" s="31"/>
      <c r="F423" s="31"/>
      <c r="G423" s="31"/>
    </row>
    <row r="424" ht="15.75" customHeight="1">
      <c r="A424" s="31"/>
      <c r="B424" s="31"/>
      <c r="C424" s="31"/>
      <c r="D424" s="31"/>
      <c r="E424" s="31"/>
      <c r="F424" s="31"/>
      <c r="G424" s="31"/>
    </row>
    <row r="425" ht="15.75" customHeight="1">
      <c r="A425" s="31"/>
      <c r="B425" s="31"/>
      <c r="C425" s="31"/>
      <c r="D425" s="31"/>
      <c r="E425" s="31"/>
      <c r="F425" s="31"/>
      <c r="G425" s="31"/>
    </row>
    <row r="426" ht="15.75" customHeight="1">
      <c r="A426" s="31"/>
      <c r="B426" s="31"/>
      <c r="C426" s="31"/>
      <c r="D426" s="31"/>
      <c r="E426" s="31"/>
      <c r="F426" s="31"/>
      <c r="G426" s="31"/>
    </row>
    <row r="427" ht="15.75" customHeight="1">
      <c r="A427" s="31"/>
      <c r="B427" s="31"/>
      <c r="C427" s="31"/>
      <c r="D427" s="31"/>
      <c r="E427" s="31"/>
      <c r="F427" s="31"/>
      <c r="G427" s="31"/>
    </row>
    <row r="428" ht="15.75" customHeight="1">
      <c r="A428" s="31"/>
      <c r="B428" s="31"/>
      <c r="C428" s="31"/>
      <c r="D428" s="31"/>
      <c r="E428" s="31"/>
      <c r="F428" s="31"/>
      <c r="G428" s="31"/>
    </row>
    <row r="429" ht="15.75" customHeight="1">
      <c r="A429" s="31"/>
      <c r="B429" s="31"/>
      <c r="C429" s="31"/>
      <c r="D429" s="31"/>
      <c r="E429" s="31"/>
      <c r="F429" s="31"/>
      <c r="G429" s="31"/>
    </row>
    <row r="430" ht="15.75" customHeight="1">
      <c r="A430" s="31"/>
      <c r="B430" s="31"/>
      <c r="C430" s="31"/>
      <c r="D430" s="31"/>
      <c r="E430" s="31"/>
      <c r="F430" s="31"/>
      <c r="G430" s="31"/>
    </row>
    <row r="431" ht="15.75" customHeight="1">
      <c r="A431" s="31"/>
      <c r="B431" s="31"/>
      <c r="C431" s="31"/>
      <c r="D431" s="31"/>
      <c r="E431" s="31"/>
      <c r="F431" s="31"/>
      <c r="G431" s="31"/>
    </row>
    <row r="432" ht="15.75" customHeight="1">
      <c r="A432" s="31"/>
      <c r="B432" s="31"/>
      <c r="C432" s="31"/>
      <c r="D432" s="31"/>
      <c r="E432" s="31"/>
      <c r="F432" s="31"/>
      <c r="G432" s="31"/>
    </row>
    <row r="433" ht="15.75" customHeight="1">
      <c r="A433" s="31"/>
      <c r="B433" s="31"/>
      <c r="C433" s="31"/>
      <c r="D433" s="31"/>
      <c r="E433" s="31"/>
      <c r="F433" s="31"/>
      <c r="G433" s="31"/>
    </row>
    <row r="434" ht="15.75" customHeight="1">
      <c r="A434" s="31"/>
      <c r="B434" s="31"/>
      <c r="C434" s="31"/>
      <c r="D434" s="31"/>
      <c r="E434" s="31"/>
      <c r="F434" s="31"/>
      <c r="G434" s="31"/>
    </row>
    <row r="435" ht="15.75" customHeight="1">
      <c r="A435" s="31"/>
      <c r="B435" s="31"/>
      <c r="C435" s="31"/>
      <c r="D435" s="31"/>
      <c r="E435" s="31"/>
      <c r="F435" s="31"/>
      <c r="G435" s="31"/>
    </row>
    <row r="436" ht="15.75" customHeight="1">
      <c r="A436" s="31"/>
      <c r="B436" s="31"/>
      <c r="C436" s="31"/>
      <c r="D436" s="31"/>
      <c r="E436" s="31"/>
      <c r="F436" s="31"/>
      <c r="G436" s="31"/>
    </row>
    <row r="437" ht="15.75" customHeight="1">
      <c r="A437" s="31"/>
      <c r="B437" s="31"/>
      <c r="C437" s="31"/>
      <c r="D437" s="31"/>
      <c r="E437" s="31"/>
      <c r="F437" s="31"/>
      <c r="G437" s="31"/>
    </row>
    <row r="438" ht="15.75" customHeight="1">
      <c r="A438" s="31"/>
      <c r="B438" s="31"/>
      <c r="C438" s="31"/>
      <c r="D438" s="31"/>
      <c r="E438" s="31"/>
      <c r="F438" s="31"/>
      <c r="G438" s="31"/>
    </row>
    <row r="439" ht="15.75" customHeight="1">
      <c r="A439" s="31"/>
      <c r="B439" s="31"/>
      <c r="C439" s="31"/>
      <c r="D439" s="31"/>
      <c r="E439" s="31"/>
      <c r="F439" s="31"/>
      <c r="G439" s="31"/>
    </row>
    <row r="440" ht="15.75" customHeight="1">
      <c r="A440" s="31"/>
      <c r="B440" s="31"/>
      <c r="C440" s="31"/>
      <c r="D440" s="31"/>
      <c r="E440" s="31"/>
      <c r="F440" s="31"/>
      <c r="G440" s="31"/>
    </row>
    <row r="441" ht="15.75" customHeight="1">
      <c r="A441" s="31"/>
      <c r="B441" s="31"/>
      <c r="C441" s="31"/>
      <c r="D441" s="31"/>
      <c r="E441" s="31"/>
      <c r="F441" s="31"/>
      <c r="G441" s="31"/>
    </row>
    <row r="442" ht="15.75" customHeight="1">
      <c r="A442" s="31"/>
      <c r="B442" s="31"/>
      <c r="C442" s="31"/>
      <c r="D442" s="31"/>
      <c r="E442" s="31"/>
      <c r="F442" s="31"/>
      <c r="G442" s="31"/>
    </row>
    <row r="443" ht="15.75" customHeight="1">
      <c r="A443" s="31"/>
      <c r="B443" s="31"/>
      <c r="C443" s="31"/>
      <c r="D443" s="31"/>
      <c r="E443" s="31"/>
      <c r="F443" s="31"/>
      <c r="G443" s="31"/>
    </row>
    <row r="444" ht="15.75" customHeight="1">
      <c r="A444" s="31"/>
      <c r="B444" s="31"/>
      <c r="C444" s="31"/>
      <c r="D444" s="31"/>
      <c r="E444" s="31"/>
      <c r="F444" s="31"/>
      <c r="G444" s="31"/>
    </row>
    <row r="445" ht="15.75" customHeight="1">
      <c r="A445" s="31"/>
      <c r="B445" s="31"/>
      <c r="C445" s="31"/>
      <c r="D445" s="31"/>
      <c r="E445" s="31"/>
      <c r="F445" s="31"/>
      <c r="G445" s="31"/>
    </row>
    <row r="446" ht="15.75" customHeight="1">
      <c r="A446" s="31"/>
      <c r="B446" s="31"/>
      <c r="C446" s="31"/>
      <c r="D446" s="31"/>
      <c r="E446" s="31"/>
      <c r="F446" s="31"/>
      <c r="G446" s="31"/>
    </row>
    <row r="447" ht="15.75" customHeight="1">
      <c r="A447" s="31"/>
      <c r="B447" s="31"/>
      <c r="C447" s="31"/>
      <c r="D447" s="31"/>
      <c r="E447" s="31"/>
      <c r="F447" s="31"/>
      <c r="G447" s="31"/>
    </row>
    <row r="448" ht="15.75" customHeight="1">
      <c r="A448" s="31"/>
      <c r="B448" s="31"/>
      <c r="C448" s="31"/>
      <c r="D448" s="31"/>
      <c r="E448" s="31"/>
      <c r="F448" s="31"/>
      <c r="G448" s="31"/>
    </row>
    <row r="449" ht="15.75" customHeight="1">
      <c r="A449" s="31"/>
      <c r="B449" s="31"/>
      <c r="C449" s="31"/>
      <c r="D449" s="31"/>
      <c r="E449" s="31"/>
      <c r="F449" s="31"/>
      <c r="G449" s="31"/>
    </row>
    <row r="450" ht="15.75" customHeight="1">
      <c r="A450" s="31"/>
      <c r="B450" s="31"/>
      <c r="C450" s="31"/>
      <c r="D450" s="31"/>
      <c r="E450" s="31"/>
      <c r="F450" s="31"/>
      <c r="G450" s="31"/>
    </row>
    <row r="451" ht="15.75" customHeight="1">
      <c r="A451" s="31"/>
      <c r="B451" s="31"/>
      <c r="C451" s="31"/>
      <c r="D451" s="31"/>
      <c r="E451" s="31"/>
      <c r="F451" s="31"/>
      <c r="G451" s="31"/>
    </row>
    <row r="452" ht="15.75" customHeight="1">
      <c r="A452" s="31"/>
      <c r="B452" s="31"/>
      <c r="C452" s="31"/>
      <c r="D452" s="31"/>
      <c r="E452" s="31"/>
      <c r="F452" s="31"/>
      <c r="G452" s="31"/>
    </row>
    <row r="453" ht="15.75" customHeight="1">
      <c r="A453" s="31"/>
      <c r="B453" s="31"/>
      <c r="C453" s="31"/>
      <c r="D453" s="31"/>
      <c r="E453" s="31"/>
      <c r="F453" s="31"/>
      <c r="G453" s="31"/>
    </row>
    <row r="454" ht="15.75" customHeight="1">
      <c r="A454" s="31"/>
      <c r="B454" s="31"/>
      <c r="C454" s="31"/>
      <c r="D454" s="31"/>
      <c r="E454" s="31"/>
      <c r="F454" s="31"/>
      <c r="G454" s="31"/>
    </row>
    <row r="455" ht="15.75" customHeight="1">
      <c r="A455" s="31"/>
      <c r="B455" s="31"/>
      <c r="C455" s="31"/>
      <c r="D455" s="31"/>
      <c r="E455" s="31"/>
      <c r="F455" s="31"/>
      <c r="G455" s="31"/>
    </row>
    <row r="456" ht="15.75" customHeight="1">
      <c r="A456" s="31"/>
      <c r="B456" s="31"/>
      <c r="C456" s="31"/>
      <c r="D456" s="31"/>
      <c r="E456" s="31"/>
      <c r="F456" s="31"/>
      <c r="G456" s="31"/>
    </row>
    <row r="457" ht="15.75" customHeight="1">
      <c r="A457" s="31"/>
      <c r="B457" s="31"/>
      <c r="C457" s="31"/>
      <c r="D457" s="31"/>
      <c r="E457" s="31"/>
      <c r="F457" s="31"/>
      <c r="G457" s="31"/>
    </row>
    <row r="458" ht="15.75" customHeight="1">
      <c r="A458" s="31"/>
      <c r="B458" s="31"/>
      <c r="C458" s="31"/>
      <c r="D458" s="31"/>
      <c r="E458" s="31"/>
      <c r="F458" s="31"/>
      <c r="G458" s="31"/>
    </row>
    <row r="459" ht="15.75" customHeight="1">
      <c r="A459" s="31"/>
      <c r="B459" s="31"/>
      <c r="C459" s="31"/>
      <c r="D459" s="31"/>
      <c r="E459" s="31"/>
      <c r="F459" s="31"/>
      <c r="G459" s="31"/>
    </row>
    <row r="460" ht="15.75" customHeight="1">
      <c r="A460" s="31"/>
      <c r="B460" s="31"/>
      <c r="C460" s="31"/>
      <c r="D460" s="31"/>
      <c r="E460" s="31"/>
      <c r="F460" s="31"/>
      <c r="G460" s="31"/>
    </row>
    <row r="461" ht="15.75" customHeight="1">
      <c r="A461" s="31"/>
      <c r="B461" s="31"/>
      <c r="C461" s="31"/>
      <c r="D461" s="31"/>
      <c r="E461" s="31"/>
      <c r="F461" s="31"/>
      <c r="G461" s="31"/>
    </row>
    <row r="462" ht="15.75" customHeight="1">
      <c r="A462" s="31"/>
      <c r="B462" s="31"/>
      <c r="C462" s="31"/>
      <c r="D462" s="31"/>
      <c r="E462" s="31"/>
      <c r="F462" s="31"/>
      <c r="G462" s="31"/>
    </row>
    <row r="463" ht="15.75" customHeight="1">
      <c r="A463" s="31"/>
      <c r="B463" s="31"/>
      <c r="C463" s="31"/>
      <c r="D463" s="31"/>
      <c r="E463" s="31"/>
      <c r="F463" s="31"/>
      <c r="G463" s="31"/>
    </row>
    <row r="464" ht="15.75" customHeight="1">
      <c r="A464" s="31"/>
      <c r="B464" s="31"/>
      <c r="C464" s="31"/>
      <c r="D464" s="31"/>
      <c r="E464" s="31"/>
      <c r="F464" s="31"/>
      <c r="G464" s="31"/>
    </row>
    <row r="465" ht="15.75" customHeight="1">
      <c r="A465" s="31"/>
      <c r="B465" s="31"/>
      <c r="C465" s="31"/>
      <c r="D465" s="31"/>
      <c r="E465" s="31"/>
      <c r="F465" s="31"/>
      <c r="G465" s="31"/>
    </row>
    <row r="466" ht="15.75" customHeight="1">
      <c r="A466" s="31"/>
      <c r="B466" s="31"/>
      <c r="C466" s="31"/>
      <c r="D466" s="31"/>
      <c r="E466" s="31"/>
      <c r="F466" s="31"/>
      <c r="G466" s="31"/>
    </row>
    <row r="467" ht="15.75" customHeight="1">
      <c r="A467" s="31"/>
      <c r="B467" s="31"/>
      <c r="C467" s="31"/>
      <c r="D467" s="31"/>
      <c r="E467" s="31"/>
      <c r="F467" s="31"/>
      <c r="G467" s="31"/>
    </row>
    <row r="468" ht="15.75" customHeight="1">
      <c r="A468" s="31"/>
      <c r="B468" s="31"/>
      <c r="C468" s="31"/>
      <c r="D468" s="31"/>
      <c r="E468" s="31"/>
      <c r="F468" s="31"/>
      <c r="G468" s="31"/>
    </row>
    <row r="469" ht="15.75" customHeight="1">
      <c r="A469" s="31"/>
      <c r="B469" s="31"/>
      <c r="C469" s="31"/>
      <c r="D469" s="31"/>
      <c r="E469" s="31"/>
      <c r="F469" s="31"/>
      <c r="G469" s="31"/>
    </row>
    <row r="470" ht="15.75" customHeight="1">
      <c r="A470" s="31"/>
      <c r="B470" s="31"/>
      <c r="C470" s="31"/>
      <c r="D470" s="31"/>
      <c r="E470" s="31"/>
      <c r="F470" s="31"/>
      <c r="G470" s="31"/>
    </row>
    <row r="471" ht="15.75" customHeight="1">
      <c r="A471" s="31"/>
      <c r="B471" s="31"/>
      <c r="C471" s="31"/>
      <c r="D471" s="31"/>
      <c r="E471" s="31"/>
      <c r="F471" s="31"/>
      <c r="G471" s="31"/>
    </row>
    <row r="472" ht="15.75" customHeight="1">
      <c r="A472" s="31"/>
      <c r="B472" s="31"/>
      <c r="C472" s="31"/>
      <c r="D472" s="31"/>
      <c r="E472" s="31"/>
      <c r="F472" s="31"/>
      <c r="G472" s="31"/>
    </row>
    <row r="473" ht="15.75" customHeight="1">
      <c r="A473" s="31"/>
      <c r="B473" s="31"/>
      <c r="C473" s="31"/>
      <c r="D473" s="31"/>
      <c r="E473" s="31"/>
      <c r="F473" s="31"/>
      <c r="G473" s="31"/>
    </row>
    <row r="474" ht="15.75" customHeight="1">
      <c r="A474" s="31"/>
      <c r="B474" s="31"/>
      <c r="C474" s="31"/>
      <c r="D474" s="31"/>
      <c r="E474" s="31"/>
      <c r="F474" s="31"/>
      <c r="G474" s="31"/>
    </row>
    <row r="475" ht="15.75" customHeight="1">
      <c r="A475" s="31"/>
      <c r="B475" s="31"/>
      <c r="C475" s="31"/>
      <c r="D475" s="31"/>
      <c r="E475" s="31"/>
      <c r="F475" s="31"/>
      <c r="G475" s="31"/>
    </row>
    <row r="476" ht="15.75" customHeight="1">
      <c r="A476" s="31"/>
      <c r="B476" s="31"/>
      <c r="C476" s="31"/>
      <c r="D476" s="31"/>
      <c r="E476" s="31"/>
      <c r="F476" s="31"/>
      <c r="G476" s="31"/>
    </row>
    <row r="477" ht="15.75" customHeight="1">
      <c r="A477" s="31"/>
      <c r="B477" s="31"/>
      <c r="C477" s="31"/>
      <c r="D477" s="31"/>
      <c r="E477" s="31"/>
      <c r="F477" s="31"/>
      <c r="G477" s="31"/>
    </row>
    <row r="478" ht="15.75" customHeight="1">
      <c r="A478" s="31"/>
      <c r="B478" s="31"/>
      <c r="C478" s="31"/>
      <c r="D478" s="31"/>
      <c r="E478" s="31"/>
      <c r="F478" s="31"/>
      <c r="G478" s="31"/>
    </row>
    <row r="479" ht="15.75" customHeight="1">
      <c r="A479" s="31"/>
      <c r="B479" s="31"/>
      <c r="C479" s="31"/>
      <c r="D479" s="31"/>
      <c r="E479" s="31"/>
      <c r="F479" s="31"/>
      <c r="G479" s="31"/>
    </row>
    <row r="480" ht="15.75" customHeight="1">
      <c r="A480" s="31"/>
      <c r="B480" s="31"/>
      <c r="C480" s="31"/>
      <c r="D480" s="31"/>
      <c r="E480" s="31"/>
      <c r="F480" s="31"/>
      <c r="G480" s="31"/>
    </row>
    <row r="481" ht="15.75" customHeight="1">
      <c r="A481" s="31"/>
      <c r="B481" s="31"/>
      <c r="C481" s="31"/>
      <c r="D481" s="31"/>
      <c r="E481" s="31"/>
      <c r="F481" s="31"/>
      <c r="G481" s="31"/>
    </row>
    <row r="482" ht="15.75" customHeight="1">
      <c r="A482" s="31"/>
      <c r="B482" s="31"/>
      <c r="C482" s="31"/>
      <c r="D482" s="31"/>
      <c r="E482" s="31"/>
      <c r="F482" s="31"/>
      <c r="G482" s="31"/>
    </row>
    <row r="483" ht="15.75" customHeight="1">
      <c r="A483" s="31"/>
      <c r="B483" s="31"/>
      <c r="C483" s="31"/>
      <c r="D483" s="31"/>
      <c r="E483" s="31"/>
      <c r="F483" s="31"/>
      <c r="G483" s="31"/>
    </row>
    <row r="484" ht="15.75" customHeight="1">
      <c r="A484" s="31"/>
      <c r="B484" s="31"/>
      <c r="C484" s="31"/>
      <c r="D484" s="31"/>
      <c r="E484" s="31"/>
      <c r="F484" s="31"/>
      <c r="G484" s="31"/>
    </row>
    <row r="485" ht="15.75" customHeight="1">
      <c r="A485" s="31"/>
      <c r="B485" s="31"/>
      <c r="C485" s="31"/>
      <c r="D485" s="31"/>
      <c r="E485" s="31"/>
      <c r="F485" s="31"/>
      <c r="G485" s="31"/>
    </row>
    <row r="486" ht="15.75" customHeight="1">
      <c r="A486" s="31"/>
      <c r="B486" s="31"/>
      <c r="C486" s="31"/>
      <c r="D486" s="31"/>
      <c r="E486" s="31"/>
      <c r="F486" s="31"/>
      <c r="G486" s="31"/>
    </row>
    <row r="487" ht="15.75" customHeight="1">
      <c r="A487" s="31"/>
      <c r="B487" s="31"/>
      <c r="C487" s="31"/>
      <c r="D487" s="31"/>
      <c r="E487" s="31"/>
      <c r="F487" s="31"/>
      <c r="G487" s="31"/>
    </row>
    <row r="488" ht="15.75" customHeight="1">
      <c r="A488" s="31"/>
      <c r="B488" s="31"/>
      <c r="C488" s="31"/>
      <c r="D488" s="31"/>
      <c r="E488" s="31"/>
      <c r="F488" s="31"/>
      <c r="G488" s="31"/>
    </row>
    <row r="489" ht="15.75" customHeight="1">
      <c r="A489" s="31"/>
      <c r="B489" s="31"/>
      <c r="C489" s="31"/>
      <c r="D489" s="31"/>
      <c r="E489" s="31"/>
      <c r="F489" s="31"/>
      <c r="G489" s="31"/>
    </row>
    <row r="490" ht="15.75" customHeight="1">
      <c r="A490" s="31"/>
      <c r="B490" s="31"/>
      <c r="C490" s="31"/>
      <c r="D490" s="31"/>
      <c r="E490" s="31"/>
      <c r="F490" s="31"/>
      <c r="G490" s="31"/>
    </row>
    <row r="491" ht="15.75" customHeight="1">
      <c r="A491" s="31"/>
      <c r="B491" s="31"/>
      <c r="C491" s="31"/>
      <c r="D491" s="31"/>
      <c r="E491" s="31"/>
      <c r="F491" s="31"/>
      <c r="G491" s="31"/>
    </row>
    <row r="492" ht="15.75" customHeight="1">
      <c r="A492" s="31"/>
      <c r="B492" s="31"/>
      <c r="C492" s="31"/>
      <c r="D492" s="31"/>
      <c r="E492" s="31"/>
      <c r="F492" s="31"/>
      <c r="G492" s="31"/>
    </row>
    <row r="493" ht="15.75" customHeight="1">
      <c r="A493" s="31"/>
      <c r="B493" s="31"/>
      <c r="C493" s="31"/>
      <c r="D493" s="31"/>
      <c r="E493" s="31"/>
      <c r="F493" s="31"/>
      <c r="G493" s="31"/>
    </row>
    <row r="494" ht="15.75" customHeight="1">
      <c r="A494" s="31"/>
      <c r="B494" s="31"/>
      <c r="C494" s="31"/>
      <c r="D494" s="31"/>
      <c r="E494" s="31"/>
      <c r="F494" s="31"/>
      <c r="G494" s="31"/>
    </row>
    <row r="495" ht="15.75" customHeight="1">
      <c r="A495" s="31"/>
      <c r="B495" s="31"/>
      <c r="C495" s="31"/>
      <c r="D495" s="31"/>
      <c r="E495" s="31"/>
      <c r="F495" s="31"/>
      <c r="G495" s="31"/>
    </row>
    <row r="496" ht="15.75" customHeight="1">
      <c r="A496" s="31"/>
      <c r="B496" s="31"/>
      <c r="C496" s="31"/>
      <c r="D496" s="31"/>
      <c r="E496" s="31"/>
      <c r="F496" s="31"/>
      <c r="G496" s="31"/>
    </row>
    <row r="497" ht="15.75" customHeight="1">
      <c r="A497" s="31"/>
      <c r="B497" s="31"/>
      <c r="C497" s="31"/>
      <c r="D497" s="31"/>
      <c r="E497" s="31"/>
      <c r="F497" s="31"/>
      <c r="G497" s="31"/>
    </row>
    <row r="498" ht="15.75" customHeight="1">
      <c r="A498" s="31"/>
      <c r="B498" s="31"/>
      <c r="C498" s="31"/>
      <c r="D498" s="31"/>
      <c r="E498" s="31"/>
      <c r="F498" s="31"/>
      <c r="G498" s="31"/>
    </row>
    <row r="499" ht="15.75" customHeight="1">
      <c r="A499" s="31"/>
      <c r="B499" s="31"/>
      <c r="C499" s="31"/>
      <c r="D499" s="31"/>
      <c r="E499" s="31"/>
      <c r="F499" s="31"/>
      <c r="G499" s="31"/>
    </row>
    <row r="500" ht="15.75" customHeight="1">
      <c r="A500" s="31"/>
      <c r="B500" s="31"/>
      <c r="C500" s="31"/>
      <c r="D500" s="31"/>
      <c r="E500" s="31"/>
      <c r="F500" s="31"/>
      <c r="G500" s="31"/>
    </row>
    <row r="501" ht="15.75" customHeight="1">
      <c r="A501" s="31"/>
      <c r="B501" s="31"/>
      <c r="C501" s="31"/>
      <c r="D501" s="31"/>
      <c r="E501" s="31"/>
      <c r="F501" s="31"/>
      <c r="G501" s="31"/>
    </row>
    <row r="502" ht="15.75" customHeight="1">
      <c r="A502" s="31"/>
      <c r="B502" s="31"/>
      <c r="C502" s="31"/>
      <c r="D502" s="31"/>
      <c r="E502" s="31"/>
      <c r="F502" s="31"/>
      <c r="G502" s="31"/>
    </row>
    <row r="503" ht="15.75" customHeight="1">
      <c r="A503" s="31"/>
      <c r="B503" s="31"/>
      <c r="C503" s="31"/>
      <c r="D503" s="31"/>
      <c r="E503" s="31"/>
      <c r="F503" s="31"/>
      <c r="G503" s="31"/>
    </row>
    <row r="504" ht="15.75" customHeight="1">
      <c r="A504" s="31"/>
      <c r="B504" s="31"/>
      <c r="C504" s="31"/>
      <c r="D504" s="31"/>
      <c r="E504" s="31"/>
      <c r="F504" s="31"/>
      <c r="G504" s="31"/>
    </row>
    <row r="505" ht="15.75" customHeight="1">
      <c r="A505" s="31"/>
      <c r="B505" s="31"/>
      <c r="C505" s="31"/>
      <c r="D505" s="31"/>
      <c r="E505" s="31"/>
      <c r="F505" s="31"/>
      <c r="G505" s="31"/>
    </row>
    <row r="506" ht="15.75" customHeight="1">
      <c r="A506" s="31"/>
      <c r="B506" s="31"/>
      <c r="C506" s="31"/>
      <c r="D506" s="31"/>
      <c r="E506" s="31"/>
      <c r="F506" s="31"/>
      <c r="G506" s="31"/>
    </row>
    <row r="507" ht="15.75" customHeight="1">
      <c r="A507" s="31"/>
      <c r="B507" s="31"/>
      <c r="C507" s="31"/>
      <c r="D507" s="31"/>
      <c r="E507" s="31"/>
      <c r="F507" s="31"/>
      <c r="G507" s="31"/>
    </row>
    <row r="508" ht="15.75" customHeight="1">
      <c r="A508" s="31"/>
      <c r="B508" s="31"/>
      <c r="C508" s="31"/>
      <c r="D508" s="31"/>
      <c r="E508" s="31"/>
      <c r="F508" s="31"/>
      <c r="G508" s="31"/>
    </row>
    <row r="509" ht="15.75" customHeight="1">
      <c r="A509" s="31"/>
      <c r="B509" s="31"/>
      <c r="C509" s="31"/>
      <c r="D509" s="31"/>
      <c r="E509" s="31"/>
      <c r="F509" s="31"/>
      <c r="G509" s="31"/>
    </row>
    <row r="510" ht="15.75" customHeight="1">
      <c r="A510" s="31"/>
      <c r="B510" s="31"/>
      <c r="C510" s="31"/>
      <c r="D510" s="31"/>
      <c r="E510" s="31"/>
      <c r="F510" s="31"/>
      <c r="G510" s="31"/>
    </row>
    <row r="511" ht="15.75" customHeight="1">
      <c r="A511" s="31"/>
      <c r="B511" s="31"/>
      <c r="C511" s="31"/>
      <c r="D511" s="31"/>
      <c r="E511" s="31"/>
      <c r="F511" s="31"/>
      <c r="G511" s="31"/>
    </row>
    <row r="512" ht="15.75" customHeight="1">
      <c r="A512" s="31"/>
      <c r="B512" s="31"/>
      <c r="C512" s="31"/>
      <c r="D512" s="31"/>
      <c r="E512" s="31"/>
      <c r="F512" s="31"/>
      <c r="G512" s="31"/>
    </row>
    <row r="513" ht="15.75" customHeight="1">
      <c r="A513" s="31"/>
      <c r="B513" s="31"/>
      <c r="C513" s="31"/>
      <c r="D513" s="31"/>
      <c r="E513" s="31"/>
      <c r="F513" s="31"/>
      <c r="G513" s="31"/>
    </row>
    <row r="514" ht="15.75" customHeight="1">
      <c r="A514" s="31"/>
      <c r="B514" s="31"/>
      <c r="C514" s="31"/>
      <c r="D514" s="31"/>
      <c r="E514" s="31"/>
      <c r="F514" s="31"/>
      <c r="G514" s="31"/>
    </row>
    <row r="515" ht="15.75" customHeight="1">
      <c r="A515" s="31"/>
      <c r="B515" s="31"/>
      <c r="C515" s="31"/>
      <c r="D515" s="31"/>
      <c r="E515" s="31"/>
      <c r="F515" s="31"/>
      <c r="G515" s="31"/>
    </row>
    <row r="516" ht="15.75" customHeight="1">
      <c r="A516" s="31"/>
      <c r="B516" s="31"/>
      <c r="C516" s="31"/>
      <c r="D516" s="31"/>
      <c r="E516" s="31"/>
      <c r="F516" s="31"/>
      <c r="G516" s="31"/>
    </row>
    <row r="517" ht="15.75" customHeight="1">
      <c r="A517" s="31"/>
      <c r="B517" s="31"/>
      <c r="C517" s="31"/>
      <c r="D517" s="31"/>
      <c r="E517" s="31"/>
      <c r="F517" s="31"/>
      <c r="G517" s="31"/>
    </row>
    <row r="518" ht="15.75" customHeight="1">
      <c r="A518" s="31"/>
      <c r="B518" s="31"/>
      <c r="C518" s="31"/>
      <c r="D518" s="31"/>
      <c r="E518" s="31"/>
      <c r="F518" s="31"/>
      <c r="G518" s="31"/>
    </row>
    <row r="519" ht="15.75" customHeight="1">
      <c r="A519" s="31"/>
      <c r="B519" s="31"/>
      <c r="C519" s="31"/>
      <c r="D519" s="31"/>
      <c r="E519" s="31"/>
      <c r="F519" s="31"/>
      <c r="G519" s="31"/>
    </row>
    <row r="520" ht="15.75" customHeight="1">
      <c r="A520" s="31"/>
      <c r="B520" s="31"/>
      <c r="C520" s="31"/>
      <c r="D520" s="31"/>
      <c r="E520" s="31"/>
      <c r="F520" s="31"/>
      <c r="G520" s="31"/>
    </row>
    <row r="521" ht="15.75" customHeight="1">
      <c r="A521" s="31"/>
      <c r="B521" s="31"/>
      <c r="C521" s="31"/>
      <c r="D521" s="31"/>
      <c r="E521" s="31"/>
      <c r="F521" s="31"/>
      <c r="G521" s="31"/>
    </row>
    <row r="522" ht="15.75" customHeight="1">
      <c r="A522" s="31"/>
      <c r="B522" s="31"/>
      <c r="C522" s="31"/>
      <c r="D522" s="31"/>
      <c r="E522" s="31"/>
      <c r="F522" s="31"/>
      <c r="G522" s="31"/>
    </row>
    <row r="523" ht="15.75" customHeight="1">
      <c r="A523" s="31"/>
      <c r="B523" s="31"/>
      <c r="C523" s="31"/>
      <c r="D523" s="31"/>
      <c r="E523" s="31"/>
      <c r="F523" s="31"/>
      <c r="G523" s="31"/>
    </row>
    <row r="524" ht="15.75" customHeight="1">
      <c r="A524" s="31"/>
      <c r="B524" s="31"/>
      <c r="C524" s="31"/>
      <c r="D524" s="31"/>
      <c r="E524" s="31"/>
      <c r="F524" s="31"/>
      <c r="G524" s="31"/>
    </row>
    <row r="525" ht="15.75" customHeight="1">
      <c r="A525" s="31"/>
      <c r="B525" s="31"/>
      <c r="C525" s="31"/>
      <c r="D525" s="31"/>
      <c r="E525" s="31"/>
      <c r="F525" s="31"/>
      <c r="G525" s="31"/>
    </row>
    <row r="526" ht="15.75" customHeight="1">
      <c r="A526" s="31"/>
      <c r="B526" s="31"/>
      <c r="C526" s="31"/>
      <c r="D526" s="31"/>
      <c r="E526" s="31"/>
      <c r="F526" s="31"/>
      <c r="G526" s="31"/>
    </row>
    <row r="527" ht="15.75" customHeight="1">
      <c r="A527" s="31"/>
      <c r="B527" s="31"/>
      <c r="C527" s="31"/>
      <c r="D527" s="31"/>
      <c r="E527" s="31"/>
      <c r="F527" s="31"/>
      <c r="G527" s="31"/>
    </row>
    <row r="528" ht="15.75" customHeight="1">
      <c r="A528" s="31"/>
      <c r="B528" s="31"/>
      <c r="C528" s="31"/>
      <c r="D528" s="31"/>
      <c r="E528" s="31"/>
      <c r="F528" s="31"/>
      <c r="G528" s="31"/>
    </row>
    <row r="529" ht="15.75" customHeight="1">
      <c r="A529" s="31"/>
      <c r="B529" s="31"/>
      <c r="C529" s="31"/>
      <c r="D529" s="31"/>
      <c r="E529" s="31"/>
      <c r="F529" s="31"/>
      <c r="G529" s="31"/>
    </row>
    <row r="530" ht="15.75" customHeight="1">
      <c r="A530" s="31"/>
      <c r="B530" s="31"/>
      <c r="C530" s="31"/>
      <c r="D530" s="31"/>
      <c r="E530" s="31"/>
      <c r="F530" s="31"/>
      <c r="G530" s="31"/>
    </row>
    <row r="531" ht="15.75" customHeight="1">
      <c r="A531" s="31"/>
      <c r="B531" s="31"/>
      <c r="C531" s="31"/>
      <c r="D531" s="31"/>
      <c r="E531" s="31"/>
      <c r="F531" s="31"/>
      <c r="G531" s="31"/>
    </row>
    <row r="532" ht="15.75" customHeight="1">
      <c r="A532" s="31"/>
      <c r="B532" s="31"/>
      <c r="C532" s="31"/>
      <c r="D532" s="31"/>
      <c r="E532" s="31"/>
      <c r="F532" s="31"/>
      <c r="G532" s="31"/>
    </row>
    <row r="533" ht="15.75" customHeight="1">
      <c r="A533" s="31"/>
      <c r="B533" s="31"/>
      <c r="C533" s="31"/>
      <c r="D533" s="31"/>
      <c r="E533" s="31"/>
      <c r="F533" s="31"/>
      <c r="G533" s="31"/>
    </row>
    <row r="534" ht="15.75" customHeight="1">
      <c r="A534" s="31"/>
      <c r="B534" s="31"/>
      <c r="C534" s="31"/>
      <c r="D534" s="31"/>
      <c r="E534" s="31"/>
      <c r="F534" s="31"/>
      <c r="G534" s="31"/>
    </row>
    <row r="535" ht="15.75" customHeight="1">
      <c r="A535" s="31"/>
      <c r="B535" s="31"/>
      <c r="C535" s="31"/>
      <c r="D535" s="31"/>
      <c r="E535" s="31"/>
      <c r="F535" s="31"/>
      <c r="G535" s="31"/>
    </row>
    <row r="536" ht="15.75" customHeight="1">
      <c r="A536" s="31"/>
      <c r="B536" s="31"/>
      <c r="C536" s="31"/>
      <c r="D536" s="31"/>
      <c r="E536" s="31"/>
      <c r="F536" s="31"/>
      <c r="G536" s="31"/>
    </row>
    <row r="537" ht="15.75" customHeight="1">
      <c r="A537" s="31"/>
      <c r="B537" s="31"/>
      <c r="C537" s="31"/>
      <c r="D537" s="31"/>
      <c r="E537" s="31"/>
      <c r="F537" s="31"/>
      <c r="G537" s="31"/>
    </row>
    <row r="538" ht="15.75" customHeight="1">
      <c r="A538" s="31"/>
      <c r="B538" s="31"/>
      <c r="C538" s="31"/>
      <c r="D538" s="31"/>
      <c r="E538" s="31"/>
      <c r="F538" s="31"/>
      <c r="G538" s="31"/>
    </row>
    <row r="539" ht="15.75" customHeight="1">
      <c r="A539" s="31"/>
      <c r="B539" s="31"/>
      <c r="C539" s="31"/>
      <c r="D539" s="31"/>
      <c r="E539" s="31"/>
      <c r="F539" s="31"/>
      <c r="G539" s="31"/>
    </row>
    <row r="540" ht="15.75" customHeight="1">
      <c r="A540" s="31"/>
      <c r="B540" s="31"/>
      <c r="C540" s="31"/>
      <c r="D540" s="31"/>
      <c r="E540" s="31"/>
      <c r="F540" s="31"/>
      <c r="G540" s="31"/>
    </row>
    <row r="541" ht="15.75" customHeight="1">
      <c r="A541" s="31"/>
      <c r="B541" s="31"/>
      <c r="C541" s="31"/>
      <c r="D541" s="31"/>
      <c r="E541" s="31"/>
      <c r="F541" s="31"/>
      <c r="G541" s="31"/>
    </row>
    <row r="542" ht="15.75" customHeight="1">
      <c r="A542" s="31"/>
      <c r="B542" s="31"/>
      <c r="C542" s="31"/>
      <c r="D542" s="31"/>
      <c r="E542" s="31"/>
      <c r="F542" s="31"/>
      <c r="G542" s="31"/>
    </row>
    <row r="543" ht="15.75" customHeight="1">
      <c r="A543" s="31"/>
      <c r="B543" s="31"/>
      <c r="C543" s="31"/>
      <c r="D543" s="31"/>
      <c r="E543" s="31"/>
      <c r="F543" s="31"/>
      <c r="G543" s="31"/>
    </row>
    <row r="544" ht="15.75" customHeight="1">
      <c r="A544" s="31"/>
      <c r="B544" s="31"/>
      <c r="C544" s="31"/>
      <c r="D544" s="31"/>
      <c r="E544" s="31"/>
      <c r="F544" s="31"/>
      <c r="G544" s="31"/>
    </row>
    <row r="545" ht="15.75" customHeight="1">
      <c r="A545" s="31"/>
      <c r="B545" s="31"/>
      <c r="C545" s="31"/>
      <c r="D545" s="31"/>
      <c r="E545" s="31"/>
      <c r="F545" s="31"/>
      <c r="G545" s="31"/>
    </row>
    <row r="546" ht="15.75" customHeight="1">
      <c r="A546" s="31"/>
      <c r="B546" s="31"/>
      <c r="C546" s="31"/>
      <c r="D546" s="31"/>
      <c r="E546" s="31"/>
      <c r="F546" s="31"/>
      <c r="G546" s="31"/>
    </row>
    <row r="547" ht="15.75" customHeight="1">
      <c r="A547" s="31"/>
      <c r="B547" s="31"/>
      <c r="C547" s="31"/>
      <c r="D547" s="31"/>
      <c r="E547" s="31"/>
      <c r="F547" s="31"/>
      <c r="G547" s="31"/>
    </row>
    <row r="548" ht="15.75" customHeight="1">
      <c r="A548" s="31"/>
      <c r="B548" s="31"/>
      <c r="C548" s="31"/>
      <c r="D548" s="31"/>
      <c r="E548" s="31"/>
      <c r="F548" s="31"/>
      <c r="G548" s="31"/>
    </row>
    <row r="549" ht="15.75" customHeight="1">
      <c r="A549" s="31"/>
      <c r="B549" s="31"/>
      <c r="C549" s="31"/>
      <c r="D549" s="31"/>
      <c r="E549" s="31"/>
      <c r="F549" s="31"/>
      <c r="G549" s="31"/>
    </row>
    <row r="550" ht="15.75" customHeight="1">
      <c r="A550" s="31"/>
      <c r="B550" s="31"/>
      <c r="C550" s="31"/>
      <c r="D550" s="31"/>
      <c r="E550" s="31"/>
      <c r="F550" s="31"/>
      <c r="G550" s="31"/>
    </row>
    <row r="551" ht="15.75" customHeight="1">
      <c r="A551" s="31"/>
      <c r="B551" s="31"/>
      <c r="C551" s="31"/>
      <c r="D551" s="31"/>
      <c r="E551" s="31"/>
      <c r="F551" s="31"/>
      <c r="G551" s="31"/>
    </row>
    <row r="552" ht="15.75" customHeight="1">
      <c r="A552" s="31"/>
      <c r="B552" s="31"/>
      <c r="C552" s="31"/>
      <c r="D552" s="31"/>
      <c r="E552" s="31"/>
      <c r="F552" s="31"/>
      <c r="G552" s="31"/>
    </row>
    <row r="553" ht="15.75" customHeight="1">
      <c r="A553" s="31"/>
      <c r="B553" s="31"/>
      <c r="C553" s="31"/>
      <c r="D553" s="31"/>
      <c r="E553" s="31"/>
      <c r="F553" s="31"/>
      <c r="G553" s="31"/>
    </row>
    <row r="554" ht="15.75" customHeight="1">
      <c r="A554" s="31"/>
      <c r="B554" s="31"/>
      <c r="C554" s="31"/>
      <c r="D554" s="31"/>
      <c r="E554" s="31"/>
      <c r="F554" s="31"/>
      <c r="G554" s="31"/>
    </row>
    <row r="555" ht="15.75" customHeight="1">
      <c r="A555" s="31"/>
      <c r="B555" s="31"/>
      <c r="C555" s="31"/>
      <c r="D555" s="31"/>
      <c r="E555" s="31"/>
      <c r="F555" s="31"/>
      <c r="G555" s="31"/>
    </row>
    <row r="556" ht="15.75" customHeight="1">
      <c r="A556" s="31"/>
      <c r="B556" s="31"/>
      <c r="C556" s="31"/>
      <c r="D556" s="31"/>
      <c r="E556" s="31"/>
      <c r="F556" s="31"/>
      <c r="G556" s="31"/>
    </row>
    <row r="557" ht="15.75" customHeight="1">
      <c r="A557" s="31"/>
      <c r="B557" s="31"/>
      <c r="C557" s="31"/>
      <c r="D557" s="31"/>
      <c r="E557" s="31"/>
      <c r="F557" s="31"/>
      <c r="G557" s="31"/>
    </row>
    <row r="558" ht="15.75" customHeight="1">
      <c r="A558" s="31"/>
      <c r="B558" s="31"/>
      <c r="C558" s="31"/>
      <c r="D558" s="31"/>
      <c r="E558" s="31"/>
      <c r="F558" s="31"/>
      <c r="G558" s="31"/>
    </row>
    <row r="559" ht="15.75" customHeight="1">
      <c r="A559" s="31"/>
      <c r="B559" s="31"/>
      <c r="C559" s="31"/>
      <c r="D559" s="31"/>
      <c r="E559" s="31"/>
      <c r="F559" s="31"/>
      <c r="G559" s="31"/>
    </row>
    <row r="560" ht="15.75" customHeight="1">
      <c r="A560" s="31"/>
      <c r="B560" s="31"/>
      <c r="C560" s="31"/>
      <c r="D560" s="31"/>
      <c r="E560" s="31"/>
      <c r="F560" s="31"/>
      <c r="G560" s="31"/>
    </row>
    <row r="561" ht="15.75" customHeight="1">
      <c r="A561" s="31"/>
      <c r="B561" s="31"/>
      <c r="C561" s="31"/>
      <c r="D561" s="31"/>
      <c r="E561" s="31"/>
      <c r="F561" s="31"/>
      <c r="G561" s="31"/>
    </row>
    <row r="562" ht="15.75" customHeight="1">
      <c r="A562" s="31"/>
      <c r="B562" s="31"/>
      <c r="C562" s="31"/>
      <c r="D562" s="31"/>
      <c r="E562" s="31"/>
      <c r="F562" s="31"/>
      <c r="G562" s="31"/>
    </row>
    <row r="563" ht="15.75" customHeight="1">
      <c r="A563" s="31"/>
      <c r="B563" s="31"/>
      <c r="C563" s="31"/>
      <c r="D563" s="31"/>
      <c r="E563" s="31"/>
      <c r="F563" s="31"/>
      <c r="G563" s="31"/>
    </row>
    <row r="564" ht="15.75" customHeight="1">
      <c r="A564" s="31"/>
      <c r="B564" s="31"/>
      <c r="C564" s="31"/>
      <c r="D564" s="31"/>
      <c r="E564" s="31"/>
      <c r="F564" s="31"/>
      <c r="G564" s="31"/>
    </row>
    <row r="565" ht="15.75" customHeight="1">
      <c r="A565" s="31"/>
      <c r="B565" s="31"/>
      <c r="C565" s="31"/>
      <c r="D565" s="31"/>
      <c r="E565" s="31"/>
      <c r="F565" s="31"/>
      <c r="G565" s="31"/>
    </row>
    <row r="566" ht="15.75" customHeight="1">
      <c r="A566" s="31"/>
      <c r="B566" s="31"/>
      <c r="C566" s="31"/>
      <c r="D566" s="31"/>
      <c r="E566" s="31"/>
      <c r="F566" s="31"/>
      <c r="G566" s="31"/>
    </row>
    <row r="567" ht="15.75" customHeight="1">
      <c r="A567" s="31"/>
      <c r="B567" s="31"/>
      <c r="C567" s="31"/>
      <c r="D567" s="31"/>
      <c r="E567" s="31"/>
      <c r="F567" s="31"/>
      <c r="G567" s="31"/>
    </row>
    <row r="568" ht="15.75" customHeight="1">
      <c r="A568" s="31"/>
      <c r="B568" s="31"/>
      <c r="C568" s="31"/>
      <c r="D568" s="31"/>
      <c r="E568" s="31"/>
      <c r="F568" s="31"/>
      <c r="G568" s="31"/>
    </row>
    <row r="569" ht="15.75" customHeight="1">
      <c r="A569" s="31"/>
      <c r="B569" s="31"/>
      <c r="C569" s="31"/>
      <c r="D569" s="31"/>
      <c r="E569" s="31"/>
      <c r="F569" s="31"/>
      <c r="G569" s="31"/>
    </row>
    <row r="570" ht="15.75" customHeight="1">
      <c r="A570" s="31"/>
      <c r="B570" s="31"/>
      <c r="C570" s="31"/>
      <c r="D570" s="31"/>
      <c r="E570" s="31"/>
      <c r="F570" s="31"/>
      <c r="G570" s="31"/>
    </row>
    <row r="571" ht="15.75" customHeight="1">
      <c r="A571" s="31"/>
      <c r="B571" s="31"/>
      <c r="C571" s="31"/>
      <c r="D571" s="31"/>
      <c r="E571" s="31"/>
      <c r="F571" s="31"/>
      <c r="G571" s="31"/>
    </row>
    <row r="572" ht="15.75" customHeight="1">
      <c r="A572" s="31"/>
      <c r="B572" s="31"/>
      <c r="C572" s="31"/>
      <c r="D572" s="31"/>
      <c r="E572" s="31"/>
      <c r="F572" s="31"/>
      <c r="G572" s="31"/>
    </row>
    <row r="573" ht="15.75" customHeight="1">
      <c r="A573" s="31"/>
      <c r="B573" s="31"/>
      <c r="C573" s="31"/>
      <c r="D573" s="31"/>
      <c r="E573" s="31"/>
      <c r="F573" s="31"/>
      <c r="G573" s="31"/>
    </row>
    <row r="574" ht="15.75" customHeight="1">
      <c r="A574" s="31"/>
      <c r="B574" s="31"/>
      <c r="C574" s="31"/>
      <c r="D574" s="31"/>
      <c r="E574" s="31"/>
      <c r="F574" s="31"/>
      <c r="G574" s="31"/>
    </row>
    <row r="575" ht="15.75" customHeight="1">
      <c r="A575" s="31"/>
      <c r="B575" s="31"/>
      <c r="C575" s="31"/>
      <c r="D575" s="31"/>
      <c r="E575" s="31"/>
      <c r="F575" s="31"/>
      <c r="G575" s="31"/>
    </row>
    <row r="576" ht="15.75" customHeight="1">
      <c r="A576" s="31"/>
      <c r="B576" s="31"/>
      <c r="C576" s="31"/>
      <c r="D576" s="31"/>
      <c r="E576" s="31"/>
      <c r="F576" s="31"/>
      <c r="G576" s="31"/>
    </row>
    <row r="577" ht="15.75" customHeight="1">
      <c r="A577" s="31"/>
      <c r="B577" s="31"/>
      <c r="C577" s="31"/>
      <c r="D577" s="31"/>
      <c r="E577" s="31"/>
      <c r="F577" s="31"/>
      <c r="G577" s="31"/>
    </row>
    <row r="578" ht="15.75" customHeight="1">
      <c r="A578" s="31"/>
      <c r="B578" s="31"/>
      <c r="C578" s="31"/>
      <c r="D578" s="31"/>
      <c r="E578" s="31"/>
      <c r="F578" s="31"/>
      <c r="G578" s="31"/>
    </row>
    <row r="579" ht="15.75" customHeight="1">
      <c r="A579" s="31"/>
      <c r="B579" s="31"/>
      <c r="C579" s="31"/>
      <c r="D579" s="31"/>
      <c r="E579" s="31"/>
      <c r="F579" s="31"/>
      <c r="G579" s="31"/>
    </row>
    <row r="580" ht="15.75" customHeight="1">
      <c r="A580" s="31"/>
      <c r="B580" s="31"/>
      <c r="C580" s="31"/>
      <c r="D580" s="31"/>
      <c r="E580" s="31"/>
      <c r="F580" s="31"/>
      <c r="G580" s="31"/>
    </row>
    <row r="581" ht="15.75" customHeight="1">
      <c r="A581" s="31"/>
      <c r="B581" s="31"/>
      <c r="C581" s="31"/>
      <c r="D581" s="31"/>
      <c r="E581" s="31"/>
      <c r="F581" s="31"/>
      <c r="G581" s="31"/>
    </row>
    <row r="582" ht="15.75" customHeight="1">
      <c r="A582" s="31"/>
      <c r="B582" s="31"/>
      <c r="C582" s="31"/>
      <c r="D582" s="31"/>
      <c r="E582" s="31"/>
      <c r="F582" s="31"/>
      <c r="G582" s="31"/>
    </row>
    <row r="583" ht="15.75" customHeight="1">
      <c r="A583" s="31"/>
      <c r="B583" s="31"/>
      <c r="C583" s="31"/>
      <c r="D583" s="31"/>
      <c r="E583" s="31"/>
      <c r="F583" s="31"/>
      <c r="G583" s="31"/>
    </row>
    <row r="584" ht="15.75" customHeight="1">
      <c r="A584" s="31"/>
      <c r="B584" s="31"/>
      <c r="C584" s="31"/>
      <c r="D584" s="31"/>
      <c r="E584" s="31"/>
      <c r="F584" s="31"/>
      <c r="G584" s="31"/>
    </row>
    <row r="585" ht="15.75" customHeight="1">
      <c r="A585" s="31"/>
      <c r="B585" s="31"/>
      <c r="C585" s="31"/>
      <c r="D585" s="31"/>
      <c r="E585" s="31"/>
      <c r="F585" s="31"/>
      <c r="G585" s="31"/>
    </row>
    <row r="586" ht="15.75" customHeight="1">
      <c r="A586" s="31"/>
      <c r="B586" s="31"/>
      <c r="C586" s="31"/>
      <c r="D586" s="31"/>
      <c r="E586" s="31"/>
      <c r="F586" s="31"/>
      <c r="G586" s="31"/>
    </row>
    <row r="587" ht="15.75" customHeight="1">
      <c r="A587" s="31"/>
      <c r="B587" s="31"/>
      <c r="C587" s="31"/>
      <c r="D587" s="31"/>
      <c r="E587" s="31"/>
      <c r="F587" s="31"/>
      <c r="G587" s="31"/>
    </row>
    <row r="588" ht="15.75" customHeight="1">
      <c r="A588" s="31"/>
      <c r="B588" s="31"/>
      <c r="C588" s="31"/>
      <c r="D588" s="31"/>
      <c r="E588" s="31"/>
      <c r="F588" s="31"/>
      <c r="G588" s="31"/>
    </row>
    <row r="589" ht="15.75" customHeight="1">
      <c r="A589" s="31"/>
      <c r="B589" s="31"/>
      <c r="C589" s="31"/>
      <c r="D589" s="31"/>
      <c r="E589" s="31"/>
      <c r="F589" s="31"/>
      <c r="G589" s="31"/>
    </row>
    <row r="590" ht="15.75" customHeight="1">
      <c r="A590" s="31"/>
      <c r="B590" s="31"/>
      <c r="C590" s="31"/>
      <c r="D590" s="31"/>
      <c r="E590" s="31"/>
      <c r="F590" s="31"/>
      <c r="G590" s="31"/>
    </row>
    <row r="591" ht="15.75" customHeight="1">
      <c r="A591" s="31"/>
      <c r="B591" s="31"/>
      <c r="C591" s="31"/>
      <c r="D591" s="31"/>
      <c r="E591" s="31"/>
      <c r="F591" s="31"/>
      <c r="G591" s="31"/>
    </row>
    <row r="592" ht="15.75" customHeight="1">
      <c r="A592" s="31"/>
      <c r="B592" s="31"/>
      <c r="C592" s="31"/>
      <c r="D592" s="31"/>
      <c r="E592" s="31"/>
      <c r="F592" s="31"/>
      <c r="G592" s="31"/>
    </row>
    <row r="593" ht="15.75" customHeight="1">
      <c r="A593" s="31"/>
      <c r="B593" s="31"/>
      <c r="C593" s="31"/>
      <c r="D593" s="31"/>
      <c r="E593" s="31"/>
      <c r="F593" s="31"/>
      <c r="G593" s="31"/>
    </row>
    <row r="594" ht="15.75" customHeight="1">
      <c r="A594" s="31"/>
      <c r="B594" s="31"/>
      <c r="C594" s="31"/>
      <c r="D594" s="31"/>
      <c r="E594" s="31"/>
      <c r="F594" s="31"/>
      <c r="G594" s="31"/>
    </row>
    <row r="595" ht="15.75" customHeight="1">
      <c r="A595" s="31"/>
      <c r="B595" s="31"/>
      <c r="C595" s="31"/>
      <c r="D595" s="31"/>
      <c r="E595" s="31"/>
      <c r="F595" s="31"/>
      <c r="G595" s="31"/>
    </row>
    <row r="596" ht="15.75" customHeight="1">
      <c r="A596" s="31"/>
      <c r="B596" s="31"/>
      <c r="C596" s="31"/>
      <c r="D596" s="31"/>
      <c r="E596" s="31"/>
      <c r="F596" s="31"/>
      <c r="G596" s="31"/>
    </row>
    <row r="597" ht="15.75" customHeight="1">
      <c r="A597" s="31"/>
      <c r="B597" s="31"/>
      <c r="C597" s="31"/>
      <c r="D597" s="31"/>
      <c r="E597" s="31"/>
      <c r="F597" s="31"/>
      <c r="G597" s="31"/>
    </row>
    <row r="598" ht="15.75" customHeight="1">
      <c r="A598" s="31"/>
      <c r="B598" s="31"/>
      <c r="C598" s="31"/>
      <c r="D598" s="31"/>
      <c r="E598" s="31"/>
      <c r="F598" s="31"/>
      <c r="G598" s="31"/>
    </row>
    <row r="599" ht="15.75" customHeight="1">
      <c r="A599" s="31"/>
      <c r="B599" s="31"/>
      <c r="C599" s="31"/>
      <c r="D599" s="31"/>
      <c r="E599" s="31"/>
      <c r="F599" s="31"/>
      <c r="G599" s="31"/>
    </row>
    <row r="600" ht="15.75" customHeight="1">
      <c r="A600" s="31"/>
      <c r="B600" s="31"/>
      <c r="C600" s="31"/>
      <c r="D600" s="31"/>
      <c r="E600" s="31"/>
      <c r="F600" s="31"/>
      <c r="G600" s="31"/>
    </row>
    <row r="601" ht="15.75" customHeight="1">
      <c r="A601" s="31"/>
      <c r="B601" s="31"/>
      <c r="C601" s="31"/>
      <c r="D601" s="31"/>
      <c r="E601" s="31"/>
      <c r="F601" s="31"/>
      <c r="G601" s="31"/>
    </row>
    <row r="602" ht="15.75" customHeight="1">
      <c r="A602" s="31"/>
      <c r="B602" s="31"/>
      <c r="C602" s="31"/>
      <c r="D602" s="31"/>
      <c r="E602" s="31"/>
      <c r="F602" s="31"/>
      <c r="G602" s="31"/>
    </row>
    <row r="603" ht="15.75" customHeight="1">
      <c r="A603" s="31"/>
      <c r="B603" s="31"/>
      <c r="C603" s="31"/>
      <c r="D603" s="31"/>
      <c r="E603" s="31"/>
      <c r="F603" s="31"/>
      <c r="G603" s="31"/>
    </row>
    <row r="604" ht="15.75" customHeight="1">
      <c r="A604" s="31"/>
      <c r="B604" s="31"/>
      <c r="C604" s="31"/>
      <c r="D604" s="31"/>
      <c r="E604" s="31"/>
      <c r="F604" s="31"/>
      <c r="G604" s="31"/>
    </row>
    <row r="605" ht="15.75" customHeight="1">
      <c r="A605" s="31"/>
      <c r="B605" s="31"/>
      <c r="C605" s="31"/>
      <c r="D605" s="31"/>
      <c r="E605" s="31"/>
      <c r="F605" s="31"/>
      <c r="G605" s="31"/>
    </row>
    <row r="606" ht="15.75" customHeight="1">
      <c r="A606" s="31"/>
      <c r="B606" s="31"/>
      <c r="C606" s="31"/>
      <c r="D606" s="31"/>
      <c r="E606" s="31"/>
      <c r="F606" s="31"/>
      <c r="G606" s="31"/>
    </row>
    <row r="607" ht="15.75" customHeight="1">
      <c r="A607" s="31"/>
      <c r="B607" s="31"/>
      <c r="C607" s="31"/>
      <c r="D607" s="31"/>
      <c r="E607" s="31"/>
      <c r="F607" s="31"/>
      <c r="G607" s="31"/>
    </row>
    <row r="608" ht="15.75" customHeight="1">
      <c r="A608" s="31"/>
      <c r="B608" s="31"/>
      <c r="C608" s="31"/>
      <c r="D608" s="31"/>
      <c r="E608" s="31"/>
      <c r="F608" s="31"/>
      <c r="G608" s="31"/>
    </row>
    <row r="609" ht="15.75" customHeight="1">
      <c r="A609" s="31"/>
      <c r="B609" s="31"/>
      <c r="C609" s="31"/>
      <c r="D609" s="31"/>
      <c r="E609" s="31"/>
      <c r="F609" s="31"/>
      <c r="G609" s="31"/>
    </row>
    <row r="610" ht="15.75" customHeight="1">
      <c r="A610" s="31"/>
      <c r="B610" s="31"/>
      <c r="C610" s="31"/>
      <c r="D610" s="31"/>
      <c r="E610" s="31"/>
      <c r="F610" s="31"/>
      <c r="G610" s="31"/>
    </row>
    <row r="611" ht="15.75" customHeight="1">
      <c r="A611" s="31"/>
      <c r="B611" s="31"/>
      <c r="C611" s="31"/>
      <c r="D611" s="31"/>
      <c r="E611" s="31"/>
      <c r="F611" s="31"/>
      <c r="G611" s="31"/>
    </row>
    <row r="612" ht="15.75" customHeight="1">
      <c r="A612" s="31"/>
      <c r="B612" s="31"/>
      <c r="C612" s="31"/>
      <c r="D612" s="31"/>
      <c r="E612" s="31"/>
      <c r="F612" s="31"/>
      <c r="G612" s="31"/>
    </row>
    <row r="613" ht="15.75" customHeight="1">
      <c r="A613" s="31"/>
      <c r="B613" s="31"/>
      <c r="C613" s="31"/>
      <c r="D613" s="31"/>
      <c r="E613" s="31"/>
      <c r="F613" s="31"/>
      <c r="G613" s="31"/>
    </row>
    <row r="614" ht="15.75" customHeight="1">
      <c r="A614" s="31"/>
      <c r="B614" s="31"/>
      <c r="C614" s="31"/>
      <c r="D614" s="31"/>
      <c r="E614" s="31"/>
      <c r="F614" s="31"/>
      <c r="G614" s="31"/>
    </row>
    <row r="615" ht="15.75" customHeight="1">
      <c r="A615" s="31"/>
      <c r="B615" s="31"/>
      <c r="C615" s="31"/>
      <c r="D615" s="31"/>
      <c r="E615" s="31"/>
      <c r="F615" s="31"/>
      <c r="G615" s="31"/>
    </row>
    <row r="616" ht="15.75" customHeight="1">
      <c r="A616" s="31"/>
      <c r="B616" s="31"/>
      <c r="C616" s="31"/>
      <c r="D616" s="31"/>
      <c r="E616" s="31"/>
      <c r="F616" s="31"/>
      <c r="G616" s="31"/>
    </row>
    <row r="617" ht="15.75" customHeight="1">
      <c r="A617" s="31"/>
      <c r="B617" s="31"/>
      <c r="C617" s="31"/>
      <c r="D617" s="31"/>
      <c r="E617" s="31"/>
      <c r="F617" s="31"/>
      <c r="G617" s="31"/>
    </row>
    <row r="618" ht="15.75" customHeight="1">
      <c r="A618" s="31"/>
      <c r="B618" s="31"/>
      <c r="C618" s="31"/>
      <c r="D618" s="31"/>
      <c r="E618" s="31"/>
      <c r="F618" s="31"/>
      <c r="G618" s="31"/>
    </row>
    <row r="619" ht="15.75" customHeight="1">
      <c r="A619" s="31"/>
      <c r="B619" s="31"/>
      <c r="C619" s="31"/>
      <c r="D619" s="31"/>
      <c r="E619" s="31"/>
      <c r="F619" s="31"/>
      <c r="G619" s="31"/>
    </row>
    <row r="620" ht="15.75" customHeight="1">
      <c r="A620" s="31"/>
      <c r="B620" s="31"/>
      <c r="C620" s="31"/>
      <c r="D620" s="31"/>
      <c r="E620" s="31"/>
      <c r="F620" s="31"/>
      <c r="G620" s="31"/>
    </row>
    <row r="621" ht="15.75" customHeight="1">
      <c r="A621" s="31"/>
      <c r="B621" s="31"/>
      <c r="C621" s="31"/>
      <c r="D621" s="31"/>
      <c r="E621" s="31"/>
      <c r="F621" s="31"/>
      <c r="G621" s="31"/>
    </row>
    <row r="622" ht="15.75" customHeight="1">
      <c r="A622" s="31"/>
      <c r="B622" s="31"/>
      <c r="C622" s="31"/>
      <c r="D622" s="31"/>
      <c r="E622" s="31"/>
      <c r="F622" s="31"/>
      <c r="G622" s="31"/>
    </row>
    <row r="623" ht="15.75" customHeight="1">
      <c r="A623" s="31"/>
      <c r="B623" s="31"/>
      <c r="C623" s="31"/>
      <c r="D623" s="31"/>
      <c r="E623" s="31"/>
      <c r="F623" s="31"/>
      <c r="G623" s="31"/>
    </row>
    <row r="624" ht="15.75" customHeight="1">
      <c r="A624" s="31"/>
      <c r="B624" s="31"/>
      <c r="C624" s="31"/>
      <c r="D624" s="31"/>
      <c r="E624" s="31"/>
      <c r="F624" s="31"/>
      <c r="G624" s="31"/>
    </row>
    <row r="625" ht="15.75" customHeight="1">
      <c r="A625" s="31"/>
      <c r="B625" s="31"/>
      <c r="C625" s="31"/>
      <c r="D625" s="31"/>
      <c r="E625" s="31"/>
      <c r="F625" s="31"/>
      <c r="G625" s="31"/>
    </row>
    <row r="626" ht="15.75" customHeight="1">
      <c r="A626" s="31"/>
      <c r="B626" s="31"/>
      <c r="C626" s="31"/>
      <c r="D626" s="31"/>
      <c r="E626" s="31"/>
      <c r="F626" s="31"/>
      <c r="G626" s="31"/>
    </row>
    <row r="627" ht="15.75" customHeight="1">
      <c r="A627" s="31"/>
      <c r="B627" s="31"/>
      <c r="C627" s="31"/>
      <c r="D627" s="31"/>
      <c r="E627" s="31"/>
      <c r="F627" s="31"/>
      <c r="G627" s="31"/>
    </row>
    <row r="628" ht="15.75" customHeight="1">
      <c r="A628" s="31"/>
      <c r="B628" s="31"/>
      <c r="C628" s="31"/>
      <c r="D628" s="31"/>
      <c r="E628" s="31"/>
      <c r="F628" s="31"/>
      <c r="G628" s="31"/>
    </row>
    <row r="629" ht="15.75" customHeight="1">
      <c r="A629" s="31"/>
      <c r="B629" s="31"/>
      <c r="C629" s="31"/>
      <c r="D629" s="31"/>
      <c r="E629" s="31"/>
      <c r="F629" s="31"/>
      <c r="G629" s="31"/>
    </row>
    <row r="630" ht="15.75" customHeight="1">
      <c r="A630" s="31"/>
      <c r="B630" s="31"/>
      <c r="C630" s="31"/>
      <c r="D630" s="31"/>
      <c r="E630" s="31"/>
      <c r="F630" s="31"/>
      <c r="G630" s="31"/>
    </row>
    <row r="631" ht="15.75" customHeight="1">
      <c r="A631" s="31"/>
      <c r="B631" s="31"/>
      <c r="C631" s="31"/>
      <c r="D631" s="31"/>
      <c r="E631" s="31"/>
      <c r="F631" s="31"/>
      <c r="G631" s="31"/>
    </row>
    <row r="632" ht="15.75" customHeight="1">
      <c r="A632" s="31"/>
      <c r="B632" s="31"/>
      <c r="C632" s="31"/>
      <c r="D632" s="31"/>
      <c r="E632" s="31"/>
      <c r="F632" s="31"/>
      <c r="G632" s="31"/>
    </row>
    <row r="633" ht="15.75" customHeight="1">
      <c r="A633" s="31"/>
      <c r="B633" s="31"/>
      <c r="C633" s="31"/>
      <c r="D633" s="31"/>
      <c r="E633" s="31"/>
      <c r="F633" s="31"/>
      <c r="G633" s="31"/>
    </row>
    <row r="634" ht="15.75" customHeight="1">
      <c r="A634" s="31"/>
      <c r="B634" s="31"/>
      <c r="C634" s="31"/>
      <c r="D634" s="31"/>
      <c r="E634" s="31"/>
      <c r="F634" s="31"/>
      <c r="G634" s="31"/>
    </row>
    <row r="635" ht="15.75" customHeight="1">
      <c r="A635" s="31"/>
      <c r="B635" s="31"/>
      <c r="C635" s="31"/>
      <c r="D635" s="31"/>
      <c r="E635" s="31"/>
      <c r="F635" s="31"/>
      <c r="G635" s="31"/>
    </row>
    <row r="636" ht="15.75" customHeight="1">
      <c r="A636" s="31"/>
      <c r="B636" s="31"/>
      <c r="C636" s="31"/>
      <c r="D636" s="31"/>
      <c r="E636" s="31"/>
      <c r="F636" s="31"/>
      <c r="G636" s="31"/>
    </row>
    <row r="637" ht="15.75" customHeight="1">
      <c r="A637" s="31"/>
      <c r="B637" s="31"/>
      <c r="C637" s="31"/>
      <c r="D637" s="31"/>
      <c r="E637" s="31"/>
      <c r="F637" s="31"/>
      <c r="G637" s="31"/>
    </row>
    <row r="638" ht="15.75" customHeight="1">
      <c r="A638" s="31"/>
      <c r="B638" s="31"/>
      <c r="C638" s="31"/>
      <c r="D638" s="31"/>
      <c r="E638" s="31"/>
      <c r="F638" s="31"/>
      <c r="G638" s="31"/>
    </row>
    <row r="639" ht="15.75" customHeight="1">
      <c r="A639" s="31"/>
      <c r="B639" s="31"/>
      <c r="C639" s="31"/>
      <c r="D639" s="31"/>
      <c r="E639" s="31"/>
      <c r="F639" s="31"/>
      <c r="G639" s="31"/>
    </row>
    <row r="640" ht="15.75" customHeight="1">
      <c r="A640" s="31"/>
      <c r="B640" s="31"/>
      <c r="C640" s="31"/>
      <c r="D640" s="31"/>
      <c r="E640" s="31"/>
      <c r="F640" s="31"/>
      <c r="G640" s="31"/>
    </row>
    <row r="641" ht="15.75" customHeight="1">
      <c r="A641" s="31"/>
      <c r="B641" s="31"/>
      <c r="C641" s="31"/>
      <c r="D641" s="31"/>
      <c r="E641" s="31"/>
      <c r="F641" s="31"/>
      <c r="G641" s="31"/>
    </row>
    <row r="642" ht="15.75" customHeight="1">
      <c r="A642" s="31"/>
      <c r="B642" s="31"/>
      <c r="C642" s="31"/>
      <c r="D642" s="31"/>
      <c r="E642" s="31"/>
      <c r="F642" s="31"/>
      <c r="G642" s="31"/>
    </row>
    <row r="643" ht="15.75" customHeight="1">
      <c r="A643" s="31"/>
      <c r="B643" s="31"/>
      <c r="C643" s="31"/>
      <c r="D643" s="31"/>
      <c r="E643" s="31"/>
      <c r="F643" s="31"/>
      <c r="G643" s="31"/>
    </row>
    <row r="644" ht="15.75" customHeight="1">
      <c r="A644" s="31"/>
      <c r="B644" s="31"/>
      <c r="C644" s="31"/>
      <c r="D644" s="31"/>
      <c r="E644" s="31"/>
      <c r="F644" s="31"/>
      <c r="G644" s="31"/>
    </row>
    <row r="645" ht="15.75" customHeight="1">
      <c r="A645" s="31"/>
      <c r="B645" s="31"/>
      <c r="C645" s="31"/>
      <c r="D645" s="31"/>
      <c r="E645" s="31"/>
      <c r="F645" s="31"/>
      <c r="G645" s="31"/>
    </row>
    <row r="646" ht="15.75" customHeight="1">
      <c r="A646" s="31"/>
      <c r="B646" s="31"/>
      <c r="C646" s="31"/>
      <c r="D646" s="31"/>
      <c r="E646" s="31"/>
      <c r="F646" s="31"/>
      <c r="G646" s="31"/>
    </row>
    <row r="647" ht="15.75" customHeight="1">
      <c r="A647" s="31"/>
      <c r="B647" s="31"/>
      <c r="C647" s="31"/>
      <c r="D647" s="31"/>
      <c r="E647" s="31"/>
      <c r="F647" s="31"/>
      <c r="G647" s="31"/>
    </row>
    <row r="648" ht="15.75" customHeight="1">
      <c r="A648" s="31"/>
      <c r="B648" s="31"/>
      <c r="C648" s="31"/>
      <c r="D648" s="31"/>
      <c r="E648" s="31"/>
      <c r="F648" s="31"/>
      <c r="G648" s="31"/>
    </row>
    <row r="649" ht="15.75" customHeight="1">
      <c r="A649" s="31"/>
      <c r="B649" s="31"/>
      <c r="C649" s="31"/>
      <c r="D649" s="31"/>
      <c r="E649" s="31"/>
      <c r="F649" s="31"/>
      <c r="G649" s="31"/>
    </row>
    <row r="650" ht="15.75" customHeight="1">
      <c r="A650" s="31"/>
      <c r="B650" s="31"/>
      <c r="C650" s="31"/>
      <c r="D650" s="31"/>
      <c r="E650" s="31"/>
      <c r="F650" s="31"/>
      <c r="G650" s="31"/>
    </row>
    <row r="651" ht="15.75" customHeight="1">
      <c r="A651" s="31"/>
      <c r="B651" s="31"/>
      <c r="C651" s="31"/>
      <c r="D651" s="31"/>
      <c r="E651" s="31"/>
      <c r="F651" s="31"/>
      <c r="G651" s="31"/>
    </row>
    <row r="652" ht="15.75" customHeight="1">
      <c r="A652" s="31"/>
      <c r="B652" s="31"/>
      <c r="C652" s="31"/>
      <c r="D652" s="31"/>
      <c r="E652" s="31"/>
      <c r="F652" s="31"/>
      <c r="G652" s="31"/>
    </row>
    <row r="653" ht="15.75" customHeight="1">
      <c r="A653" s="31"/>
      <c r="B653" s="31"/>
      <c r="C653" s="31"/>
      <c r="D653" s="31"/>
      <c r="E653" s="31"/>
      <c r="F653" s="31"/>
      <c r="G653" s="31"/>
    </row>
    <row r="654" ht="15.75" customHeight="1">
      <c r="A654" s="31"/>
      <c r="B654" s="31"/>
      <c r="C654" s="31"/>
      <c r="D654" s="31"/>
      <c r="E654" s="31"/>
      <c r="F654" s="31"/>
      <c r="G654" s="31"/>
    </row>
    <row r="655" ht="15.75" customHeight="1">
      <c r="A655" s="31"/>
      <c r="B655" s="31"/>
      <c r="C655" s="31"/>
      <c r="D655" s="31"/>
      <c r="E655" s="31"/>
      <c r="F655" s="31"/>
      <c r="G655" s="31"/>
    </row>
    <row r="656" ht="15.75" customHeight="1">
      <c r="A656" s="31"/>
      <c r="B656" s="31"/>
      <c r="C656" s="31"/>
      <c r="D656" s="31"/>
      <c r="E656" s="31"/>
      <c r="F656" s="31"/>
      <c r="G656" s="31"/>
    </row>
    <row r="657" ht="15.75" customHeight="1">
      <c r="A657" s="31"/>
      <c r="B657" s="31"/>
      <c r="C657" s="31"/>
      <c r="D657" s="31"/>
      <c r="E657" s="31"/>
      <c r="F657" s="31"/>
      <c r="G657" s="31"/>
    </row>
    <row r="658" ht="15.75" customHeight="1">
      <c r="A658" s="31"/>
      <c r="B658" s="31"/>
      <c r="C658" s="31"/>
      <c r="D658" s="31"/>
      <c r="E658" s="31"/>
      <c r="F658" s="31"/>
      <c r="G658" s="31"/>
    </row>
    <row r="659" ht="15.75" customHeight="1">
      <c r="A659" s="31"/>
      <c r="B659" s="31"/>
      <c r="C659" s="31"/>
      <c r="D659" s="31"/>
      <c r="E659" s="31"/>
      <c r="F659" s="31"/>
      <c r="G659" s="31"/>
    </row>
    <row r="660" ht="15.75" customHeight="1">
      <c r="A660" s="31"/>
      <c r="B660" s="31"/>
      <c r="C660" s="31"/>
      <c r="D660" s="31"/>
      <c r="E660" s="31"/>
      <c r="F660" s="31"/>
      <c r="G660" s="31"/>
    </row>
    <row r="661" ht="15.75" customHeight="1">
      <c r="A661" s="31"/>
      <c r="B661" s="31"/>
      <c r="C661" s="31"/>
      <c r="D661" s="31"/>
      <c r="E661" s="31"/>
      <c r="F661" s="31"/>
      <c r="G661" s="31"/>
    </row>
    <row r="662" ht="15.75" customHeight="1">
      <c r="A662" s="31"/>
      <c r="B662" s="31"/>
      <c r="C662" s="31"/>
      <c r="D662" s="31"/>
      <c r="E662" s="31"/>
      <c r="F662" s="31"/>
      <c r="G662" s="31"/>
    </row>
    <row r="663" ht="15.75" customHeight="1">
      <c r="A663" s="31"/>
      <c r="B663" s="31"/>
      <c r="C663" s="31"/>
      <c r="D663" s="31"/>
      <c r="E663" s="31"/>
      <c r="F663" s="31"/>
      <c r="G663" s="31"/>
    </row>
    <row r="664" ht="15.75" customHeight="1">
      <c r="A664" s="31"/>
      <c r="B664" s="31"/>
      <c r="C664" s="31"/>
      <c r="D664" s="31"/>
      <c r="E664" s="31"/>
      <c r="F664" s="31"/>
      <c r="G664" s="31"/>
    </row>
    <row r="665" ht="15.75" customHeight="1">
      <c r="A665" s="31"/>
      <c r="B665" s="31"/>
      <c r="C665" s="31"/>
      <c r="D665" s="31"/>
      <c r="E665" s="31"/>
      <c r="F665" s="31"/>
      <c r="G665" s="31"/>
    </row>
    <row r="666" ht="15.75" customHeight="1">
      <c r="A666" s="31"/>
      <c r="B666" s="31"/>
      <c r="C666" s="31"/>
      <c r="D666" s="31"/>
      <c r="E666" s="31"/>
      <c r="F666" s="31"/>
      <c r="G666" s="31"/>
    </row>
    <row r="667" ht="15.75" customHeight="1">
      <c r="A667" s="31"/>
      <c r="B667" s="31"/>
      <c r="C667" s="31"/>
      <c r="D667" s="31"/>
      <c r="E667" s="31"/>
      <c r="F667" s="31"/>
      <c r="G667" s="31"/>
    </row>
    <row r="668" ht="15.75" customHeight="1">
      <c r="A668" s="31"/>
      <c r="B668" s="31"/>
      <c r="C668" s="31"/>
      <c r="D668" s="31"/>
      <c r="E668" s="31"/>
      <c r="F668" s="31"/>
      <c r="G668" s="31"/>
    </row>
    <row r="669" ht="15.75" customHeight="1">
      <c r="A669" s="31"/>
      <c r="B669" s="31"/>
      <c r="C669" s="31"/>
      <c r="D669" s="31"/>
      <c r="E669" s="31"/>
      <c r="F669" s="31"/>
      <c r="G669" s="31"/>
    </row>
    <row r="670" ht="15.75" customHeight="1">
      <c r="A670" s="31"/>
      <c r="B670" s="31"/>
      <c r="C670" s="31"/>
      <c r="D670" s="31"/>
      <c r="E670" s="31"/>
      <c r="F670" s="31"/>
      <c r="G670" s="31"/>
    </row>
    <row r="671" ht="15.75" customHeight="1">
      <c r="A671" s="31"/>
      <c r="B671" s="31"/>
      <c r="C671" s="31"/>
      <c r="D671" s="31"/>
      <c r="E671" s="31"/>
      <c r="F671" s="31"/>
      <c r="G671" s="31"/>
    </row>
    <row r="672" ht="15.75" customHeight="1">
      <c r="A672" s="31"/>
      <c r="B672" s="31"/>
      <c r="C672" s="31"/>
      <c r="D672" s="31"/>
      <c r="E672" s="31"/>
      <c r="F672" s="31"/>
      <c r="G672" s="31"/>
    </row>
    <row r="673" ht="15.75" customHeight="1">
      <c r="A673" s="31"/>
      <c r="B673" s="31"/>
      <c r="C673" s="31"/>
      <c r="D673" s="31"/>
      <c r="E673" s="31"/>
      <c r="F673" s="31"/>
      <c r="G673" s="31"/>
    </row>
    <row r="674" ht="15.75" customHeight="1">
      <c r="A674" s="31"/>
      <c r="B674" s="31"/>
      <c r="C674" s="31"/>
      <c r="D674" s="31"/>
      <c r="E674" s="31"/>
      <c r="F674" s="31"/>
      <c r="G674" s="31"/>
    </row>
    <row r="675" ht="15.75" customHeight="1">
      <c r="A675" s="31"/>
      <c r="B675" s="31"/>
      <c r="C675" s="31"/>
      <c r="D675" s="31"/>
      <c r="E675" s="31"/>
      <c r="F675" s="31"/>
      <c r="G675" s="31"/>
    </row>
    <row r="676" ht="15.75" customHeight="1">
      <c r="A676" s="31"/>
      <c r="B676" s="31"/>
      <c r="C676" s="31"/>
      <c r="D676" s="31"/>
      <c r="E676" s="31"/>
      <c r="F676" s="31"/>
      <c r="G676" s="31"/>
    </row>
    <row r="677" ht="15.75" customHeight="1">
      <c r="A677" s="31"/>
      <c r="B677" s="31"/>
      <c r="C677" s="31"/>
      <c r="D677" s="31"/>
      <c r="E677" s="31"/>
      <c r="F677" s="31"/>
      <c r="G677" s="31"/>
    </row>
    <row r="678" ht="15.75" customHeight="1">
      <c r="A678" s="31"/>
      <c r="B678" s="31"/>
      <c r="C678" s="31"/>
      <c r="D678" s="31"/>
      <c r="E678" s="31"/>
      <c r="F678" s="31"/>
      <c r="G678" s="31"/>
    </row>
    <row r="679" ht="15.75" customHeight="1">
      <c r="A679" s="31"/>
      <c r="B679" s="31"/>
      <c r="C679" s="31"/>
      <c r="D679" s="31"/>
      <c r="E679" s="31"/>
      <c r="F679" s="31"/>
      <c r="G679" s="31"/>
    </row>
    <row r="680" ht="15.75" customHeight="1">
      <c r="A680" s="31"/>
      <c r="B680" s="31"/>
      <c r="C680" s="31"/>
      <c r="D680" s="31"/>
      <c r="E680" s="31"/>
      <c r="F680" s="31"/>
      <c r="G680" s="31"/>
    </row>
    <row r="681" ht="15.75" customHeight="1">
      <c r="A681" s="31"/>
      <c r="B681" s="31"/>
      <c r="C681" s="31"/>
      <c r="D681" s="31"/>
      <c r="E681" s="31"/>
      <c r="F681" s="31"/>
      <c r="G681" s="31"/>
    </row>
    <row r="682" ht="15.75" customHeight="1">
      <c r="A682" s="31"/>
      <c r="B682" s="31"/>
      <c r="C682" s="31"/>
      <c r="D682" s="31"/>
      <c r="E682" s="31"/>
      <c r="F682" s="31"/>
      <c r="G682" s="31"/>
    </row>
    <row r="683" ht="15.75" customHeight="1">
      <c r="A683" s="31"/>
      <c r="B683" s="31"/>
      <c r="C683" s="31"/>
      <c r="D683" s="31"/>
      <c r="E683" s="31"/>
      <c r="F683" s="31"/>
      <c r="G683" s="31"/>
    </row>
    <row r="684" ht="15.75" customHeight="1">
      <c r="A684" s="31"/>
      <c r="B684" s="31"/>
      <c r="C684" s="31"/>
      <c r="D684" s="31"/>
      <c r="E684" s="31"/>
      <c r="F684" s="31"/>
      <c r="G684" s="31"/>
    </row>
    <row r="685" ht="15.75" customHeight="1">
      <c r="A685" s="31"/>
      <c r="B685" s="31"/>
      <c r="C685" s="31"/>
      <c r="D685" s="31"/>
      <c r="E685" s="31"/>
      <c r="F685" s="31"/>
      <c r="G685" s="31"/>
    </row>
    <row r="686" ht="15.75" customHeight="1">
      <c r="A686" s="31"/>
      <c r="B686" s="31"/>
      <c r="C686" s="31"/>
      <c r="D686" s="31"/>
      <c r="E686" s="31"/>
      <c r="F686" s="31"/>
      <c r="G686" s="31"/>
    </row>
    <row r="687" ht="15.75" customHeight="1">
      <c r="A687" s="31"/>
      <c r="B687" s="31"/>
      <c r="C687" s="31"/>
      <c r="D687" s="31"/>
      <c r="E687" s="31"/>
      <c r="F687" s="31"/>
      <c r="G687" s="31"/>
    </row>
    <row r="688" ht="15.75" customHeight="1">
      <c r="A688" s="31"/>
      <c r="B688" s="31"/>
      <c r="C688" s="31"/>
      <c r="D688" s="31"/>
      <c r="E688" s="31"/>
      <c r="F688" s="31"/>
      <c r="G688" s="31"/>
    </row>
    <row r="689" ht="15.75" customHeight="1">
      <c r="A689" s="31"/>
      <c r="B689" s="31"/>
      <c r="C689" s="31"/>
      <c r="D689" s="31"/>
      <c r="E689" s="31"/>
      <c r="F689" s="31"/>
      <c r="G689" s="31"/>
    </row>
    <row r="690" ht="15.75" customHeight="1">
      <c r="A690" s="31"/>
      <c r="B690" s="31"/>
      <c r="C690" s="31"/>
      <c r="D690" s="31"/>
      <c r="E690" s="31"/>
      <c r="F690" s="31"/>
      <c r="G690" s="31"/>
    </row>
    <row r="691" ht="15.75" customHeight="1">
      <c r="A691" s="31"/>
      <c r="B691" s="31"/>
      <c r="C691" s="31"/>
      <c r="D691" s="31"/>
      <c r="E691" s="31"/>
      <c r="F691" s="31"/>
      <c r="G691" s="31"/>
    </row>
    <row r="692" ht="15.75" customHeight="1">
      <c r="A692" s="31"/>
      <c r="B692" s="31"/>
      <c r="C692" s="31"/>
      <c r="D692" s="31"/>
      <c r="E692" s="31"/>
      <c r="F692" s="31"/>
      <c r="G692" s="31"/>
    </row>
    <row r="693" ht="15.75" customHeight="1">
      <c r="A693" s="31"/>
      <c r="B693" s="31"/>
      <c r="C693" s="31"/>
      <c r="D693" s="31"/>
      <c r="E693" s="31"/>
      <c r="F693" s="31"/>
      <c r="G693" s="31"/>
    </row>
    <row r="694" ht="15.75" customHeight="1">
      <c r="A694" s="31"/>
      <c r="B694" s="31"/>
      <c r="C694" s="31"/>
      <c r="D694" s="31"/>
      <c r="E694" s="31"/>
      <c r="F694" s="31"/>
      <c r="G694" s="31"/>
    </row>
    <row r="695" ht="15.75" customHeight="1">
      <c r="A695" s="31"/>
      <c r="B695" s="31"/>
      <c r="C695" s="31"/>
      <c r="D695" s="31"/>
      <c r="E695" s="31"/>
      <c r="F695" s="31"/>
      <c r="G695" s="31"/>
    </row>
    <row r="696" ht="15.75" customHeight="1">
      <c r="A696" s="31"/>
      <c r="B696" s="31"/>
      <c r="C696" s="31"/>
      <c r="D696" s="31"/>
      <c r="E696" s="31"/>
      <c r="F696" s="31"/>
      <c r="G696" s="31"/>
    </row>
    <row r="697" ht="15.75" customHeight="1">
      <c r="A697" s="31"/>
      <c r="B697" s="31"/>
      <c r="C697" s="31"/>
      <c r="D697" s="31"/>
      <c r="E697" s="31"/>
      <c r="F697" s="31"/>
      <c r="G697" s="31"/>
    </row>
    <row r="698" ht="15.75" customHeight="1">
      <c r="A698" s="31"/>
      <c r="B698" s="31"/>
      <c r="C698" s="31"/>
      <c r="D698" s="31"/>
      <c r="E698" s="31"/>
      <c r="F698" s="31"/>
      <c r="G698" s="31"/>
    </row>
    <row r="699" ht="15.75" customHeight="1">
      <c r="A699" s="31"/>
      <c r="B699" s="31"/>
      <c r="C699" s="31"/>
      <c r="D699" s="31"/>
      <c r="E699" s="31"/>
      <c r="F699" s="31"/>
      <c r="G699" s="31"/>
    </row>
    <row r="700" ht="15.75" customHeight="1">
      <c r="A700" s="31"/>
      <c r="B700" s="31"/>
      <c r="C700" s="31"/>
      <c r="D700" s="31"/>
      <c r="E700" s="31"/>
      <c r="F700" s="31"/>
      <c r="G700" s="31"/>
    </row>
    <row r="701" ht="15.75" customHeight="1">
      <c r="A701" s="31"/>
      <c r="B701" s="31"/>
      <c r="C701" s="31"/>
      <c r="D701" s="31"/>
      <c r="E701" s="31"/>
      <c r="F701" s="31"/>
      <c r="G701" s="31"/>
    </row>
    <row r="702" ht="15.75" customHeight="1">
      <c r="A702" s="31"/>
      <c r="B702" s="31"/>
      <c r="C702" s="31"/>
      <c r="D702" s="31"/>
      <c r="E702" s="31"/>
      <c r="F702" s="31"/>
      <c r="G702" s="31"/>
    </row>
    <row r="703" ht="15.75" customHeight="1">
      <c r="A703" s="31"/>
      <c r="B703" s="31"/>
      <c r="C703" s="31"/>
      <c r="D703" s="31"/>
      <c r="E703" s="31"/>
      <c r="F703" s="31"/>
      <c r="G703" s="31"/>
    </row>
    <row r="704" ht="15.75" customHeight="1">
      <c r="A704" s="31"/>
      <c r="B704" s="31"/>
      <c r="C704" s="31"/>
      <c r="D704" s="31"/>
      <c r="E704" s="31"/>
      <c r="F704" s="31"/>
      <c r="G704" s="31"/>
    </row>
    <row r="705" ht="15.75" customHeight="1">
      <c r="A705" s="31"/>
      <c r="B705" s="31"/>
      <c r="C705" s="31"/>
      <c r="D705" s="31"/>
      <c r="E705" s="31"/>
      <c r="F705" s="31"/>
      <c r="G705" s="31"/>
    </row>
    <row r="706" ht="15.75" customHeight="1">
      <c r="A706" s="31"/>
      <c r="B706" s="31"/>
      <c r="C706" s="31"/>
      <c r="D706" s="31"/>
      <c r="E706" s="31"/>
      <c r="F706" s="31"/>
      <c r="G706" s="31"/>
    </row>
    <row r="707" ht="15.75" customHeight="1">
      <c r="A707" s="31"/>
      <c r="B707" s="31"/>
      <c r="C707" s="31"/>
      <c r="D707" s="31"/>
      <c r="E707" s="31"/>
      <c r="F707" s="31"/>
      <c r="G707" s="31"/>
    </row>
    <row r="708" ht="15.75" customHeight="1">
      <c r="A708" s="31"/>
      <c r="B708" s="31"/>
      <c r="C708" s="31"/>
      <c r="D708" s="31"/>
      <c r="E708" s="31"/>
      <c r="F708" s="31"/>
      <c r="G708" s="31"/>
    </row>
    <row r="709" ht="15.75" customHeight="1">
      <c r="A709" s="31"/>
      <c r="B709" s="31"/>
      <c r="C709" s="31"/>
      <c r="D709" s="31"/>
      <c r="E709" s="31"/>
      <c r="F709" s="31"/>
      <c r="G709" s="31"/>
    </row>
    <row r="710" ht="15.75" customHeight="1">
      <c r="A710" s="31"/>
      <c r="B710" s="31"/>
      <c r="C710" s="31"/>
      <c r="D710" s="31"/>
      <c r="E710" s="31"/>
      <c r="F710" s="31"/>
      <c r="G710" s="31"/>
    </row>
    <row r="711" ht="15.75" customHeight="1">
      <c r="A711" s="31"/>
      <c r="B711" s="31"/>
      <c r="C711" s="31"/>
      <c r="D711" s="31"/>
      <c r="E711" s="31"/>
      <c r="F711" s="31"/>
      <c r="G711" s="31"/>
    </row>
    <row r="712" ht="15.75" customHeight="1">
      <c r="A712" s="31"/>
      <c r="B712" s="31"/>
      <c r="C712" s="31"/>
      <c r="D712" s="31"/>
      <c r="E712" s="31"/>
      <c r="F712" s="31"/>
      <c r="G712" s="31"/>
    </row>
    <row r="713" ht="15.75" customHeight="1">
      <c r="A713" s="31"/>
      <c r="B713" s="31"/>
      <c r="C713" s="31"/>
      <c r="D713" s="31"/>
      <c r="E713" s="31"/>
      <c r="F713" s="31"/>
      <c r="G713" s="31"/>
    </row>
    <row r="714" ht="15.75" customHeight="1">
      <c r="A714" s="31"/>
      <c r="B714" s="31"/>
      <c r="C714" s="31"/>
      <c r="D714" s="31"/>
      <c r="E714" s="31"/>
      <c r="F714" s="31"/>
      <c r="G714" s="31"/>
    </row>
    <row r="715" ht="15.75" customHeight="1">
      <c r="A715" s="31"/>
      <c r="B715" s="31"/>
      <c r="C715" s="31"/>
      <c r="D715" s="31"/>
      <c r="E715" s="31"/>
      <c r="F715" s="31"/>
      <c r="G715" s="31"/>
    </row>
    <row r="716" ht="15.75" customHeight="1">
      <c r="A716" s="31"/>
      <c r="B716" s="31"/>
      <c r="C716" s="31"/>
      <c r="D716" s="31"/>
      <c r="E716" s="31"/>
      <c r="F716" s="31"/>
      <c r="G716" s="31"/>
    </row>
    <row r="717" ht="15.75" customHeight="1">
      <c r="A717" s="31"/>
      <c r="B717" s="31"/>
      <c r="C717" s="31"/>
      <c r="D717" s="31"/>
      <c r="E717" s="31"/>
      <c r="F717" s="31"/>
      <c r="G717" s="31"/>
    </row>
    <row r="718" ht="15.75" customHeight="1">
      <c r="A718" s="31"/>
      <c r="B718" s="31"/>
      <c r="C718" s="31"/>
      <c r="D718" s="31"/>
      <c r="E718" s="31"/>
      <c r="F718" s="31"/>
      <c r="G718" s="31"/>
    </row>
    <row r="719" ht="15.75" customHeight="1">
      <c r="A719" s="31"/>
      <c r="B719" s="31"/>
      <c r="C719" s="31"/>
      <c r="D719" s="31"/>
      <c r="E719" s="31"/>
      <c r="F719" s="31"/>
      <c r="G719" s="31"/>
    </row>
    <row r="720" ht="15.75" customHeight="1">
      <c r="A720" s="31"/>
      <c r="B720" s="31"/>
      <c r="C720" s="31"/>
      <c r="D720" s="31"/>
      <c r="E720" s="31"/>
      <c r="F720" s="31"/>
      <c r="G720" s="31"/>
    </row>
    <row r="721" ht="15.75" customHeight="1">
      <c r="A721" s="31"/>
      <c r="B721" s="31"/>
      <c r="C721" s="31"/>
      <c r="D721" s="31"/>
      <c r="E721" s="31"/>
      <c r="F721" s="31"/>
      <c r="G721" s="31"/>
    </row>
    <row r="722" ht="15.75" customHeight="1">
      <c r="A722" s="31"/>
      <c r="B722" s="31"/>
      <c r="C722" s="31"/>
      <c r="D722" s="31"/>
      <c r="E722" s="31"/>
      <c r="F722" s="31"/>
      <c r="G722" s="31"/>
    </row>
    <row r="723" ht="15.75" customHeight="1">
      <c r="A723" s="31"/>
      <c r="B723" s="31"/>
      <c r="C723" s="31"/>
      <c r="D723" s="31"/>
      <c r="E723" s="31"/>
      <c r="F723" s="31"/>
      <c r="G723" s="31"/>
    </row>
    <row r="724" ht="15.75" customHeight="1">
      <c r="A724" s="31"/>
      <c r="B724" s="31"/>
      <c r="C724" s="31"/>
      <c r="D724" s="31"/>
      <c r="E724" s="31"/>
      <c r="F724" s="31"/>
      <c r="G724" s="31"/>
    </row>
    <row r="725" ht="15.75" customHeight="1">
      <c r="A725" s="31"/>
      <c r="B725" s="31"/>
      <c r="C725" s="31"/>
      <c r="D725" s="31"/>
      <c r="E725" s="31"/>
      <c r="F725" s="31"/>
      <c r="G725" s="31"/>
    </row>
    <row r="726" ht="15.75" customHeight="1">
      <c r="A726" s="31"/>
      <c r="B726" s="31"/>
      <c r="C726" s="31"/>
      <c r="D726" s="31"/>
      <c r="E726" s="31"/>
      <c r="F726" s="31"/>
      <c r="G726" s="31"/>
    </row>
    <row r="727" ht="15.75" customHeight="1">
      <c r="A727" s="31"/>
      <c r="B727" s="31"/>
      <c r="C727" s="31"/>
      <c r="D727" s="31"/>
      <c r="E727" s="31"/>
      <c r="F727" s="31"/>
      <c r="G727" s="31"/>
    </row>
    <row r="728" ht="15.75" customHeight="1">
      <c r="A728" s="31"/>
      <c r="B728" s="31"/>
      <c r="C728" s="31"/>
      <c r="D728" s="31"/>
      <c r="E728" s="31"/>
      <c r="F728" s="31"/>
      <c r="G728" s="31"/>
    </row>
    <row r="729" ht="15.75" customHeight="1">
      <c r="A729" s="31"/>
      <c r="B729" s="31"/>
      <c r="C729" s="31"/>
      <c r="D729" s="31"/>
      <c r="E729" s="31"/>
      <c r="F729" s="31"/>
      <c r="G729" s="31"/>
    </row>
    <row r="730" ht="15.75" customHeight="1">
      <c r="A730" s="31"/>
      <c r="B730" s="31"/>
      <c r="C730" s="31"/>
      <c r="D730" s="31"/>
      <c r="E730" s="31"/>
      <c r="F730" s="31"/>
      <c r="G730" s="31"/>
    </row>
    <row r="731" ht="15.75" customHeight="1">
      <c r="A731" s="31"/>
      <c r="B731" s="31"/>
      <c r="C731" s="31"/>
      <c r="D731" s="31"/>
      <c r="E731" s="31"/>
      <c r="F731" s="31"/>
      <c r="G731" s="31"/>
    </row>
    <row r="732" ht="15.75" customHeight="1">
      <c r="A732" s="31"/>
      <c r="B732" s="31"/>
      <c r="C732" s="31"/>
      <c r="D732" s="31"/>
      <c r="E732" s="31"/>
      <c r="F732" s="31"/>
      <c r="G732" s="31"/>
    </row>
    <row r="733" ht="15.75" customHeight="1">
      <c r="A733" s="31"/>
      <c r="B733" s="31"/>
      <c r="C733" s="31"/>
      <c r="D733" s="31"/>
      <c r="E733" s="31"/>
      <c r="F733" s="31"/>
      <c r="G733" s="31"/>
    </row>
    <row r="734" ht="15.75" customHeight="1">
      <c r="A734" s="31"/>
      <c r="B734" s="31"/>
      <c r="C734" s="31"/>
      <c r="D734" s="31"/>
      <c r="E734" s="31"/>
      <c r="F734" s="31"/>
      <c r="G734" s="31"/>
    </row>
    <row r="735" ht="15.75" customHeight="1">
      <c r="A735" s="31"/>
      <c r="B735" s="31"/>
      <c r="C735" s="31"/>
      <c r="D735" s="31"/>
      <c r="E735" s="31"/>
      <c r="F735" s="31"/>
      <c r="G735" s="31"/>
    </row>
    <row r="736" ht="15.75" customHeight="1">
      <c r="A736" s="31"/>
      <c r="B736" s="31"/>
      <c r="C736" s="31"/>
      <c r="D736" s="31"/>
      <c r="E736" s="31"/>
      <c r="F736" s="31"/>
      <c r="G736" s="31"/>
    </row>
    <row r="737" ht="15.75" customHeight="1">
      <c r="A737" s="31"/>
      <c r="B737" s="31"/>
      <c r="C737" s="31"/>
      <c r="D737" s="31"/>
      <c r="E737" s="31"/>
      <c r="F737" s="31"/>
      <c r="G737" s="31"/>
    </row>
    <row r="738" ht="15.75" customHeight="1">
      <c r="A738" s="31"/>
      <c r="B738" s="31"/>
      <c r="C738" s="31"/>
      <c r="D738" s="31"/>
      <c r="E738" s="31"/>
      <c r="F738" s="31"/>
      <c r="G738" s="31"/>
    </row>
    <row r="739" ht="15.75" customHeight="1">
      <c r="A739" s="31"/>
      <c r="B739" s="31"/>
      <c r="C739" s="31"/>
      <c r="D739" s="31"/>
      <c r="E739" s="31"/>
      <c r="F739" s="31"/>
      <c r="G739" s="31"/>
    </row>
    <row r="740" ht="15.75" customHeight="1">
      <c r="A740" s="31"/>
      <c r="B740" s="31"/>
      <c r="C740" s="31"/>
      <c r="D740" s="31"/>
      <c r="E740" s="31"/>
      <c r="F740" s="31"/>
      <c r="G740" s="31"/>
    </row>
    <row r="741" ht="15.75" customHeight="1">
      <c r="A741" s="31"/>
      <c r="B741" s="31"/>
      <c r="C741" s="31"/>
      <c r="D741" s="31"/>
      <c r="E741" s="31"/>
      <c r="F741" s="31"/>
      <c r="G741" s="31"/>
    </row>
    <row r="742" ht="15.75" customHeight="1">
      <c r="A742" s="31"/>
      <c r="B742" s="31"/>
      <c r="C742" s="31"/>
      <c r="D742" s="31"/>
      <c r="E742" s="31"/>
      <c r="F742" s="31"/>
      <c r="G742" s="31"/>
    </row>
    <row r="743" ht="15.75" customHeight="1">
      <c r="A743" s="31"/>
      <c r="B743" s="31"/>
      <c r="C743" s="31"/>
      <c r="D743" s="31"/>
      <c r="E743" s="31"/>
      <c r="F743" s="31"/>
      <c r="G743" s="31"/>
    </row>
    <row r="744" ht="15.75" customHeight="1">
      <c r="A744" s="31"/>
      <c r="B744" s="31"/>
      <c r="C744" s="31"/>
      <c r="D744" s="31"/>
      <c r="E744" s="31"/>
      <c r="F744" s="31"/>
      <c r="G744" s="31"/>
    </row>
    <row r="745" ht="15.75" customHeight="1">
      <c r="A745" s="31"/>
      <c r="B745" s="31"/>
      <c r="C745" s="31"/>
      <c r="D745" s="31"/>
      <c r="E745" s="31"/>
      <c r="F745" s="31"/>
      <c r="G745" s="31"/>
    </row>
    <row r="746" ht="15.75" customHeight="1">
      <c r="A746" s="31"/>
      <c r="B746" s="31"/>
      <c r="C746" s="31"/>
      <c r="D746" s="31"/>
      <c r="E746" s="31"/>
      <c r="F746" s="31"/>
      <c r="G746" s="31"/>
    </row>
    <row r="747" ht="15.75" customHeight="1">
      <c r="A747" s="31"/>
      <c r="B747" s="31"/>
      <c r="C747" s="31"/>
      <c r="D747" s="31"/>
      <c r="E747" s="31"/>
      <c r="F747" s="31"/>
      <c r="G747" s="31"/>
    </row>
    <row r="748" ht="15.75" customHeight="1">
      <c r="A748" s="31"/>
      <c r="B748" s="31"/>
      <c r="C748" s="31"/>
      <c r="D748" s="31"/>
      <c r="E748" s="31"/>
      <c r="F748" s="31"/>
      <c r="G748" s="31"/>
    </row>
    <row r="749" ht="15.75" customHeight="1">
      <c r="A749" s="31"/>
      <c r="B749" s="31"/>
      <c r="C749" s="31"/>
      <c r="D749" s="31"/>
      <c r="E749" s="31"/>
      <c r="F749" s="31"/>
      <c r="G749" s="31"/>
    </row>
    <row r="750" ht="15.75" customHeight="1">
      <c r="A750" s="31"/>
      <c r="B750" s="31"/>
      <c r="C750" s="31"/>
      <c r="D750" s="31"/>
      <c r="E750" s="31"/>
      <c r="F750" s="31"/>
      <c r="G750" s="31"/>
    </row>
    <row r="751" ht="15.75" customHeight="1">
      <c r="A751" s="31"/>
      <c r="B751" s="31"/>
      <c r="C751" s="31"/>
      <c r="D751" s="31"/>
      <c r="E751" s="31"/>
      <c r="F751" s="31"/>
      <c r="G751" s="31"/>
    </row>
    <row r="752" ht="15.75" customHeight="1">
      <c r="A752" s="31"/>
      <c r="B752" s="31"/>
      <c r="C752" s="31"/>
      <c r="D752" s="31"/>
      <c r="E752" s="31"/>
      <c r="F752" s="31"/>
      <c r="G752" s="31"/>
    </row>
    <row r="753" ht="15.75" customHeight="1">
      <c r="A753" s="31"/>
      <c r="B753" s="31"/>
      <c r="C753" s="31"/>
      <c r="D753" s="31"/>
      <c r="E753" s="31"/>
      <c r="F753" s="31"/>
      <c r="G753" s="31"/>
    </row>
    <row r="754" ht="15.75" customHeight="1">
      <c r="A754" s="31"/>
      <c r="B754" s="31"/>
      <c r="C754" s="31"/>
      <c r="D754" s="31"/>
      <c r="E754" s="31"/>
      <c r="F754" s="31"/>
      <c r="G754" s="31"/>
    </row>
    <row r="755" ht="15.75" customHeight="1">
      <c r="A755" s="31"/>
      <c r="B755" s="31"/>
      <c r="C755" s="31"/>
      <c r="D755" s="31"/>
      <c r="E755" s="31"/>
      <c r="F755" s="31"/>
      <c r="G755" s="31"/>
    </row>
    <row r="756" ht="15.75" customHeight="1">
      <c r="A756" s="31"/>
      <c r="B756" s="31"/>
      <c r="C756" s="31"/>
      <c r="D756" s="31"/>
      <c r="E756" s="31"/>
      <c r="F756" s="31"/>
      <c r="G756" s="31"/>
    </row>
    <row r="757" ht="15.75" customHeight="1">
      <c r="A757" s="31"/>
      <c r="B757" s="31"/>
      <c r="C757" s="31"/>
      <c r="D757" s="31"/>
      <c r="E757" s="31"/>
      <c r="F757" s="31"/>
      <c r="G757" s="31"/>
    </row>
    <row r="758" ht="15.75" customHeight="1">
      <c r="A758" s="31"/>
      <c r="B758" s="31"/>
      <c r="C758" s="31"/>
      <c r="D758" s="31"/>
      <c r="E758" s="31"/>
      <c r="F758" s="31"/>
      <c r="G758" s="31"/>
    </row>
    <row r="759" ht="15.75" customHeight="1">
      <c r="A759" s="31"/>
      <c r="B759" s="31"/>
      <c r="C759" s="31"/>
      <c r="D759" s="31"/>
      <c r="E759" s="31"/>
      <c r="F759" s="31"/>
      <c r="G759" s="31"/>
    </row>
    <row r="760" ht="15.75" customHeight="1">
      <c r="A760" s="31"/>
      <c r="B760" s="31"/>
      <c r="C760" s="31"/>
      <c r="D760" s="31"/>
      <c r="E760" s="31"/>
      <c r="F760" s="31"/>
      <c r="G760" s="31"/>
    </row>
    <row r="761" ht="15.75" customHeight="1">
      <c r="A761" s="31"/>
      <c r="B761" s="31"/>
      <c r="C761" s="31"/>
      <c r="D761" s="31"/>
      <c r="E761" s="31"/>
      <c r="F761" s="31"/>
      <c r="G761" s="31"/>
    </row>
    <row r="762" ht="15.75" customHeight="1">
      <c r="A762" s="31"/>
      <c r="B762" s="31"/>
      <c r="C762" s="31"/>
      <c r="D762" s="31"/>
      <c r="E762" s="31"/>
      <c r="F762" s="31"/>
      <c r="G762" s="31"/>
    </row>
    <row r="763" ht="15.75" customHeight="1">
      <c r="A763" s="31"/>
      <c r="B763" s="31"/>
      <c r="C763" s="31"/>
      <c r="D763" s="31"/>
      <c r="E763" s="31"/>
      <c r="F763" s="31"/>
      <c r="G763" s="31"/>
    </row>
    <row r="764" ht="15.75" customHeight="1">
      <c r="A764" s="31"/>
      <c r="B764" s="31"/>
      <c r="C764" s="31"/>
      <c r="D764" s="31"/>
      <c r="E764" s="31"/>
      <c r="F764" s="31"/>
      <c r="G764" s="31"/>
    </row>
    <row r="765" ht="15.75" customHeight="1">
      <c r="A765" s="31"/>
      <c r="B765" s="31"/>
      <c r="C765" s="31"/>
      <c r="D765" s="31"/>
      <c r="E765" s="31"/>
      <c r="F765" s="31"/>
      <c r="G765" s="31"/>
    </row>
    <row r="766" ht="15.75" customHeight="1">
      <c r="A766" s="31"/>
      <c r="B766" s="31"/>
      <c r="C766" s="31"/>
      <c r="D766" s="31"/>
      <c r="E766" s="31"/>
      <c r="F766" s="31"/>
      <c r="G766" s="31"/>
    </row>
    <row r="767" ht="15.75" customHeight="1">
      <c r="A767" s="31"/>
      <c r="B767" s="31"/>
      <c r="C767" s="31"/>
      <c r="D767" s="31"/>
      <c r="E767" s="31"/>
      <c r="F767" s="31"/>
      <c r="G767" s="31"/>
    </row>
    <row r="768" ht="15.75" customHeight="1">
      <c r="A768" s="31"/>
      <c r="B768" s="31"/>
      <c r="C768" s="31"/>
      <c r="D768" s="31"/>
      <c r="E768" s="31"/>
      <c r="F768" s="31"/>
      <c r="G768" s="31"/>
    </row>
    <row r="769" ht="15.75" customHeight="1">
      <c r="A769" s="31"/>
      <c r="B769" s="31"/>
      <c r="C769" s="31"/>
      <c r="D769" s="31"/>
      <c r="E769" s="31"/>
      <c r="F769" s="31"/>
      <c r="G769" s="31"/>
    </row>
    <row r="770" ht="15.75" customHeight="1">
      <c r="A770" s="31"/>
      <c r="B770" s="31"/>
      <c r="C770" s="31"/>
      <c r="D770" s="31"/>
      <c r="E770" s="31"/>
      <c r="F770" s="31"/>
      <c r="G770" s="31"/>
    </row>
    <row r="771" ht="15.75" customHeight="1">
      <c r="A771" s="31"/>
      <c r="B771" s="31"/>
      <c r="C771" s="31"/>
      <c r="D771" s="31"/>
      <c r="E771" s="31"/>
      <c r="F771" s="31"/>
      <c r="G771" s="31"/>
    </row>
    <row r="772" ht="15.75" customHeight="1">
      <c r="A772" s="31"/>
      <c r="B772" s="31"/>
      <c r="C772" s="31"/>
      <c r="D772" s="31"/>
      <c r="E772" s="31"/>
      <c r="F772" s="31"/>
      <c r="G772" s="31"/>
    </row>
    <row r="773" ht="15.75" customHeight="1">
      <c r="A773" s="31"/>
      <c r="B773" s="31"/>
      <c r="C773" s="31"/>
      <c r="D773" s="31"/>
      <c r="E773" s="31"/>
      <c r="F773" s="31"/>
      <c r="G773" s="31"/>
    </row>
    <row r="774" ht="15.75" customHeight="1">
      <c r="A774" s="31"/>
      <c r="B774" s="31"/>
      <c r="C774" s="31"/>
      <c r="D774" s="31"/>
      <c r="E774" s="31"/>
      <c r="F774" s="31"/>
      <c r="G774" s="31"/>
    </row>
    <row r="775" ht="15.75" customHeight="1">
      <c r="A775" s="31"/>
      <c r="B775" s="31"/>
      <c r="C775" s="31"/>
      <c r="D775" s="31"/>
      <c r="E775" s="31"/>
      <c r="F775" s="31"/>
      <c r="G775" s="31"/>
    </row>
    <row r="776" ht="15.75" customHeight="1">
      <c r="A776" s="31"/>
      <c r="B776" s="31"/>
      <c r="C776" s="31"/>
      <c r="D776" s="31"/>
      <c r="E776" s="31"/>
      <c r="F776" s="31"/>
      <c r="G776" s="31"/>
    </row>
    <row r="777" ht="15.75" customHeight="1">
      <c r="A777" s="31"/>
      <c r="B777" s="31"/>
      <c r="C777" s="31"/>
      <c r="D777" s="31"/>
      <c r="E777" s="31"/>
      <c r="F777" s="31"/>
      <c r="G777" s="31"/>
    </row>
    <row r="778" ht="15.75" customHeight="1">
      <c r="A778" s="31"/>
      <c r="B778" s="31"/>
      <c r="C778" s="31"/>
      <c r="D778" s="31"/>
      <c r="E778" s="31"/>
      <c r="F778" s="31"/>
      <c r="G778" s="31"/>
    </row>
    <row r="779" ht="15.75" customHeight="1">
      <c r="A779" s="31"/>
      <c r="B779" s="31"/>
      <c r="C779" s="31"/>
      <c r="D779" s="31"/>
      <c r="E779" s="31"/>
      <c r="F779" s="31"/>
      <c r="G779" s="31"/>
    </row>
    <row r="780" ht="15.75" customHeight="1">
      <c r="A780" s="31"/>
      <c r="B780" s="31"/>
      <c r="C780" s="31"/>
      <c r="D780" s="31"/>
      <c r="E780" s="31"/>
      <c r="F780" s="31"/>
      <c r="G780" s="31"/>
    </row>
    <row r="781" ht="15.75" customHeight="1">
      <c r="A781" s="31"/>
      <c r="B781" s="31"/>
      <c r="C781" s="31"/>
      <c r="D781" s="31"/>
      <c r="E781" s="31"/>
      <c r="F781" s="31"/>
      <c r="G781" s="31"/>
    </row>
    <row r="782" ht="15.75" customHeight="1">
      <c r="A782" s="31"/>
      <c r="B782" s="31"/>
      <c r="C782" s="31"/>
      <c r="D782" s="31"/>
      <c r="E782" s="31"/>
      <c r="F782" s="31"/>
      <c r="G782" s="31"/>
    </row>
    <row r="783" ht="15.75" customHeight="1">
      <c r="A783" s="31"/>
      <c r="B783" s="31"/>
      <c r="C783" s="31"/>
      <c r="D783" s="31"/>
      <c r="E783" s="31"/>
      <c r="F783" s="31"/>
      <c r="G783" s="31"/>
    </row>
    <row r="784" ht="15.75" customHeight="1">
      <c r="A784" s="31"/>
      <c r="B784" s="31"/>
      <c r="C784" s="31"/>
      <c r="D784" s="31"/>
      <c r="E784" s="31"/>
      <c r="F784" s="31"/>
      <c r="G784" s="31"/>
    </row>
    <row r="785" ht="15.75" customHeight="1">
      <c r="A785" s="31"/>
      <c r="B785" s="31"/>
      <c r="C785" s="31"/>
      <c r="D785" s="31"/>
      <c r="E785" s="31"/>
      <c r="F785" s="31"/>
      <c r="G785" s="31"/>
    </row>
    <row r="786" ht="15.75" customHeight="1">
      <c r="A786" s="31"/>
      <c r="B786" s="31"/>
      <c r="C786" s="31"/>
      <c r="D786" s="31"/>
      <c r="E786" s="31"/>
      <c r="F786" s="31"/>
      <c r="G786" s="31"/>
    </row>
    <row r="787" ht="15.75" customHeight="1">
      <c r="A787" s="31"/>
      <c r="B787" s="31"/>
      <c r="C787" s="31"/>
      <c r="D787" s="31"/>
      <c r="E787" s="31"/>
      <c r="F787" s="31"/>
      <c r="G787" s="31"/>
    </row>
    <row r="788" ht="15.75" customHeight="1">
      <c r="A788" s="31"/>
      <c r="B788" s="31"/>
      <c r="C788" s="31"/>
      <c r="D788" s="31"/>
      <c r="E788" s="31"/>
      <c r="F788" s="31"/>
      <c r="G788" s="31"/>
    </row>
    <row r="789" ht="15.75" customHeight="1">
      <c r="A789" s="31"/>
      <c r="B789" s="31"/>
      <c r="C789" s="31"/>
      <c r="D789" s="31"/>
      <c r="E789" s="31"/>
      <c r="F789" s="31"/>
      <c r="G789" s="31"/>
    </row>
    <row r="790" ht="15.75" customHeight="1">
      <c r="A790" s="31"/>
      <c r="B790" s="31"/>
      <c r="C790" s="31"/>
      <c r="D790" s="31"/>
      <c r="E790" s="31"/>
      <c r="F790" s="31"/>
      <c r="G790" s="31"/>
    </row>
    <row r="791" ht="15.75" customHeight="1">
      <c r="A791" s="31"/>
      <c r="B791" s="31"/>
      <c r="C791" s="31"/>
      <c r="D791" s="31"/>
      <c r="E791" s="31"/>
      <c r="F791" s="31"/>
      <c r="G791" s="31"/>
    </row>
    <row r="792" ht="15.75" customHeight="1">
      <c r="A792" s="31"/>
      <c r="B792" s="31"/>
      <c r="C792" s="31"/>
      <c r="D792" s="31"/>
      <c r="E792" s="31"/>
      <c r="F792" s="31"/>
      <c r="G792" s="31"/>
    </row>
    <row r="793" ht="15.75" customHeight="1">
      <c r="A793" s="31"/>
      <c r="B793" s="31"/>
      <c r="C793" s="31"/>
      <c r="D793" s="31"/>
      <c r="E793" s="31"/>
      <c r="F793" s="31"/>
      <c r="G793" s="31"/>
    </row>
    <row r="794" ht="15.75" customHeight="1">
      <c r="A794" s="31"/>
      <c r="B794" s="31"/>
      <c r="C794" s="31"/>
      <c r="D794" s="31"/>
      <c r="E794" s="31"/>
      <c r="F794" s="31"/>
      <c r="G794" s="31"/>
    </row>
    <row r="795" ht="15.75" customHeight="1">
      <c r="A795" s="31"/>
      <c r="B795" s="31"/>
      <c r="C795" s="31"/>
      <c r="D795" s="31"/>
      <c r="E795" s="31"/>
      <c r="F795" s="31"/>
      <c r="G795" s="31"/>
    </row>
    <row r="796" ht="15.75" customHeight="1">
      <c r="A796" s="31"/>
      <c r="B796" s="31"/>
      <c r="C796" s="31"/>
      <c r="D796" s="31"/>
      <c r="E796" s="31"/>
      <c r="F796" s="31"/>
      <c r="G796" s="31"/>
    </row>
    <row r="797" ht="15.75" customHeight="1">
      <c r="A797" s="31"/>
      <c r="B797" s="31"/>
      <c r="C797" s="31"/>
      <c r="D797" s="31"/>
      <c r="E797" s="31"/>
      <c r="F797" s="31"/>
      <c r="G797" s="31"/>
    </row>
    <row r="798" ht="15.75" customHeight="1">
      <c r="A798" s="31"/>
      <c r="B798" s="31"/>
      <c r="C798" s="31"/>
      <c r="D798" s="31"/>
      <c r="E798" s="31"/>
      <c r="F798" s="31"/>
      <c r="G798" s="31"/>
    </row>
    <row r="799" ht="15.75" customHeight="1">
      <c r="A799" s="31"/>
      <c r="B799" s="31"/>
      <c r="C799" s="31"/>
      <c r="D799" s="31"/>
      <c r="E799" s="31"/>
      <c r="F799" s="31"/>
      <c r="G799" s="31"/>
    </row>
    <row r="800" ht="15.75" customHeight="1">
      <c r="A800" s="31"/>
      <c r="B800" s="31"/>
      <c r="C800" s="31"/>
      <c r="D800" s="31"/>
      <c r="E800" s="31"/>
      <c r="F800" s="31"/>
      <c r="G800" s="31"/>
    </row>
    <row r="801" ht="15.75" customHeight="1">
      <c r="A801" s="31"/>
      <c r="B801" s="31"/>
      <c r="C801" s="31"/>
      <c r="D801" s="31"/>
      <c r="E801" s="31"/>
      <c r="F801" s="31"/>
      <c r="G801" s="31"/>
    </row>
    <row r="802" ht="15.75" customHeight="1">
      <c r="A802" s="31"/>
      <c r="B802" s="31"/>
      <c r="C802" s="31"/>
      <c r="D802" s="31"/>
      <c r="E802" s="31"/>
      <c r="F802" s="31"/>
      <c r="G802" s="31"/>
    </row>
    <row r="803" ht="15.75" customHeight="1">
      <c r="A803" s="31"/>
      <c r="B803" s="31"/>
      <c r="C803" s="31"/>
      <c r="D803" s="31"/>
      <c r="E803" s="31"/>
      <c r="F803" s="31"/>
      <c r="G803" s="31"/>
    </row>
    <row r="804" ht="15.75" customHeight="1">
      <c r="A804" s="31"/>
      <c r="B804" s="31"/>
      <c r="C804" s="31"/>
      <c r="D804" s="31"/>
      <c r="E804" s="31"/>
      <c r="F804" s="31"/>
      <c r="G804" s="31"/>
    </row>
    <row r="805" ht="15.75" customHeight="1">
      <c r="A805" s="31"/>
      <c r="B805" s="31"/>
      <c r="C805" s="31"/>
      <c r="D805" s="31"/>
      <c r="E805" s="31"/>
      <c r="F805" s="31"/>
      <c r="G805" s="31"/>
    </row>
    <row r="806" ht="15.75" customHeight="1">
      <c r="A806" s="31"/>
      <c r="B806" s="31"/>
      <c r="C806" s="31"/>
      <c r="D806" s="31"/>
      <c r="E806" s="31"/>
      <c r="F806" s="31"/>
      <c r="G806" s="31"/>
    </row>
    <row r="807" ht="15.75" customHeight="1">
      <c r="A807" s="31"/>
      <c r="B807" s="31"/>
      <c r="C807" s="31"/>
      <c r="D807" s="31"/>
      <c r="E807" s="31"/>
      <c r="F807" s="31"/>
      <c r="G807" s="31"/>
    </row>
    <row r="808" ht="15.75" customHeight="1">
      <c r="A808" s="31"/>
      <c r="B808" s="31"/>
      <c r="C808" s="31"/>
      <c r="D808" s="31"/>
      <c r="E808" s="31"/>
      <c r="F808" s="31"/>
      <c r="G808" s="31"/>
    </row>
    <row r="809" ht="15.75" customHeight="1">
      <c r="A809" s="31"/>
      <c r="B809" s="31"/>
      <c r="C809" s="31"/>
      <c r="D809" s="31"/>
      <c r="E809" s="31"/>
      <c r="F809" s="31"/>
      <c r="G809" s="31"/>
    </row>
    <row r="810" ht="15.75" customHeight="1">
      <c r="A810" s="31"/>
      <c r="B810" s="31"/>
      <c r="C810" s="31"/>
      <c r="D810" s="31"/>
      <c r="E810" s="31"/>
      <c r="F810" s="31"/>
      <c r="G810" s="31"/>
    </row>
    <row r="811" ht="15.75" customHeight="1">
      <c r="A811" s="31"/>
      <c r="B811" s="31"/>
      <c r="C811" s="31"/>
      <c r="D811" s="31"/>
      <c r="E811" s="31"/>
      <c r="F811" s="31"/>
      <c r="G811" s="31"/>
    </row>
    <row r="812" ht="15.75" customHeight="1">
      <c r="A812" s="31"/>
      <c r="B812" s="31"/>
      <c r="C812" s="31"/>
      <c r="D812" s="31"/>
      <c r="E812" s="31"/>
      <c r="F812" s="31"/>
      <c r="G812" s="31"/>
    </row>
    <row r="813" ht="15.75" customHeight="1">
      <c r="A813" s="31"/>
      <c r="B813" s="31"/>
      <c r="C813" s="31"/>
      <c r="D813" s="31"/>
      <c r="E813" s="31"/>
      <c r="F813" s="31"/>
      <c r="G813" s="31"/>
    </row>
    <row r="814" ht="15.75" customHeight="1">
      <c r="A814" s="31"/>
      <c r="B814" s="31"/>
      <c r="C814" s="31"/>
      <c r="D814" s="31"/>
      <c r="E814" s="31"/>
      <c r="F814" s="31"/>
      <c r="G814" s="31"/>
    </row>
    <row r="815" ht="15.75" customHeight="1">
      <c r="A815" s="31"/>
      <c r="B815" s="31"/>
      <c r="C815" s="31"/>
      <c r="D815" s="31"/>
      <c r="E815" s="31"/>
      <c r="F815" s="31"/>
      <c r="G815" s="31"/>
    </row>
    <row r="816" ht="15.75" customHeight="1">
      <c r="A816" s="31"/>
      <c r="B816" s="31"/>
      <c r="C816" s="31"/>
      <c r="D816" s="31"/>
      <c r="E816" s="31"/>
      <c r="F816" s="31"/>
      <c r="G816" s="31"/>
    </row>
    <row r="817" ht="15.75" customHeight="1">
      <c r="A817" s="31"/>
      <c r="B817" s="31"/>
      <c r="C817" s="31"/>
      <c r="D817" s="31"/>
      <c r="E817" s="31"/>
      <c r="F817" s="31"/>
      <c r="G817" s="31"/>
    </row>
    <row r="818" ht="15.75" customHeight="1">
      <c r="A818" s="31"/>
      <c r="B818" s="31"/>
      <c r="C818" s="31"/>
      <c r="D818" s="31"/>
      <c r="E818" s="31"/>
      <c r="F818" s="31"/>
      <c r="G818" s="31"/>
    </row>
    <row r="819" ht="15.75" customHeight="1">
      <c r="A819" s="31"/>
      <c r="B819" s="31"/>
      <c r="C819" s="31"/>
      <c r="D819" s="31"/>
      <c r="E819" s="31"/>
      <c r="F819" s="31"/>
      <c r="G819" s="31"/>
    </row>
    <row r="820" ht="15.75" customHeight="1">
      <c r="A820" s="31"/>
      <c r="B820" s="31"/>
      <c r="C820" s="31"/>
      <c r="D820" s="31"/>
      <c r="E820" s="31"/>
      <c r="F820" s="31"/>
      <c r="G820" s="31"/>
    </row>
    <row r="821" ht="15.75" customHeight="1">
      <c r="A821" s="31"/>
      <c r="B821" s="31"/>
      <c r="C821" s="31"/>
      <c r="D821" s="31"/>
      <c r="E821" s="31"/>
      <c r="F821" s="31"/>
      <c r="G821" s="31"/>
    </row>
    <row r="822" ht="15.75" customHeight="1">
      <c r="A822" s="31"/>
      <c r="B822" s="31"/>
      <c r="C822" s="31"/>
      <c r="D822" s="31"/>
      <c r="E822" s="31"/>
      <c r="F822" s="31"/>
      <c r="G822" s="31"/>
    </row>
    <row r="823" ht="15.75" customHeight="1">
      <c r="A823" s="31"/>
      <c r="B823" s="31"/>
      <c r="C823" s="31"/>
      <c r="D823" s="31"/>
      <c r="E823" s="31"/>
      <c r="F823" s="31"/>
      <c r="G823" s="31"/>
    </row>
    <row r="824" ht="15.75" customHeight="1">
      <c r="A824" s="31"/>
      <c r="B824" s="31"/>
      <c r="C824" s="31"/>
      <c r="D824" s="31"/>
      <c r="E824" s="31"/>
      <c r="F824" s="31"/>
      <c r="G824" s="31"/>
    </row>
    <row r="825" ht="15.75" customHeight="1">
      <c r="A825" s="31"/>
      <c r="B825" s="31"/>
      <c r="C825" s="31"/>
      <c r="D825" s="31"/>
      <c r="E825" s="31"/>
      <c r="F825" s="31"/>
      <c r="G825" s="31"/>
    </row>
    <row r="826" ht="15.75" customHeight="1">
      <c r="A826" s="31"/>
      <c r="B826" s="31"/>
      <c r="C826" s="31"/>
      <c r="D826" s="31"/>
      <c r="E826" s="31"/>
      <c r="F826" s="31"/>
      <c r="G826" s="31"/>
    </row>
    <row r="827" ht="15.75" customHeight="1">
      <c r="A827" s="31"/>
      <c r="B827" s="31"/>
      <c r="C827" s="31"/>
      <c r="D827" s="31"/>
      <c r="E827" s="31"/>
      <c r="F827" s="31"/>
      <c r="G827" s="31"/>
    </row>
    <row r="828" ht="15.75" customHeight="1">
      <c r="A828" s="31"/>
      <c r="B828" s="31"/>
      <c r="C828" s="31"/>
      <c r="D828" s="31"/>
      <c r="E828" s="31"/>
      <c r="F828" s="31"/>
      <c r="G828" s="31"/>
    </row>
    <row r="829" ht="15.75" customHeight="1">
      <c r="A829" s="31"/>
      <c r="B829" s="31"/>
      <c r="C829" s="31"/>
      <c r="D829" s="31"/>
      <c r="E829" s="31"/>
      <c r="F829" s="31"/>
      <c r="G829" s="31"/>
    </row>
    <row r="830" ht="15.75" customHeight="1">
      <c r="A830" s="31"/>
      <c r="B830" s="31"/>
      <c r="C830" s="31"/>
      <c r="D830" s="31"/>
      <c r="E830" s="31"/>
      <c r="F830" s="31"/>
      <c r="G830" s="31"/>
    </row>
    <row r="831" ht="15.75" customHeight="1">
      <c r="A831" s="31"/>
      <c r="B831" s="31"/>
      <c r="C831" s="31"/>
      <c r="D831" s="31"/>
      <c r="E831" s="31"/>
      <c r="F831" s="31"/>
      <c r="G831" s="31"/>
    </row>
    <row r="832" ht="15.75" customHeight="1">
      <c r="A832" s="31"/>
      <c r="B832" s="31"/>
      <c r="C832" s="31"/>
      <c r="D832" s="31"/>
      <c r="E832" s="31"/>
      <c r="F832" s="31"/>
      <c r="G832" s="31"/>
    </row>
    <row r="833" ht="15.75" customHeight="1">
      <c r="A833" s="31"/>
      <c r="B833" s="31"/>
      <c r="C833" s="31"/>
      <c r="D833" s="31"/>
      <c r="E833" s="31"/>
      <c r="F833" s="31"/>
      <c r="G833" s="31"/>
    </row>
    <row r="834" ht="15.75" customHeight="1">
      <c r="A834" s="31"/>
      <c r="B834" s="31"/>
      <c r="C834" s="31"/>
      <c r="D834" s="31"/>
      <c r="E834" s="31"/>
      <c r="F834" s="31"/>
      <c r="G834" s="31"/>
    </row>
    <row r="835" ht="15.75" customHeight="1">
      <c r="A835" s="31"/>
      <c r="B835" s="31"/>
      <c r="C835" s="31"/>
      <c r="D835" s="31"/>
      <c r="E835" s="31"/>
      <c r="F835" s="31"/>
      <c r="G835" s="31"/>
    </row>
    <row r="836" ht="15.75" customHeight="1">
      <c r="A836" s="31"/>
      <c r="B836" s="31"/>
      <c r="C836" s="31"/>
      <c r="D836" s="31"/>
      <c r="E836" s="31"/>
      <c r="F836" s="31"/>
      <c r="G836" s="31"/>
    </row>
    <row r="837" ht="15.75" customHeight="1">
      <c r="A837" s="31"/>
      <c r="B837" s="31"/>
      <c r="C837" s="31"/>
      <c r="D837" s="31"/>
      <c r="E837" s="31"/>
      <c r="F837" s="31"/>
      <c r="G837" s="31"/>
    </row>
    <row r="838" ht="15.75" customHeight="1">
      <c r="A838" s="31"/>
      <c r="B838" s="31"/>
      <c r="C838" s="31"/>
      <c r="D838" s="31"/>
      <c r="E838" s="31"/>
      <c r="F838" s="31"/>
      <c r="G838" s="31"/>
    </row>
    <row r="839" ht="15.75" customHeight="1">
      <c r="A839" s="31"/>
      <c r="B839" s="31"/>
      <c r="C839" s="31"/>
      <c r="D839" s="31"/>
      <c r="E839" s="31"/>
      <c r="F839" s="31"/>
      <c r="G839" s="31"/>
    </row>
    <row r="840" ht="15.75" customHeight="1">
      <c r="A840" s="31"/>
      <c r="B840" s="31"/>
      <c r="C840" s="31"/>
      <c r="D840" s="31"/>
      <c r="E840" s="31"/>
      <c r="F840" s="31"/>
      <c r="G840" s="31"/>
    </row>
    <row r="841" ht="15.75" customHeight="1">
      <c r="A841" s="31"/>
      <c r="B841" s="31"/>
      <c r="C841" s="31"/>
      <c r="D841" s="31"/>
      <c r="E841" s="31"/>
      <c r="F841" s="31"/>
      <c r="G841" s="31"/>
    </row>
    <row r="842" ht="15.75" customHeight="1">
      <c r="A842" s="31"/>
      <c r="B842" s="31"/>
      <c r="C842" s="31"/>
      <c r="D842" s="31"/>
      <c r="E842" s="31"/>
      <c r="F842" s="31"/>
      <c r="G842" s="31"/>
    </row>
    <row r="843" ht="15.75" customHeight="1">
      <c r="A843" s="31"/>
      <c r="B843" s="31"/>
      <c r="C843" s="31"/>
      <c r="D843" s="31"/>
      <c r="E843" s="31"/>
      <c r="F843" s="31"/>
      <c r="G843" s="31"/>
    </row>
    <row r="844" ht="15.75" customHeight="1">
      <c r="A844" s="31"/>
      <c r="B844" s="31"/>
      <c r="C844" s="31"/>
      <c r="D844" s="31"/>
      <c r="E844" s="31"/>
      <c r="F844" s="31"/>
      <c r="G844" s="31"/>
    </row>
    <row r="845" ht="15.75" customHeight="1">
      <c r="A845" s="31"/>
      <c r="B845" s="31"/>
      <c r="C845" s="31"/>
      <c r="D845" s="31"/>
      <c r="E845" s="31"/>
      <c r="F845" s="31"/>
      <c r="G845" s="31"/>
    </row>
    <row r="846" ht="15.75" customHeight="1">
      <c r="A846" s="31"/>
      <c r="B846" s="31"/>
      <c r="C846" s="31"/>
      <c r="D846" s="31"/>
      <c r="E846" s="31"/>
      <c r="F846" s="31"/>
      <c r="G846" s="31"/>
    </row>
    <row r="847" ht="15.75" customHeight="1">
      <c r="A847" s="31"/>
      <c r="B847" s="31"/>
      <c r="C847" s="31"/>
      <c r="D847" s="31"/>
      <c r="E847" s="31"/>
      <c r="F847" s="31"/>
      <c r="G847" s="31"/>
    </row>
    <row r="848" ht="15.75" customHeight="1">
      <c r="A848" s="31"/>
      <c r="B848" s="31"/>
      <c r="C848" s="31"/>
      <c r="D848" s="31"/>
      <c r="E848" s="31"/>
      <c r="F848" s="31"/>
      <c r="G848" s="31"/>
    </row>
    <row r="849" ht="15.75" customHeight="1">
      <c r="A849" s="31"/>
      <c r="B849" s="31"/>
      <c r="C849" s="31"/>
      <c r="D849" s="31"/>
      <c r="E849" s="31"/>
      <c r="F849" s="31"/>
      <c r="G849" s="31"/>
    </row>
    <row r="850" ht="15.75" customHeight="1">
      <c r="A850" s="31"/>
      <c r="B850" s="31"/>
      <c r="C850" s="31"/>
      <c r="D850" s="31"/>
      <c r="E850" s="31"/>
      <c r="F850" s="31"/>
      <c r="G850" s="31"/>
    </row>
    <row r="851" ht="15.75" customHeight="1">
      <c r="A851" s="31"/>
      <c r="B851" s="31"/>
      <c r="C851" s="31"/>
      <c r="D851" s="31"/>
      <c r="E851" s="31"/>
      <c r="F851" s="31"/>
      <c r="G851" s="31"/>
    </row>
    <row r="852" ht="15.75" customHeight="1">
      <c r="A852" s="31"/>
      <c r="B852" s="31"/>
      <c r="C852" s="31"/>
      <c r="D852" s="31"/>
      <c r="E852" s="31"/>
      <c r="F852" s="31"/>
      <c r="G852" s="31"/>
    </row>
    <row r="853" ht="15.75" customHeight="1">
      <c r="A853" s="31"/>
      <c r="B853" s="31"/>
      <c r="C853" s="31"/>
      <c r="D853" s="31"/>
      <c r="E853" s="31"/>
      <c r="F853" s="31"/>
      <c r="G853" s="31"/>
    </row>
    <row r="854" ht="15.75" customHeight="1">
      <c r="A854" s="31"/>
      <c r="B854" s="31"/>
      <c r="C854" s="31"/>
      <c r="D854" s="31"/>
      <c r="E854" s="31"/>
      <c r="F854" s="31"/>
      <c r="G854" s="31"/>
    </row>
    <row r="855" ht="15.75" customHeight="1">
      <c r="A855" s="31"/>
      <c r="B855" s="31"/>
      <c r="C855" s="31"/>
      <c r="D855" s="31"/>
      <c r="E855" s="31"/>
      <c r="F855" s="31"/>
      <c r="G855" s="31"/>
    </row>
    <row r="856" ht="15.75" customHeight="1">
      <c r="A856" s="31"/>
      <c r="B856" s="31"/>
      <c r="C856" s="31"/>
      <c r="D856" s="31"/>
      <c r="E856" s="31"/>
      <c r="F856" s="31"/>
      <c r="G856" s="31"/>
    </row>
    <row r="857" ht="15.75" customHeight="1">
      <c r="A857" s="31"/>
      <c r="B857" s="31"/>
      <c r="C857" s="31"/>
      <c r="D857" s="31"/>
      <c r="E857" s="31"/>
      <c r="F857" s="31"/>
      <c r="G857" s="31"/>
    </row>
    <row r="858" ht="15.75" customHeight="1">
      <c r="A858" s="31"/>
      <c r="B858" s="31"/>
      <c r="C858" s="31"/>
      <c r="D858" s="31"/>
      <c r="E858" s="31"/>
      <c r="F858" s="31"/>
      <c r="G858" s="31"/>
    </row>
    <row r="859" ht="15.75" customHeight="1">
      <c r="A859" s="31"/>
      <c r="B859" s="31"/>
      <c r="C859" s="31"/>
      <c r="D859" s="31"/>
      <c r="E859" s="31"/>
      <c r="F859" s="31"/>
      <c r="G859" s="31"/>
    </row>
    <row r="860" ht="15.75" customHeight="1">
      <c r="A860" s="31"/>
      <c r="B860" s="31"/>
      <c r="C860" s="31"/>
      <c r="D860" s="31"/>
      <c r="E860" s="31"/>
      <c r="F860" s="31"/>
      <c r="G860" s="31"/>
    </row>
    <row r="861" ht="15.75" customHeight="1">
      <c r="A861" s="31"/>
      <c r="B861" s="31"/>
      <c r="C861" s="31"/>
      <c r="D861" s="31"/>
      <c r="E861" s="31"/>
      <c r="F861" s="31"/>
      <c r="G861" s="31"/>
    </row>
    <row r="862" ht="15.75" customHeight="1">
      <c r="A862" s="31"/>
      <c r="B862" s="31"/>
      <c r="C862" s="31"/>
      <c r="D862" s="31"/>
      <c r="E862" s="31"/>
      <c r="F862" s="31"/>
      <c r="G862" s="31"/>
    </row>
    <row r="863" ht="15.75" customHeight="1">
      <c r="A863" s="31"/>
      <c r="B863" s="31"/>
      <c r="C863" s="31"/>
      <c r="D863" s="31"/>
      <c r="E863" s="31"/>
      <c r="F863" s="31"/>
      <c r="G863" s="31"/>
    </row>
    <row r="864" ht="15.75" customHeight="1">
      <c r="A864" s="31"/>
      <c r="B864" s="31"/>
      <c r="C864" s="31"/>
      <c r="D864" s="31"/>
      <c r="E864" s="31"/>
      <c r="F864" s="31"/>
      <c r="G864" s="31"/>
    </row>
    <row r="865" ht="15.75" customHeight="1">
      <c r="A865" s="31"/>
      <c r="B865" s="31"/>
      <c r="C865" s="31"/>
      <c r="D865" s="31"/>
      <c r="E865" s="31"/>
      <c r="F865" s="31"/>
      <c r="G865" s="31"/>
    </row>
    <row r="866" ht="15.75" customHeight="1">
      <c r="A866" s="31"/>
      <c r="B866" s="31"/>
      <c r="C866" s="31"/>
      <c r="D866" s="31"/>
      <c r="E866" s="31"/>
      <c r="F866" s="31"/>
      <c r="G866" s="31"/>
    </row>
    <row r="867" ht="15.75" customHeight="1">
      <c r="A867" s="31"/>
      <c r="B867" s="31"/>
      <c r="C867" s="31"/>
      <c r="D867" s="31"/>
      <c r="E867" s="31"/>
      <c r="F867" s="31"/>
      <c r="G867" s="31"/>
    </row>
    <row r="868" ht="15.75" customHeight="1">
      <c r="A868" s="31"/>
      <c r="B868" s="31"/>
      <c r="C868" s="31"/>
      <c r="D868" s="31"/>
      <c r="E868" s="31"/>
      <c r="F868" s="31"/>
      <c r="G868" s="31"/>
    </row>
    <row r="869" ht="15.75" customHeight="1">
      <c r="A869" s="31"/>
      <c r="B869" s="31"/>
      <c r="C869" s="31"/>
      <c r="D869" s="31"/>
      <c r="E869" s="31"/>
      <c r="F869" s="31"/>
      <c r="G869" s="31"/>
    </row>
    <row r="870" ht="15.75" customHeight="1">
      <c r="A870" s="31"/>
      <c r="B870" s="31"/>
      <c r="C870" s="31"/>
      <c r="D870" s="31"/>
      <c r="E870" s="31"/>
      <c r="F870" s="31"/>
      <c r="G870" s="31"/>
    </row>
    <row r="871" ht="15.75" customHeight="1">
      <c r="A871" s="31"/>
      <c r="B871" s="31"/>
      <c r="C871" s="31"/>
      <c r="D871" s="31"/>
      <c r="E871" s="31"/>
      <c r="F871" s="31"/>
      <c r="G871" s="31"/>
    </row>
    <row r="872" ht="15.75" customHeight="1">
      <c r="A872" s="31"/>
      <c r="B872" s="31"/>
      <c r="C872" s="31"/>
      <c r="D872" s="31"/>
      <c r="E872" s="31"/>
      <c r="F872" s="31"/>
      <c r="G872" s="31"/>
    </row>
    <row r="873" ht="15.75" customHeight="1">
      <c r="A873" s="31"/>
      <c r="B873" s="31"/>
      <c r="C873" s="31"/>
      <c r="D873" s="31"/>
      <c r="E873" s="31"/>
      <c r="F873" s="31"/>
      <c r="G873" s="31"/>
    </row>
    <row r="874" ht="15.75" customHeight="1">
      <c r="A874" s="31"/>
      <c r="B874" s="31"/>
      <c r="C874" s="31"/>
      <c r="D874" s="31"/>
      <c r="E874" s="31"/>
      <c r="F874" s="31"/>
      <c r="G874" s="31"/>
    </row>
    <row r="875" ht="15.75" customHeight="1">
      <c r="A875" s="31"/>
      <c r="B875" s="31"/>
      <c r="C875" s="31"/>
      <c r="D875" s="31"/>
      <c r="E875" s="31"/>
      <c r="F875" s="31"/>
      <c r="G875" s="31"/>
    </row>
    <row r="876" ht="15.75" customHeight="1">
      <c r="A876" s="31"/>
      <c r="B876" s="31"/>
      <c r="C876" s="31"/>
      <c r="D876" s="31"/>
      <c r="E876" s="31"/>
      <c r="F876" s="31"/>
      <c r="G876" s="31"/>
    </row>
    <row r="877" ht="15.75" customHeight="1">
      <c r="A877" s="31"/>
      <c r="B877" s="31"/>
      <c r="C877" s="31"/>
      <c r="D877" s="31"/>
      <c r="E877" s="31"/>
      <c r="F877" s="31"/>
      <c r="G877" s="31"/>
    </row>
    <row r="878" ht="15.75" customHeight="1">
      <c r="A878" s="31"/>
      <c r="B878" s="31"/>
      <c r="C878" s="31"/>
      <c r="D878" s="31"/>
      <c r="E878" s="31"/>
      <c r="F878" s="31"/>
      <c r="G878" s="31"/>
    </row>
    <row r="879" ht="15.75" customHeight="1">
      <c r="A879" s="31"/>
      <c r="B879" s="31"/>
      <c r="C879" s="31"/>
      <c r="D879" s="31"/>
      <c r="E879" s="31"/>
      <c r="F879" s="31"/>
      <c r="G879" s="31"/>
    </row>
    <row r="880" ht="15.75" customHeight="1">
      <c r="A880" s="31"/>
      <c r="B880" s="31"/>
      <c r="C880" s="31"/>
      <c r="D880" s="31"/>
      <c r="E880" s="31"/>
      <c r="F880" s="31"/>
      <c r="G880" s="31"/>
    </row>
    <row r="881" ht="15.75" customHeight="1">
      <c r="A881" s="31"/>
      <c r="B881" s="31"/>
      <c r="C881" s="31"/>
      <c r="D881" s="31"/>
      <c r="E881" s="31"/>
      <c r="F881" s="31"/>
      <c r="G881" s="31"/>
    </row>
    <row r="882" ht="15.75" customHeight="1">
      <c r="A882" s="31"/>
      <c r="B882" s="31"/>
      <c r="C882" s="31"/>
      <c r="D882" s="31"/>
      <c r="E882" s="31"/>
      <c r="F882" s="31"/>
      <c r="G882" s="31"/>
    </row>
    <row r="883" ht="15.75" customHeight="1">
      <c r="A883" s="31"/>
      <c r="B883" s="31"/>
      <c r="C883" s="31"/>
      <c r="D883" s="31"/>
      <c r="E883" s="31"/>
      <c r="F883" s="31"/>
      <c r="G883" s="31"/>
    </row>
    <row r="884" ht="15.75" customHeight="1">
      <c r="A884" s="31"/>
      <c r="B884" s="31"/>
      <c r="C884" s="31"/>
      <c r="D884" s="31"/>
      <c r="E884" s="31"/>
      <c r="F884" s="31"/>
      <c r="G884" s="31"/>
    </row>
    <row r="885" ht="15.75" customHeight="1">
      <c r="A885" s="31"/>
      <c r="B885" s="31"/>
      <c r="C885" s="31"/>
      <c r="D885" s="31"/>
      <c r="E885" s="31"/>
      <c r="F885" s="31"/>
      <c r="G885" s="31"/>
    </row>
    <row r="886" ht="15.75" customHeight="1">
      <c r="A886" s="31"/>
      <c r="B886" s="31"/>
      <c r="C886" s="31"/>
      <c r="D886" s="31"/>
      <c r="E886" s="31"/>
      <c r="F886" s="31"/>
      <c r="G886" s="31"/>
    </row>
    <row r="887" ht="15.75" customHeight="1">
      <c r="A887" s="31"/>
      <c r="B887" s="31"/>
      <c r="C887" s="31"/>
      <c r="D887" s="31"/>
      <c r="E887" s="31"/>
      <c r="F887" s="31"/>
      <c r="G887" s="31"/>
    </row>
    <row r="888" ht="15.75" customHeight="1">
      <c r="A888" s="31"/>
      <c r="B888" s="31"/>
      <c r="C888" s="31"/>
      <c r="D888" s="31"/>
      <c r="E888" s="31"/>
      <c r="F888" s="31"/>
      <c r="G888" s="31"/>
    </row>
    <row r="889" ht="15.75" customHeight="1">
      <c r="A889" s="31"/>
      <c r="B889" s="31"/>
      <c r="C889" s="31"/>
      <c r="D889" s="31"/>
      <c r="E889" s="31"/>
      <c r="F889" s="31"/>
      <c r="G889" s="31"/>
    </row>
    <row r="890" ht="15.75" customHeight="1">
      <c r="A890" s="31"/>
      <c r="B890" s="31"/>
      <c r="C890" s="31"/>
      <c r="D890" s="31"/>
      <c r="E890" s="31"/>
      <c r="F890" s="31"/>
      <c r="G890" s="31"/>
    </row>
    <row r="891" ht="15.75" customHeight="1">
      <c r="A891" s="31"/>
      <c r="B891" s="31"/>
      <c r="C891" s="31"/>
      <c r="D891" s="31"/>
      <c r="E891" s="31"/>
      <c r="F891" s="31"/>
      <c r="G891" s="31"/>
    </row>
    <row r="892" ht="15.75" customHeight="1">
      <c r="A892" s="31"/>
      <c r="B892" s="31"/>
      <c r="C892" s="31"/>
      <c r="D892" s="31"/>
      <c r="E892" s="31"/>
      <c r="F892" s="31"/>
      <c r="G892" s="31"/>
    </row>
    <row r="893" ht="15.75" customHeight="1">
      <c r="A893" s="31"/>
      <c r="B893" s="31"/>
      <c r="C893" s="31"/>
      <c r="D893" s="31"/>
      <c r="E893" s="31"/>
      <c r="F893" s="31"/>
      <c r="G893" s="31"/>
    </row>
    <row r="894" ht="15.75" customHeight="1">
      <c r="A894" s="31"/>
      <c r="B894" s="31"/>
      <c r="C894" s="31"/>
      <c r="D894" s="31"/>
      <c r="E894" s="31"/>
      <c r="F894" s="31"/>
      <c r="G894" s="31"/>
    </row>
    <row r="895" ht="15.75" customHeight="1">
      <c r="A895" s="31"/>
      <c r="B895" s="31"/>
      <c r="C895" s="31"/>
      <c r="D895" s="31"/>
      <c r="E895" s="31"/>
      <c r="F895" s="31"/>
      <c r="G895" s="31"/>
    </row>
    <row r="896" ht="15.75" customHeight="1">
      <c r="A896" s="31"/>
      <c r="B896" s="31"/>
      <c r="C896" s="31"/>
      <c r="D896" s="31"/>
      <c r="E896" s="31"/>
      <c r="F896" s="31"/>
      <c r="G896" s="31"/>
    </row>
    <row r="897" ht="15.75" customHeight="1">
      <c r="A897" s="31"/>
      <c r="B897" s="31"/>
      <c r="C897" s="31"/>
      <c r="D897" s="31"/>
      <c r="E897" s="31"/>
      <c r="F897" s="31"/>
      <c r="G897" s="31"/>
    </row>
    <row r="898" ht="15.75" customHeight="1">
      <c r="A898" s="31"/>
      <c r="B898" s="31"/>
      <c r="C898" s="31"/>
      <c r="D898" s="31"/>
      <c r="E898" s="31"/>
      <c r="F898" s="31"/>
      <c r="G898" s="31"/>
    </row>
    <row r="899" ht="15.75" customHeight="1">
      <c r="A899" s="31"/>
      <c r="B899" s="31"/>
      <c r="C899" s="31"/>
      <c r="D899" s="31"/>
      <c r="E899" s="31"/>
      <c r="F899" s="31"/>
      <c r="G899" s="31"/>
    </row>
    <row r="900" ht="15.75" customHeight="1">
      <c r="A900" s="31"/>
      <c r="B900" s="31"/>
      <c r="C900" s="31"/>
      <c r="D900" s="31"/>
      <c r="E900" s="31"/>
      <c r="F900" s="31"/>
      <c r="G900" s="31"/>
    </row>
    <row r="901" ht="15.75" customHeight="1">
      <c r="A901" s="31"/>
      <c r="B901" s="31"/>
      <c r="C901" s="31"/>
      <c r="D901" s="31"/>
      <c r="E901" s="31"/>
      <c r="F901" s="31"/>
      <c r="G901" s="31"/>
    </row>
    <row r="902" ht="15.75" customHeight="1">
      <c r="A902" s="31"/>
      <c r="B902" s="31"/>
      <c r="C902" s="31"/>
      <c r="D902" s="31"/>
      <c r="E902" s="31"/>
      <c r="F902" s="31"/>
      <c r="G902" s="31"/>
    </row>
    <row r="903" ht="15.75" customHeight="1">
      <c r="A903" s="31"/>
      <c r="B903" s="31"/>
      <c r="C903" s="31"/>
      <c r="D903" s="31"/>
      <c r="E903" s="31"/>
      <c r="F903" s="31"/>
      <c r="G903" s="31"/>
    </row>
    <row r="904" ht="15.75" customHeight="1">
      <c r="A904" s="31"/>
      <c r="B904" s="31"/>
      <c r="C904" s="31"/>
      <c r="D904" s="31"/>
      <c r="E904" s="31"/>
      <c r="F904" s="31"/>
      <c r="G904" s="31"/>
    </row>
    <row r="905" ht="15.75" customHeight="1">
      <c r="A905" s="31"/>
      <c r="B905" s="31"/>
      <c r="C905" s="31"/>
      <c r="D905" s="31"/>
      <c r="E905" s="31"/>
      <c r="F905" s="31"/>
      <c r="G905" s="31"/>
    </row>
    <row r="906" ht="15.75" customHeight="1">
      <c r="A906" s="31"/>
      <c r="B906" s="31"/>
      <c r="C906" s="31"/>
      <c r="D906" s="31"/>
      <c r="E906" s="31"/>
      <c r="F906" s="31"/>
      <c r="G906" s="31"/>
    </row>
    <row r="907" ht="15.75" customHeight="1">
      <c r="A907" s="31"/>
      <c r="B907" s="31"/>
      <c r="C907" s="31"/>
      <c r="D907" s="31"/>
      <c r="E907" s="31"/>
      <c r="F907" s="31"/>
      <c r="G907" s="31"/>
    </row>
    <row r="908" ht="15.75" customHeight="1">
      <c r="A908" s="31"/>
      <c r="B908" s="31"/>
      <c r="C908" s="31"/>
      <c r="D908" s="31"/>
      <c r="E908" s="31"/>
      <c r="F908" s="31"/>
      <c r="G908" s="31"/>
    </row>
    <row r="909" ht="15.75" customHeight="1">
      <c r="A909" s="31"/>
      <c r="B909" s="31"/>
      <c r="C909" s="31"/>
      <c r="D909" s="31"/>
      <c r="E909" s="31"/>
      <c r="F909" s="31"/>
      <c r="G909" s="31"/>
    </row>
    <row r="910" ht="15.75" customHeight="1">
      <c r="A910" s="31"/>
      <c r="B910" s="31"/>
      <c r="C910" s="31"/>
      <c r="D910" s="31"/>
      <c r="E910" s="31"/>
      <c r="F910" s="31"/>
      <c r="G910" s="31"/>
    </row>
    <row r="911" ht="15.75" customHeight="1">
      <c r="A911" s="31"/>
      <c r="B911" s="31"/>
      <c r="C911" s="31"/>
      <c r="D911" s="31"/>
      <c r="E911" s="31"/>
      <c r="F911" s="31"/>
      <c r="G911" s="31"/>
    </row>
    <row r="912" ht="15.75" customHeight="1">
      <c r="A912" s="31"/>
      <c r="B912" s="31"/>
      <c r="C912" s="31"/>
      <c r="D912" s="31"/>
      <c r="E912" s="31"/>
      <c r="F912" s="31"/>
      <c r="G912" s="31"/>
    </row>
    <row r="913" ht="15.75" customHeight="1">
      <c r="A913" s="31"/>
      <c r="B913" s="31"/>
      <c r="C913" s="31"/>
      <c r="D913" s="31"/>
      <c r="E913" s="31"/>
      <c r="F913" s="31"/>
      <c r="G913" s="31"/>
    </row>
    <row r="914" ht="15.75" customHeight="1">
      <c r="A914" s="31"/>
      <c r="B914" s="31"/>
      <c r="C914" s="31"/>
      <c r="D914" s="31"/>
      <c r="E914" s="31"/>
      <c r="F914" s="31"/>
      <c r="G914" s="31"/>
    </row>
    <row r="915" ht="15.75" customHeight="1">
      <c r="A915" s="31"/>
      <c r="B915" s="31"/>
      <c r="C915" s="31"/>
      <c r="D915" s="31"/>
      <c r="E915" s="31"/>
      <c r="F915" s="31"/>
      <c r="G915" s="31"/>
    </row>
    <row r="916" ht="15.75" customHeight="1">
      <c r="A916" s="31"/>
      <c r="B916" s="31"/>
      <c r="C916" s="31"/>
      <c r="D916" s="31"/>
      <c r="E916" s="31"/>
      <c r="F916" s="31"/>
      <c r="G916" s="31"/>
    </row>
    <row r="917" ht="15.75" customHeight="1">
      <c r="A917" s="31"/>
      <c r="B917" s="31"/>
      <c r="C917" s="31"/>
      <c r="D917" s="31"/>
      <c r="E917" s="31"/>
      <c r="F917" s="31"/>
      <c r="G917" s="31"/>
    </row>
    <row r="918" ht="15.75" customHeight="1">
      <c r="A918" s="31"/>
      <c r="B918" s="31"/>
      <c r="C918" s="31"/>
      <c r="D918" s="31"/>
      <c r="E918" s="31"/>
      <c r="F918" s="31"/>
      <c r="G918" s="31"/>
    </row>
    <row r="919" ht="15.75" customHeight="1">
      <c r="A919" s="31"/>
      <c r="B919" s="31"/>
      <c r="C919" s="31"/>
      <c r="D919" s="31"/>
      <c r="E919" s="31"/>
      <c r="F919" s="31"/>
      <c r="G919" s="31"/>
    </row>
    <row r="920" ht="15.75" customHeight="1">
      <c r="A920" s="31"/>
      <c r="B920" s="31"/>
      <c r="C920" s="31"/>
      <c r="D920" s="31"/>
      <c r="E920" s="31"/>
      <c r="F920" s="31"/>
      <c r="G920" s="31"/>
    </row>
    <row r="921" ht="15.75" customHeight="1">
      <c r="A921" s="31"/>
      <c r="B921" s="31"/>
      <c r="C921" s="31"/>
      <c r="D921" s="31"/>
      <c r="E921" s="31"/>
      <c r="F921" s="31"/>
      <c r="G921" s="31"/>
    </row>
    <row r="922" ht="15.75" customHeight="1">
      <c r="A922" s="31"/>
      <c r="B922" s="31"/>
      <c r="C922" s="31"/>
      <c r="D922" s="31"/>
      <c r="E922" s="31"/>
      <c r="F922" s="31"/>
      <c r="G922" s="31"/>
    </row>
    <row r="923" ht="15.75" customHeight="1">
      <c r="A923" s="31"/>
      <c r="B923" s="31"/>
      <c r="C923" s="31"/>
      <c r="D923" s="31"/>
      <c r="E923" s="31"/>
      <c r="F923" s="31"/>
      <c r="G923" s="31"/>
    </row>
    <row r="924" ht="15.75" customHeight="1">
      <c r="A924" s="31"/>
      <c r="B924" s="31"/>
      <c r="C924" s="31"/>
      <c r="D924" s="31"/>
      <c r="E924" s="31"/>
      <c r="F924" s="31"/>
      <c r="G924" s="31"/>
    </row>
    <row r="925" ht="15.75" customHeight="1">
      <c r="A925" s="31"/>
      <c r="B925" s="31"/>
      <c r="C925" s="31"/>
      <c r="D925" s="31"/>
      <c r="E925" s="31"/>
      <c r="F925" s="31"/>
      <c r="G925" s="31"/>
    </row>
    <row r="926" ht="15.75" customHeight="1">
      <c r="A926" s="31"/>
      <c r="B926" s="31"/>
      <c r="C926" s="31"/>
      <c r="D926" s="31"/>
      <c r="E926" s="31"/>
      <c r="F926" s="31"/>
      <c r="G926" s="31"/>
    </row>
    <row r="927" ht="15.75" customHeight="1">
      <c r="A927" s="31"/>
      <c r="B927" s="31"/>
      <c r="C927" s="31"/>
      <c r="D927" s="31"/>
      <c r="E927" s="31"/>
      <c r="F927" s="31"/>
      <c r="G927" s="31"/>
    </row>
    <row r="928" ht="15.75" customHeight="1">
      <c r="A928" s="31"/>
      <c r="B928" s="31"/>
      <c r="C928" s="31"/>
      <c r="D928" s="31"/>
      <c r="E928" s="31"/>
      <c r="F928" s="31"/>
      <c r="G928" s="31"/>
    </row>
    <row r="929" ht="15.75" customHeight="1">
      <c r="A929" s="31"/>
      <c r="B929" s="31"/>
      <c r="C929" s="31"/>
      <c r="D929" s="31"/>
      <c r="E929" s="31"/>
      <c r="F929" s="31"/>
      <c r="G929" s="31"/>
    </row>
    <row r="930" ht="15.75" customHeight="1">
      <c r="A930" s="31"/>
      <c r="B930" s="31"/>
      <c r="C930" s="31"/>
      <c r="D930" s="31"/>
      <c r="E930" s="31"/>
      <c r="F930" s="31"/>
      <c r="G930" s="31"/>
    </row>
    <row r="931" ht="15.75" customHeight="1">
      <c r="A931" s="31"/>
      <c r="B931" s="31"/>
      <c r="C931" s="31"/>
      <c r="D931" s="31"/>
      <c r="E931" s="31"/>
      <c r="F931" s="31"/>
      <c r="G931" s="31"/>
    </row>
    <row r="932" ht="15.75" customHeight="1">
      <c r="A932" s="31"/>
      <c r="B932" s="31"/>
      <c r="C932" s="31"/>
      <c r="D932" s="31"/>
      <c r="E932" s="31"/>
      <c r="F932" s="31"/>
      <c r="G932" s="31"/>
    </row>
    <row r="933" ht="15.75" customHeight="1">
      <c r="A933" s="31"/>
      <c r="B933" s="31"/>
      <c r="C933" s="31"/>
      <c r="D933" s="31"/>
      <c r="E933" s="31"/>
      <c r="F933" s="31"/>
      <c r="G933" s="31"/>
    </row>
    <row r="934" ht="15.75" customHeight="1">
      <c r="A934" s="31"/>
      <c r="B934" s="31"/>
      <c r="C934" s="31"/>
      <c r="D934" s="31"/>
      <c r="E934" s="31"/>
      <c r="F934" s="31"/>
      <c r="G934" s="31"/>
    </row>
    <row r="935" ht="15.75" customHeight="1">
      <c r="A935" s="31"/>
      <c r="B935" s="31"/>
      <c r="C935" s="31"/>
      <c r="D935" s="31"/>
      <c r="E935" s="31"/>
      <c r="F935" s="31"/>
      <c r="G935" s="31"/>
    </row>
    <row r="936" ht="15.75" customHeight="1">
      <c r="A936" s="31"/>
      <c r="B936" s="31"/>
      <c r="C936" s="31"/>
      <c r="D936" s="31"/>
      <c r="E936" s="31"/>
      <c r="F936" s="31"/>
      <c r="G936" s="31"/>
    </row>
    <row r="937" ht="15.75" customHeight="1">
      <c r="A937" s="31"/>
      <c r="B937" s="31"/>
      <c r="C937" s="31"/>
      <c r="D937" s="31"/>
      <c r="E937" s="31"/>
      <c r="F937" s="31"/>
      <c r="G937" s="31"/>
    </row>
    <row r="938" ht="15.75" customHeight="1">
      <c r="A938" s="31"/>
      <c r="B938" s="31"/>
      <c r="C938" s="31"/>
      <c r="D938" s="31"/>
      <c r="E938" s="31"/>
      <c r="F938" s="31"/>
      <c r="G938" s="31"/>
    </row>
    <row r="939" ht="15.75" customHeight="1">
      <c r="A939" s="31"/>
      <c r="B939" s="31"/>
      <c r="C939" s="31"/>
      <c r="D939" s="31"/>
      <c r="E939" s="31"/>
      <c r="F939" s="31"/>
      <c r="G939" s="31"/>
    </row>
    <row r="940" ht="15.75" customHeight="1">
      <c r="A940" s="31"/>
      <c r="B940" s="31"/>
      <c r="C940" s="31"/>
      <c r="D940" s="31"/>
      <c r="E940" s="31"/>
      <c r="F940" s="31"/>
      <c r="G940" s="31"/>
    </row>
    <row r="941" ht="15.75" customHeight="1">
      <c r="A941" s="31"/>
      <c r="B941" s="31"/>
      <c r="C941" s="31"/>
      <c r="D941" s="31"/>
      <c r="E941" s="31"/>
      <c r="F941" s="31"/>
      <c r="G941" s="31"/>
    </row>
    <row r="942" ht="15.75" customHeight="1">
      <c r="A942" s="31"/>
      <c r="B942" s="31"/>
      <c r="C942" s="31"/>
      <c r="D942" s="31"/>
      <c r="E942" s="31"/>
      <c r="F942" s="31"/>
      <c r="G942" s="31"/>
    </row>
    <row r="943" ht="15.75" customHeight="1">
      <c r="A943" s="31"/>
      <c r="B943" s="31"/>
      <c r="C943" s="31"/>
      <c r="D943" s="31"/>
      <c r="E943" s="31"/>
      <c r="F943" s="31"/>
      <c r="G943" s="31"/>
    </row>
    <row r="944" ht="15.75" customHeight="1">
      <c r="A944" s="31"/>
      <c r="B944" s="31"/>
      <c r="C944" s="31"/>
      <c r="D944" s="31"/>
      <c r="E944" s="31"/>
      <c r="F944" s="31"/>
      <c r="G944" s="31"/>
    </row>
    <row r="945" ht="15.75" customHeight="1">
      <c r="A945" s="31"/>
      <c r="B945" s="31"/>
      <c r="C945" s="31"/>
      <c r="D945" s="31"/>
      <c r="E945" s="31"/>
      <c r="F945" s="31"/>
      <c r="G945" s="31"/>
    </row>
    <row r="946" ht="15.75" customHeight="1">
      <c r="A946" s="31"/>
      <c r="B946" s="31"/>
      <c r="C946" s="31"/>
      <c r="D946" s="31"/>
      <c r="E946" s="31"/>
      <c r="F946" s="31"/>
      <c r="G946" s="31"/>
    </row>
    <row r="947" ht="15.75" customHeight="1">
      <c r="A947" s="31"/>
      <c r="B947" s="31"/>
      <c r="C947" s="31"/>
      <c r="D947" s="31"/>
      <c r="E947" s="31"/>
      <c r="F947" s="31"/>
      <c r="G947" s="31"/>
    </row>
    <row r="948" ht="15.75" customHeight="1">
      <c r="A948" s="31"/>
      <c r="B948" s="31"/>
      <c r="C948" s="31"/>
      <c r="D948" s="31"/>
      <c r="E948" s="31"/>
      <c r="F948" s="31"/>
      <c r="G948" s="31"/>
    </row>
    <row r="949" ht="15.75" customHeight="1">
      <c r="A949" s="31"/>
      <c r="B949" s="31"/>
      <c r="C949" s="31"/>
      <c r="D949" s="31"/>
      <c r="E949" s="31"/>
      <c r="F949" s="31"/>
      <c r="G949" s="31"/>
    </row>
    <row r="950" ht="15.75" customHeight="1">
      <c r="A950" s="31"/>
      <c r="B950" s="31"/>
      <c r="C950" s="31"/>
      <c r="D950" s="31"/>
      <c r="E950" s="31"/>
      <c r="F950" s="31"/>
      <c r="G950" s="31"/>
    </row>
    <row r="951" ht="15.75" customHeight="1">
      <c r="A951" s="31"/>
      <c r="B951" s="31"/>
      <c r="C951" s="31"/>
      <c r="D951" s="31"/>
      <c r="E951" s="31"/>
      <c r="F951" s="31"/>
      <c r="G951" s="31"/>
    </row>
    <row r="952" ht="15.75" customHeight="1">
      <c r="A952" s="31"/>
      <c r="B952" s="31"/>
      <c r="C952" s="31"/>
      <c r="D952" s="31"/>
      <c r="E952" s="31"/>
      <c r="F952" s="31"/>
      <c r="G952" s="31"/>
    </row>
    <row r="953" ht="15.75" customHeight="1">
      <c r="A953" s="31"/>
      <c r="B953" s="31"/>
      <c r="C953" s="31"/>
      <c r="D953" s="31"/>
      <c r="E953" s="31"/>
      <c r="F953" s="31"/>
      <c r="G953" s="31"/>
    </row>
    <row r="954" ht="15.75" customHeight="1">
      <c r="A954" s="31"/>
      <c r="B954" s="31"/>
      <c r="C954" s="31"/>
      <c r="D954" s="31"/>
      <c r="E954" s="31"/>
      <c r="F954" s="31"/>
      <c r="G954" s="31"/>
    </row>
    <row r="955" ht="15.75" customHeight="1">
      <c r="A955" s="31"/>
      <c r="B955" s="31"/>
      <c r="C955" s="31"/>
      <c r="D955" s="31"/>
      <c r="E955" s="31"/>
      <c r="F955" s="31"/>
      <c r="G955" s="31"/>
    </row>
    <row r="956" ht="15.75" customHeight="1">
      <c r="A956" s="31"/>
      <c r="B956" s="31"/>
      <c r="C956" s="31"/>
      <c r="D956" s="31"/>
      <c r="E956" s="31"/>
      <c r="F956" s="31"/>
      <c r="G956" s="31"/>
    </row>
    <row r="957" ht="15.75" customHeight="1">
      <c r="A957" s="31"/>
      <c r="B957" s="31"/>
      <c r="C957" s="31"/>
      <c r="D957" s="31"/>
      <c r="E957" s="31"/>
      <c r="F957" s="31"/>
      <c r="G957" s="31"/>
    </row>
    <row r="958" ht="15.75" customHeight="1">
      <c r="A958" s="31"/>
      <c r="B958" s="31"/>
      <c r="C958" s="31"/>
      <c r="D958" s="31"/>
      <c r="E958" s="31"/>
      <c r="F958" s="31"/>
      <c r="G958" s="31"/>
    </row>
    <row r="959" ht="15.75" customHeight="1">
      <c r="A959" s="31"/>
      <c r="B959" s="31"/>
      <c r="C959" s="31"/>
      <c r="D959" s="31"/>
      <c r="E959" s="31"/>
      <c r="F959" s="31"/>
      <c r="G959" s="31"/>
    </row>
    <row r="960" ht="15.75" customHeight="1">
      <c r="A960" s="31"/>
      <c r="B960" s="31"/>
      <c r="C960" s="31"/>
      <c r="D960" s="31"/>
      <c r="E960" s="31"/>
      <c r="F960" s="31"/>
      <c r="G960" s="31"/>
    </row>
    <row r="961" ht="15.75" customHeight="1">
      <c r="A961" s="31"/>
      <c r="B961" s="31"/>
      <c r="C961" s="31"/>
      <c r="D961" s="31"/>
      <c r="E961" s="31"/>
      <c r="F961" s="31"/>
      <c r="G961" s="31"/>
    </row>
    <row r="962" ht="15.75" customHeight="1">
      <c r="A962" s="31"/>
      <c r="B962" s="31"/>
      <c r="C962" s="31"/>
      <c r="D962" s="31"/>
      <c r="E962" s="31"/>
      <c r="F962" s="31"/>
      <c r="G962" s="31"/>
    </row>
    <row r="963" ht="15.75" customHeight="1">
      <c r="A963" s="31"/>
      <c r="B963" s="31"/>
      <c r="C963" s="31"/>
      <c r="D963" s="31"/>
      <c r="E963" s="31"/>
      <c r="F963" s="31"/>
      <c r="G963" s="31"/>
    </row>
    <row r="964" ht="15.75" customHeight="1">
      <c r="A964" s="31"/>
      <c r="B964" s="31"/>
      <c r="C964" s="31"/>
      <c r="D964" s="31"/>
      <c r="E964" s="31"/>
      <c r="F964" s="31"/>
      <c r="G964" s="31"/>
    </row>
    <row r="965" ht="15.75" customHeight="1">
      <c r="A965" s="31"/>
      <c r="B965" s="31"/>
      <c r="C965" s="31"/>
      <c r="D965" s="31"/>
      <c r="E965" s="31"/>
      <c r="F965" s="31"/>
      <c r="G965" s="31"/>
    </row>
    <row r="966" ht="15.75" customHeight="1">
      <c r="A966" s="31"/>
      <c r="B966" s="31"/>
      <c r="C966" s="31"/>
      <c r="D966" s="31"/>
      <c r="E966" s="31"/>
      <c r="F966" s="31"/>
      <c r="G966" s="31"/>
    </row>
    <row r="967" ht="15.75" customHeight="1">
      <c r="A967" s="31"/>
      <c r="B967" s="31"/>
      <c r="C967" s="31"/>
      <c r="D967" s="31"/>
      <c r="E967" s="31"/>
      <c r="F967" s="31"/>
      <c r="G967" s="31"/>
    </row>
    <row r="968" ht="15.75" customHeight="1">
      <c r="A968" s="31"/>
      <c r="B968" s="31"/>
      <c r="C968" s="31"/>
      <c r="D968" s="31"/>
      <c r="E968" s="31"/>
      <c r="F968" s="31"/>
      <c r="G968" s="31"/>
    </row>
    <row r="969" ht="15.75" customHeight="1">
      <c r="A969" s="31"/>
      <c r="B969" s="31"/>
      <c r="C969" s="31"/>
      <c r="D969" s="31"/>
      <c r="E969" s="31"/>
      <c r="F969" s="31"/>
      <c r="G969" s="31"/>
    </row>
    <row r="970" ht="15.75" customHeight="1">
      <c r="A970" s="31"/>
      <c r="B970" s="31"/>
      <c r="C970" s="31"/>
      <c r="D970" s="31"/>
      <c r="E970" s="31"/>
      <c r="F970" s="31"/>
      <c r="G970" s="31"/>
    </row>
    <row r="971" ht="15.75" customHeight="1">
      <c r="A971" s="31"/>
      <c r="B971" s="31"/>
      <c r="C971" s="31"/>
      <c r="D971" s="31"/>
      <c r="E971" s="31"/>
      <c r="F971" s="31"/>
      <c r="G971" s="31"/>
    </row>
    <row r="972" ht="15.75" customHeight="1">
      <c r="A972" s="31"/>
      <c r="B972" s="31"/>
      <c r="C972" s="31"/>
      <c r="D972" s="31"/>
      <c r="E972" s="31"/>
      <c r="F972" s="31"/>
      <c r="G972" s="31"/>
    </row>
    <row r="973" ht="15.75" customHeight="1">
      <c r="A973" s="31"/>
      <c r="B973" s="31"/>
      <c r="C973" s="31"/>
      <c r="D973" s="31"/>
      <c r="E973" s="31"/>
      <c r="F973" s="31"/>
      <c r="G973" s="31"/>
    </row>
    <row r="974" ht="15.75" customHeight="1">
      <c r="A974" s="31"/>
      <c r="B974" s="31"/>
      <c r="C974" s="31"/>
      <c r="D974" s="31"/>
      <c r="E974" s="31"/>
      <c r="F974" s="31"/>
      <c r="G974" s="31"/>
    </row>
    <row r="975" ht="15.75" customHeight="1">
      <c r="A975" s="31"/>
      <c r="B975" s="31"/>
      <c r="C975" s="31"/>
      <c r="D975" s="31"/>
      <c r="E975" s="31"/>
      <c r="F975" s="31"/>
      <c r="G975" s="31"/>
    </row>
    <row r="976" ht="15.75" customHeight="1">
      <c r="A976" s="31"/>
      <c r="B976" s="31"/>
      <c r="C976" s="31"/>
      <c r="D976" s="31"/>
      <c r="E976" s="31"/>
      <c r="F976" s="31"/>
      <c r="G976" s="31"/>
    </row>
    <row r="977" ht="15.75" customHeight="1">
      <c r="A977" s="31"/>
      <c r="B977" s="31"/>
      <c r="C977" s="31"/>
      <c r="D977" s="31"/>
      <c r="E977" s="31"/>
      <c r="F977" s="31"/>
      <c r="G977" s="31"/>
    </row>
    <row r="978" ht="15.75" customHeight="1">
      <c r="A978" s="31"/>
      <c r="B978" s="31"/>
      <c r="C978" s="31"/>
      <c r="D978" s="31"/>
      <c r="E978" s="31"/>
      <c r="F978" s="31"/>
      <c r="G978" s="31"/>
    </row>
    <row r="979" ht="15.75" customHeight="1">
      <c r="A979" s="31"/>
      <c r="B979" s="31"/>
      <c r="C979" s="31"/>
      <c r="D979" s="31"/>
      <c r="E979" s="31"/>
      <c r="F979" s="31"/>
      <c r="G979" s="31"/>
    </row>
    <row r="980" ht="15.75" customHeight="1">
      <c r="A980" s="31"/>
      <c r="B980" s="31"/>
      <c r="C980" s="31"/>
      <c r="D980" s="31"/>
      <c r="E980" s="31"/>
      <c r="F980" s="31"/>
      <c r="G980" s="31"/>
    </row>
    <row r="981" ht="15.75" customHeight="1">
      <c r="A981" s="31"/>
      <c r="B981" s="31"/>
      <c r="C981" s="31"/>
      <c r="D981" s="31"/>
      <c r="E981" s="31"/>
      <c r="F981" s="31"/>
      <c r="G981" s="31"/>
    </row>
    <row r="982" ht="15.75" customHeight="1">
      <c r="A982" s="31"/>
      <c r="B982" s="31"/>
      <c r="C982" s="31"/>
      <c r="D982" s="31"/>
      <c r="E982" s="31"/>
      <c r="F982" s="31"/>
      <c r="G982" s="31"/>
    </row>
    <row r="983" ht="15.75" customHeight="1">
      <c r="A983" s="31"/>
      <c r="B983" s="31"/>
      <c r="C983" s="31"/>
      <c r="D983" s="31"/>
      <c r="E983" s="31"/>
      <c r="F983" s="31"/>
      <c r="G983" s="31"/>
    </row>
    <row r="984" ht="15.75" customHeight="1">
      <c r="A984" s="31"/>
      <c r="B984" s="31"/>
      <c r="C984" s="31"/>
      <c r="D984" s="31"/>
      <c r="E984" s="31"/>
      <c r="F984" s="31"/>
      <c r="G984" s="31"/>
    </row>
    <row r="985" ht="15.75" customHeight="1">
      <c r="A985" s="31"/>
      <c r="B985" s="31"/>
      <c r="C985" s="31"/>
      <c r="D985" s="31"/>
      <c r="E985" s="31"/>
      <c r="F985" s="31"/>
      <c r="G985" s="31"/>
    </row>
    <row r="986" ht="15.75" customHeight="1">
      <c r="A986" s="31"/>
      <c r="B986" s="31"/>
      <c r="C986" s="31"/>
      <c r="D986" s="31"/>
      <c r="E986" s="31"/>
      <c r="F986" s="31"/>
      <c r="G986" s="31"/>
    </row>
    <row r="987" ht="15.75" customHeight="1">
      <c r="A987" s="31"/>
      <c r="B987" s="31"/>
      <c r="C987" s="31"/>
      <c r="D987" s="31"/>
      <c r="E987" s="31"/>
      <c r="F987" s="31"/>
      <c r="G987" s="31"/>
    </row>
    <row r="988" ht="15.75" customHeight="1">
      <c r="A988" s="31"/>
      <c r="B988" s="31"/>
      <c r="C988" s="31"/>
      <c r="D988" s="31"/>
      <c r="E988" s="31"/>
      <c r="F988" s="31"/>
      <c r="G988" s="31"/>
    </row>
    <row r="989" ht="15.75" customHeight="1">
      <c r="A989" s="31"/>
      <c r="B989" s="31"/>
      <c r="C989" s="31"/>
      <c r="D989" s="31"/>
      <c r="E989" s="31"/>
      <c r="F989" s="31"/>
      <c r="G989" s="31"/>
    </row>
    <row r="990" ht="15.75" customHeight="1">
      <c r="A990" s="31"/>
      <c r="B990" s="31"/>
      <c r="C990" s="31"/>
      <c r="D990" s="31"/>
      <c r="E990" s="31"/>
      <c r="F990" s="31"/>
      <c r="G990" s="31"/>
    </row>
    <row r="991" ht="15.75" customHeight="1">
      <c r="A991" s="31"/>
      <c r="B991" s="31"/>
      <c r="C991" s="31"/>
      <c r="D991" s="31"/>
      <c r="E991" s="31"/>
      <c r="F991" s="31"/>
      <c r="G991" s="31"/>
    </row>
    <row r="992" ht="15.75" customHeight="1">
      <c r="A992" s="31"/>
      <c r="B992" s="31"/>
      <c r="C992" s="31"/>
      <c r="D992" s="31"/>
      <c r="E992" s="31"/>
      <c r="F992" s="31"/>
      <c r="G992" s="31"/>
    </row>
    <row r="993" ht="15.75" customHeight="1">
      <c r="A993" s="31"/>
      <c r="B993" s="31"/>
      <c r="C993" s="31"/>
      <c r="D993" s="31"/>
      <c r="E993" s="31"/>
      <c r="F993" s="31"/>
      <c r="G993" s="31"/>
    </row>
    <row r="994" ht="15.75" customHeight="1">
      <c r="A994" s="31"/>
      <c r="B994" s="31"/>
      <c r="C994" s="31"/>
      <c r="D994" s="31"/>
      <c r="E994" s="31"/>
      <c r="F994" s="31"/>
      <c r="G994" s="31"/>
    </row>
    <row r="995" ht="15.75" customHeight="1">
      <c r="A995" s="31"/>
      <c r="B995" s="31"/>
      <c r="C995" s="31"/>
      <c r="D995" s="31"/>
      <c r="E995" s="31"/>
      <c r="F995" s="31"/>
      <c r="G995" s="31"/>
    </row>
    <row r="996" ht="15.75" customHeight="1">
      <c r="A996" s="31"/>
      <c r="B996" s="31"/>
      <c r="C996" s="31"/>
      <c r="D996" s="31"/>
      <c r="E996" s="31"/>
      <c r="F996" s="31"/>
      <c r="G996" s="31"/>
    </row>
    <row r="997" ht="15.75" customHeight="1">
      <c r="A997" s="31"/>
      <c r="B997" s="31"/>
      <c r="C997" s="31"/>
      <c r="D997" s="31"/>
      <c r="E997" s="31"/>
      <c r="F997" s="31"/>
      <c r="G997" s="31"/>
    </row>
    <row r="998" ht="15.75" customHeight="1">
      <c r="A998" s="31"/>
      <c r="B998" s="31"/>
      <c r="C998" s="31"/>
      <c r="D998" s="31"/>
      <c r="E998" s="31"/>
      <c r="F998" s="31"/>
      <c r="G998" s="31"/>
    </row>
    <row r="999" ht="15.75" customHeight="1">
      <c r="A999" s="31"/>
      <c r="B999" s="31"/>
      <c r="C999" s="31"/>
      <c r="D999" s="31"/>
      <c r="E999" s="31"/>
      <c r="F999" s="31"/>
      <c r="G999" s="31"/>
    </row>
    <row r="1000" ht="15.75" customHeight="1">
      <c r="A1000" s="31"/>
      <c r="B1000" s="31"/>
      <c r="C1000" s="31"/>
      <c r="D1000" s="31"/>
      <c r="E1000" s="31"/>
      <c r="F1000" s="31"/>
      <c r="G1000" s="31"/>
    </row>
  </sheetData>
  <mergeCells count="7">
    <mergeCell ref="A1:G1"/>
    <mergeCell ref="A2:G2"/>
    <mergeCell ref="A18:G18"/>
    <mergeCell ref="A19:G19"/>
    <mergeCell ref="A20:G20"/>
    <mergeCell ref="A21:G21"/>
    <mergeCell ref="A22:G22"/>
  </mergeCell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1" t="s">
        <v>0</v>
      </c>
      <c r="B1" s="1" t="s">
        <v>2</v>
      </c>
      <c r="C1" s="1" t="s">
        <v>3</v>
      </c>
      <c r="D1" s="1" t="s">
        <v>4</v>
      </c>
      <c r="E1" s="1" t="s">
        <v>5</v>
      </c>
      <c r="F1" s="1" t="s">
        <v>6</v>
      </c>
      <c r="G1" s="1" t="s">
        <v>7</v>
      </c>
      <c r="H1" s="1" t="s">
        <v>8</v>
      </c>
      <c r="I1" s="1" t="s">
        <v>9</v>
      </c>
      <c r="J1" s="1" t="s">
        <v>10</v>
      </c>
    </row>
    <row r="2" ht="57.0" customHeight="1">
      <c r="A2" s="2" t="s">
        <v>11</v>
      </c>
      <c r="B2" s="3" t="s">
        <v>13</v>
      </c>
      <c r="C2" s="3" t="s">
        <v>15</v>
      </c>
      <c r="D2" s="3" t="s">
        <v>16</v>
      </c>
      <c r="E2" s="3" t="s">
        <v>18</v>
      </c>
      <c r="F2" s="4">
        <v>46261.0</v>
      </c>
      <c r="G2" s="6" t="s">
        <v>26</v>
      </c>
      <c r="H2" s="3" t="s">
        <v>27</v>
      </c>
      <c r="I2" s="8" t="s">
        <v>28</v>
      </c>
      <c r="J2" s="3" t="s">
        <v>33</v>
      </c>
    </row>
    <row r="3" ht="57.0" customHeight="1">
      <c r="A3" s="11" t="s">
        <v>34</v>
      </c>
      <c r="B3" s="13" t="s">
        <v>13</v>
      </c>
      <c r="C3" s="13" t="s">
        <v>41</v>
      </c>
      <c r="D3" s="13" t="s">
        <v>42</v>
      </c>
      <c r="E3" s="13" t="s">
        <v>43</v>
      </c>
      <c r="F3" s="14">
        <v>46261.0</v>
      </c>
      <c r="G3" s="15" t="s">
        <v>26</v>
      </c>
      <c r="H3" s="13" t="s">
        <v>27</v>
      </c>
      <c r="I3" s="16" t="s">
        <v>50</v>
      </c>
      <c r="J3" s="13" t="s">
        <v>33</v>
      </c>
    </row>
    <row r="4" ht="45.75" customHeight="1">
      <c r="A4" s="2" t="s">
        <v>53</v>
      </c>
      <c r="B4" s="3" t="s">
        <v>54</v>
      </c>
      <c r="C4" s="3" t="s">
        <v>55</v>
      </c>
      <c r="D4" s="3" t="s">
        <v>56</v>
      </c>
      <c r="E4" s="3" t="s">
        <v>57</v>
      </c>
      <c r="F4" s="4">
        <v>46261.0</v>
      </c>
      <c r="G4" s="6" t="s">
        <v>26</v>
      </c>
      <c r="H4" s="3" t="s">
        <v>58</v>
      </c>
      <c r="I4" s="10" t="s">
        <v>59</v>
      </c>
      <c r="J4" s="3" t="s">
        <v>36</v>
      </c>
    </row>
    <row r="5" ht="57.0" customHeight="1">
      <c r="A5" s="11" t="s">
        <v>60</v>
      </c>
      <c r="B5" s="13" t="s">
        <v>61</v>
      </c>
      <c r="C5" s="13" t="s">
        <v>62</v>
      </c>
      <c r="D5" s="13" t="s">
        <v>63</v>
      </c>
      <c r="E5" s="13" t="s">
        <v>64</v>
      </c>
      <c r="F5" s="14">
        <v>46261.0</v>
      </c>
      <c r="G5" s="15" t="s">
        <v>26</v>
      </c>
      <c r="H5" s="13" t="s">
        <v>27</v>
      </c>
      <c r="I5" s="16" t="s">
        <v>66</v>
      </c>
      <c r="J5" s="13" t="s">
        <v>33</v>
      </c>
    </row>
    <row r="6" ht="57.0" customHeight="1">
      <c r="A6" s="2" t="s">
        <v>67</v>
      </c>
      <c r="B6" s="3" t="s">
        <v>61</v>
      </c>
      <c r="C6" s="3" t="s">
        <v>68</v>
      </c>
      <c r="D6" s="3" t="s">
        <v>69</v>
      </c>
      <c r="E6" s="3" t="s">
        <v>70</v>
      </c>
      <c r="F6" s="4">
        <v>46261.0</v>
      </c>
      <c r="G6" s="6" t="s">
        <v>26</v>
      </c>
      <c r="H6" s="3" t="s">
        <v>27</v>
      </c>
      <c r="I6" s="10" t="s">
        <v>71</v>
      </c>
      <c r="J6" s="3" t="s">
        <v>33</v>
      </c>
    </row>
    <row r="7" ht="45.75" customHeight="1">
      <c r="A7" s="11" t="s">
        <v>75</v>
      </c>
      <c r="B7" s="13" t="s">
        <v>61</v>
      </c>
      <c r="C7" s="13" t="s">
        <v>80</v>
      </c>
      <c r="D7" s="13" t="s">
        <v>81</v>
      </c>
      <c r="E7" s="13" t="s">
        <v>82</v>
      </c>
      <c r="F7" s="14">
        <v>46261.0</v>
      </c>
      <c r="G7" s="15" t="s">
        <v>26</v>
      </c>
      <c r="H7" s="13" t="s">
        <v>84</v>
      </c>
      <c r="I7" s="16" t="s">
        <v>85</v>
      </c>
      <c r="J7" s="3" t="s">
        <v>33</v>
      </c>
    </row>
    <row r="8" ht="34.5" customHeight="1">
      <c r="A8" s="2" t="s">
        <v>87</v>
      </c>
      <c r="B8" s="3" t="s">
        <v>61</v>
      </c>
      <c r="C8" s="3" t="s">
        <v>91</v>
      </c>
      <c r="D8" s="3" t="s">
        <v>93</v>
      </c>
      <c r="E8" s="3" t="s">
        <v>96</v>
      </c>
      <c r="F8" s="4">
        <v>46261.0</v>
      </c>
      <c r="G8" s="6" t="s">
        <v>26</v>
      </c>
      <c r="H8" s="3" t="s">
        <v>100</v>
      </c>
      <c r="I8" s="10" t="s">
        <v>102</v>
      </c>
      <c r="J8" s="3" t="s">
        <v>33</v>
      </c>
    </row>
    <row r="9" ht="57.0" customHeight="1">
      <c r="A9" s="11" t="s">
        <v>104</v>
      </c>
      <c r="B9" s="13" t="s">
        <v>14</v>
      </c>
      <c r="C9" s="13" t="s">
        <v>106</v>
      </c>
      <c r="D9" s="13" t="s">
        <v>107</v>
      </c>
      <c r="E9" s="13" t="s">
        <v>108</v>
      </c>
      <c r="F9" s="14">
        <v>46261.0</v>
      </c>
      <c r="G9" s="15" t="s">
        <v>26</v>
      </c>
      <c r="H9" s="13" t="s">
        <v>109</v>
      </c>
      <c r="I9" s="16" t="s">
        <v>111</v>
      </c>
      <c r="J9" s="13" t="s">
        <v>33</v>
      </c>
    </row>
    <row r="10" ht="57.0" customHeight="1">
      <c r="A10" s="2" t="s">
        <v>113</v>
      </c>
      <c r="B10" s="3" t="s">
        <v>14</v>
      </c>
      <c r="C10" s="3" t="s">
        <v>114</v>
      </c>
      <c r="D10" s="3" t="s">
        <v>116</v>
      </c>
      <c r="E10" s="3" t="s">
        <v>118</v>
      </c>
      <c r="F10" s="4">
        <v>46261.0</v>
      </c>
      <c r="G10" s="6" t="s">
        <v>26</v>
      </c>
      <c r="H10" s="3" t="s">
        <v>109</v>
      </c>
      <c r="I10" s="10" t="s">
        <v>124</v>
      </c>
      <c r="J10" s="3" t="s">
        <v>33</v>
      </c>
    </row>
    <row r="11" ht="45.75" customHeight="1">
      <c r="A11" s="11" t="s">
        <v>127</v>
      </c>
      <c r="B11" s="13" t="s">
        <v>14</v>
      </c>
      <c r="C11" s="13" t="s">
        <v>128</v>
      </c>
      <c r="D11" s="13" t="s">
        <v>129</v>
      </c>
      <c r="E11" s="13" t="s">
        <v>130</v>
      </c>
      <c r="F11" s="14">
        <v>46261.0</v>
      </c>
      <c r="G11" s="15" t="s">
        <v>26</v>
      </c>
      <c r="H11" s="13" t="s">
        <v>133</v>
      </c>
      <c r="I11" s="16" t="s">
        <v>134</v>
      </c>
      <c r="J11" s="13" t="s">
        <v>36</v>
      </c>
    </row>
    <row r="12" ht="57.0" customHeight="1">
      <c r="A12" s="2" t="s">
        <v>139</v>
      </c>
      <c r="B12" s="3" t="s">
        <v>140</v>
      </c>
      <c r="C12" s="3" t="s">
        <v>141</v>
      </c>
      <c r="D12" s="3" t="s">
        <v>144</v>
      </c>
      <c r="E12" s="3" t="s">
        <v>146</v>
      </c>
      <c r="F12" s="4">
        <v>46261.0</v>
      </c>
      <c r="G12" s="6" t="s">
        <v>26</v>
      </c>
      <c r="H12" s="3" t="s">
        <v>109</v>
      </c>
      <c r="I12" s="10" t="s">
        <v>151</v>
      </c>
      <c r="J12" s="3" t="s">
        <v>33</v>
      </c>
    </row>
    <row r="13" ht="57.0" customHeight="1">
      <c r="A13" s="11" t="s">
        <v>153</v>
      </c>
      <c r="B13" s="13" t="s">
        <v>140</v>
      </c>
      <c r="C13" s="13" t="s">
        <v>157</v>
      </c>
      <c r="D13" s="13" t="s">
        <v>158</v>
      </c>
      <c r="E13" s="13" t="s">
        <v>159</v>
      </c>
      <c r="F13" s="14">
        <v>46261.0</v>
      </c>
      <c r="G13" s="15" t="s">
        <v>26</v>
      </c>
      <c r="H13" s="13" t="s">
        <v>109</v>
      </c>
      <c r="I13" s="16" t="s">
        <v>162</v>
      </c>
      <c r="J13" s="13" t="s">
        <v>33</v>
      </c>
    </row>
    <row r="14" ht="57.0" customHeight="1">
      <c r="A14" s="2" t="s">
        <v>167</v>
      </c>
      <c r="B14" s="3" t="s">
        <v>140</v>
      </c>
      <c r="C14" s="3" t="s">
        <v>171</v>
      </c>
      <c r="D14" s="3" t="s">
        <v>173</v>
      </c>
      <c r="E14" s="3" t="s">
        <v>175</v>
      </c>
      <c r="F14" s="4">
        <v>46261.0</v>
      </c>
      <c r="G14" s="6" t="s">
        <v>26</v>
      </c>
      <c r="H14" s="3" t="s">
        <v>109</v>
      </c>
      <c r="I14" s="10" t="s">
        <v>178</v>
      </c>
      <c r="J14" s="3" t="s">
        <v>33</v>
      </c>
    </row>
    <row r="15" ht="45.75" customHeight="1">
      <c r="A15" s="11" t="s">
        <v>182</v>
      </c>
      <c r="B15" s="13" t="s">
        <v>140</v>
      </c>
      <c r="C15" s="13" t="s">
        <v>184</v>
      </c>
      <c r="D15" s="13" t="s">
        <v>185</v>
      </c>
      <c r="E15" s="13" t="s">
        <v>186</v>
      </c>
      <c r="F15" s="14">
        <v>46261.0</v>
      </c>
      <c r="G15" s="15" t="s">
        <v>26</v>
      </c>
      <c r="H15" s="13" t="s">
        <v>192</v>
      </c>
      <c r="I15" s="16" t="s">
        <v>195</v>
      </c>
      <c r="J15" s="13" t="s">
        <v>36</v>
      </c>
    </row>
    <row r="16" ht="45.75" customHeight="1">
      <c r="A16" s="2" t="s">
        <v>200</v>
      </c>
      <c r="B16" s="3" t="s">
        <v>140</v>
      </c>
      <c r="C16" s="3" t="s">
        <v>203</v>
      </c>
      <c r="D16" s="3" t="s">
        <v>206</v>
      </c>
      <c r="E16" s="3" t="s">
        <v>208</v>
      </c>
      <c r="F16" s="4">
        <v>46261.0</v>
      </c>
      <c r="G16" s="6" t="s">
        <v>26</v>
      </c>
      <c r="H16" s="3" t="s">
        <v>214</v>
      </c>
      <c r="I16" s="10" t="s">
        <v>216</v>
      </c>
      <c r="J16" s="3" t="s">
        <v>36</v>
      </c>
    </row>
    <row r="17" ht="45.75" customHeight="1">
      <c r="A17" s="11" t="s">
        <v>217</v>
      </c>
      <c r="B17" s="13" t="s">
        <v>140</v>
      </c>
      <c r="C17" s="13" t="s">
        <v>220</v>
      </c>
      <c r="D17" s="13" t="s">
        <v>222</v>
      </c>
      <c r="E17" s="13" t="s">
        <v>223</v>
      </c>
      <c r="F17" s="14">
        <v>46261.0</v>
      </c>
      <c r="G17" s="15" t="s">
        <v>26</v>
      </c>
      <c r="H17" s="13" t="s">
        <v>229</v>
      </c>
      <c r="I17" s="16" t="s">
        <v>232</v>
      </c>
      <c r="J17" s="13" t="s">
        <v>36</v>
      </c>
    </row>
    <row r="18" ht="45.75" customHeight="1">
      <c r="A18" s="2" t="s">
        <v>235</v>
      </c>
      <c r="B18" s="3" t="s">
        <v>140</v>
      </c>
      <c r="C18" s="3" t="s">
        <v>239</v>
      </c>
      <c r="D18" s="3" t="s">
        <v>241</v>
      </c>
      <c r="E18" s="3" t="s">
        <v>242</v>
      </c>
      <c r="F18" s="4">
        <v>46261.0</v>
      </c>
      <c r="G18" s="6" t="s">
        <v>26</v>
      </c>
      <c r="H18" s="3" t="s">
        <v>247</v>
      </c>
      <c r="I18" s="10" t="s">
        <v>250</v>
      </c>
      <c r="J18" s="3" t="s">
        <v>36</v>
      </c>
    </row>
    <row r="19" ht="45.75" customHeight="1">
      <c r="A19" s="11" t="s">
        <v>255</v>
      </c>
      <c r="B19" s="13" t="s">
        <v>88</v>
      </c>
      <c r="C19" s="13" t="s">
        <v>258</v>
      </c>
      <c r="D19" s="13" t="s">
        <v>259</v>
      </c>
      <c r="E19" s="13" t="s">
        <v>260</v>
      </c>
      <c r="F19" s="14">
        <v>46261.0</v>
      </c>
      <c r="G19" s="15" t="s">
        <v>26</v>
      </c>
      <c r="H19" s="13" t="s">
        <v>109</v>
      </c>
      <c r="I19" s="16" t="s">
        <v>265</v>
      </c>
      <c r="J19" s="13" t="s">
        <v>33</v>
      </c>
    </row>
    <row r="20" ht="57.0" customHeight="1">
      <c r="A20" s="2" t="s">
        <v>268</v>
      </c>
      <c r="B20" s="3" t="s">
        <v>88</v>
      </c>
      <c r="C20" s="3" t="s">
        <v>271</v>
      </c>
      <c r="D20" s="3" t="s">
        <v>272</v>
      </c>
      <c r="E20" s="3" t="s">
        <v>274</v>
      </c>
      <c r="F20" s="4">
        <v>46261.0</v>
      </c>
      <c r="G20" s="6" t="s">
        <v>26</v>
      </c>
      <c r="H20" s="3" t="s">
        <v>27</v>
      </c>
      <c r="I20" s="10" t="s">
        <v>281</v>
      </c>
      <c r="J20" s="3" t="s">
        <v>33</v>
      </c>
    </row>
    <row r="21" ht="34.5" customHeight="1">
      <c r="A21" s="11" t="s">
        <v>286</v>
      </c>
      <c r="B21" s="13" t="s">
        <v>88</v>
      </c>
      <c r="C21" s="13" t="s">
        <v>287</v>
      </c>
      <c r="D21" s="13" t="s">
        <v>289</v>
      </c>
      <c r="E21" s="13" t="s">
        <v>291</v>
      </c>
      <c r="F21" s="14">
        <v>46261.0</v>
      </c>
      <c r="G21" s="15" t="s">
        <v>26</v>
      </c>
      <c r="H21" s="13" t="s">
        <v>296</v>
      </c>
      <c r="I21" s="16" t="s">
        <v>298</v>
      </c>
      <c r="J21" s="13" t="s">
        <v>36</v>
      </c>
    </row>
    <row r="22" ht="57.0" customHeight="1">
      <c r="A22" s="2" t="s">
        <v>302</v>
      </c>
      <c r="B22" s="3" t="s">
        <v>304</v>
      </c>
      <c r="C22" s="3" t="s">
        <v>306</v>
      </c>
      <c r="D22" s="3" t="s">
        <v>308</v>
      </c>
      <c r="E22" s="3" t="s">
        <v>309</v>
      </c>
      <c r="F22" s="4">
        <v>46261.0</v>
      </c>
      <c r="G22" s="6" t="s">
        <v>26</v>
      </c>
      <c r="H22" s="3" t="s">
        <v>27</v>
      </c>
      <c r="I22" s="10" t="s">
        <v>314</v>
      </c>
      <c r="J22" s="3" t="s">
        <v>33</v>
      </c>
    </row>
    <row r="23" ht="57.0" customHeight="1">
      <c r="A23" s="11" t="s">
        <v>319</v>
      </c>
      <c r="B23" s="13" t="s">
        <v>304</v>
      </c>
      <c r="C23" s="13" t="s">
        <v>321</v>
      </c>
      <c r="D23" s="13" t="s">
        <v>323</v>
      </c>
      <c r="E23" s="13" t="s">
        <v>324</v>
      </c>
      <c r="F23" s="14">
        <v>46261.0</v>
      </c>
      <c r="G23" s="15" t="s">
        <v>26</v>
      </c>
      <c r="H23" s="13" t="s">
        <v>27</v>
      </c>
      <c r="I23" s="16" t="s">
        <v>329</v>
      </c>
      <c r="J23" s="13" t="s">
        <v>33</v>
      </c>
    </row>
    <row r="24" ht="57.0" customHeight="1">
      <c r="A24" s="2" t="s">
        <v>336</v>
      </c>
      <c r="B24" s="3" t="s">
        <v>338</v>
      </c>
      <c r="C24" s="3" t="s">
        <v>339</v>
      </c>
      <c r="D24" s="3" t="s">
        <v>341</v>
      </c>
      <c r="E24" s="3" t="s">
        <v>342</v>
      </c>
      <c r="F24" s="4">
        <v>46261.0</v>
      </c>
      <c r="G24" s="6" t="s">
        <v>26</v>
      </c>
      <c r="H24" s="3" t="s">
        <v>27</v>
      </c>
      <c r="I24" s="10" t="s">
        <v>349</v>
      </c>
      <c r="J24" s="3" t="s">
        <v>33</v>
      </c>
    </row>
    <row r="25" ht="57.0" customHeight="1">
      <c r="A25" s="11" t="s">
        <v>352</v>
      </c>
      <c r="B25" s="13" t="s">
        <v>338</v>
      </c>
      <c r="C25" s="13" t="s">
        <v>355</v>
      </c>
      <c r="D25" s="13" t="s">
        <v>357</v>
      </c>
      <c r="E25" s="13" t="s">
        <v>358</v>
      </c>
      <c r="F25" s="14">
        <v>46261.0</v>
      </c>
      <c r="G25" s="15" t="s">
        <v>26</v>
      </c>
      <c r="H25" s="13" t="s">
        <v>27</v>
      </c>
      <c r="I25" s="16" t="s">
        <v>363</v>
      </c>
      <c r="J25" s="13" t="s">
        <v>33</v>
      </c>
    </row>
    <row r="26" ht="45.75" customHeight="1">
      <c r="A26" s="2" t="s">
        <v>368</v>
      </c>
      <c r="B26" s="3" t="s">
        <v>338</v>
      </c>
      <c r="C26" s="3" t="s">
        <v>369</v>
      </c>
      <c r="D26" s="3" t="s">
        <v>370</v>
      </c>
      <c r="E26" s="3" t="s">
        <v>372</v>
      </c>
      <c r="F26" s="4">
        <v>46261.0</v>
      </c>
      <c r="G26" s="6" t="s">
        <v>26</v>
      </c>
      <c r="H26" s="3" t="s">
        <v>375</v>
      </c>
      <c r="I26" s="10" t="s">
        <v>385</v>
      </c>
      <c r="J26" s="3" t="s">
        <v>36</v>
      </c>
    </row>
    <row r="27" ht="34.5" customHeight="1">
      <c r="A27" s="11" t="s">
        <v>395</v>
      </c>
      <c r="B27" s="13" t="s">
        <v>338</v>
      </c>
      <c r="C27" s="13" t="s">
        <v>398</v>
      </c>
      <c r="D27" s="13" t="s">
        <v>399</v>
      </c>
      <c r="E27" s="13" t="s">
        <v>401</v>
      </c>
      <c r="F27" s="14">
        <v>46261.0</v>
      </c>
      <c r="G27" s="15" t="s">
        <v>26</v>
      </c>
      <c r="H27" s="13" t="s">
        <v>405</v>
      </c>
      <c r="I27" s="16" t="s">
        <v>408</v>
      </c>
      <c r="J27" s="13" t="s">
        <v>36</v>
      </c>
    </row>
    <row r="28" ht="57.0" customHeight="1">
      <c r="A28" s="2" t="s">
        <v>414</v>
      </c>
      <c r="B28" s="3" t="s">
        <v>415</v>
      </c>
      <c r="C28" s="3" t="s">
        <v>417</v>
      </c>
      <c r="D28" s="3" t="s">
        <v>420</v>
      </c>
      <c r="E28" s="3" t="s">
        <v>423</v>
      </c>
      <c r="F28" s="4">
        <v>46261.0</v>
      </c>
      <c r="G28" s="6" t="s">
        <v>26</v>
      </c>
      <c r="H28" s="3" t="s">
        <v>27</v>
      </c>
      <c r="I28" s="10" t="s">
        <v>428</v>
      </c>
      <c r="J28" s="3" t="s">
        <v>33</v>
      </c>
    </row>
    <row r="29" ht="57.0" customHeight="1">
      <c r="A29" s="11" t="s">
        <v>432</v>
      </c>
      <c r="B29" s="13" t="s">
        <v>415</v>
      </c>
      <c r="C29" s="13" t="s">
        <v>433</v>
      </c>
      <c r="D29" s="13" t="s">
        <v>435</v>
      </c>
      <c r="E29" s="13" t="s">
        <v>437</v>
      </c>
      <c r="F29" s="14">
        <v>46261.0</v>
      </c>
      <c r="G29" s="15" t="s">
        <v>26</v>
      </c>
      <c r="H29" s="13" t="s">
        <v>27</v>
      </c>
      <c r="I29" s="16" t="s">
        <v>441</v>
      </c>
      <c r="J29" s="13" t="s">
        <v>33</v>
      </c>
    </row>
    <row r="30" ht="57.0" customHeight="1">
      <c r="A30" s="2" t="s">
        <v>443</v>
      </c>
      <c r="B30" s="3" t="s">
        <v>163</v>
      </c>
      <c r="C30" s="3" t="s">
        <v>444</v>
      </c>
      <c r="D30" s="3" t="s">
        <v>445</v>
      </c>
      <c r="E30" s="3" t="s">
        <v>446</v>
      </c>
      <c r="F30" s="4">
        <v>46261.0</v>
      </c>
      <c r="G30" s="6" t="s">
        <v>26</v>
      </c>
      <c r="H30" s="3" t="s">
        <v>27</v>
      </c>
      <c r="I30" s="10" t="s">
        <v>449</v>
      </c>
      <c r="J30" s="3" t="s">
        <v>33</v>
      </c>
    </row>
    <row r="31" ht="57.0" customHeight="1">
      <c r="A31" s="11" t="s">
        <v>451</v>
      </c>
      <c r="B31" s="13" t="s">
        <v>163</v>
      </c>
      <c r="C31" s="13" t="s">
        <v>454</v>
      </c>
      <c r="D31" s="13" t="s">
        <v>455</v>
      </c>
      <c r="E31" s="13" t="s">
        <v>456</v>
      </c>
      <c r="F31" s="14">
        <v>46261.0</v>
      </c>
      <c r="G31" s="15" t="s">
        <v>26</v>
      </c>
      <c r="H31" s="13" t="s">
        <v>27</v>
      </c>
      <c r="I31" s="16" t="s">
        <v>459</v>
      </c>
      <c r="J31" s="13" t="s">
        <v>33</v>
      </c>
    </row>
    <row r="32" ht="34.5" customHeight="1">
      <c r="A32" s="2" t="s">
        <v>460</v>
      </c>
      <c r="B32" s="3" t="s">
        <v>163</v>
      </c>
      <c r="C32" s="3" t="s">
        <v>464</v>
      </c>
      <c r="D32" s="3" t="s">
        <v>466</v>
      </c>
      <c r="E32" s="3" t="s">
        <v>468</v>
      </c>
      <c r="F32" s="4">
        <v>46261.0</v>
      </c>
      <c r="G32" s="6" t="s">
        <v>26</v>
      </c>
      <c r="H32" s="3" t="s">
        <v>470</v>
      </c>
      <c r="I32" s="10" t="s">
        <v>471</v>
      </c>
      <c r="J32" s="3" t="s">
        <v>36</v>
      </c>
    </row>
    <row r="33" ht="57.0" customHeight="1">
      <c r="A33" s="11" t="s">
        <v>475</v>
      </c>
      <c r="B33" s="13" t="s">
        <v>191</v>
      </c>
      <c r="C33" s="13" t="s">
        <v>477</v>
      </c>
      <c r="D33" s="13" t="s">
        <v>478</v>
      </c>
      <c r="E33" s="13" t="s">
        <v>479</v>
      </c>
      <c r="F33" s="14">
        <v>46261.0</v>
      </c>
      <c r="G33" s="15" t="s">
        <v>26</v>
      </c>
      <c r="H33" s="13" t="s">
        <v>234</v>
      </c>
      <c r="I33" s="16" t="s">
        <v>483</v>
      </c>
      <c r="J33" s="13" t="s">
        <v>33</v>
      </c>
    </row>
    <row r="34" ht="57.0" customHeight="1">
      <c r="A34" s="2" t="s">
        <v>486</v>
      </c>
      <c r="B34" s="3" t="s">
        <v>191</v>
      </c>
      <c r="C34" s="3" t="s">
        <v>489</v>
      </c>
      <c r="D34" s="3" t="s">
        <v>491</v>
      </c>
      <c r="E34" s="3" t="s">
        <v>492</v>
      </c>
      <c r="F34" s="4">
        <v>46261.0</v>
      </c>
      <c r="G34" s="6" t="s">
        <v>26</v>
      </c>
      <c r="H34" s="3" t="s">
        <v>234</v>
      </c>
      <c r="I34" s="10" t="s">
        <v>497</v>
      </c>
      <c r="J34" s="3" t="s">
        <v>33</v>
      </c>
    </row>
    <row r="35" ht="45.75" customHeight="1">
      <c r="A35" s="11" t="s">
        <v>503</v>
      </c>
      <c r="B35" s="13" t="s">
        <v>191</v>
      </c>
      <c r="C35" s="13" t="s">
        <v>504</v>
      </c>
      <c r="D35" s="13" t="s">
        <v>506</v>
      </c>
      <c r="E35" s="13" t="s">
        <v>508</v>
      </c>
      <c r="F35" s="14">
        <v>46261.0</v>
      </c>
      <c r="G35" s="15" t="s">
        <v>26</v>
      </c>
      <c r="H35" s="13" t="s">
        <v>512</v>
      </c>
      <c r="I35" s="16" t="s">
        <v>515</v>
      </c>
      <c r="J35" s="13" t="s">
        <v>36</v>
      </c>
    </row>
    <row r="36" ht="45.75" customHeight="1">
      <c r="A36" s="2" t="s">
        <v>519</v>
      </c>
      <c r="B36" s="3" t="s">
        <v>248</v>
      </c>
      <c r="C36" s="3" t="s">
        <v>521</v>
      </c>
      <c r="D36" s="3" t="s">
        <v>524</v>
      </c>
      <c r="E36" s="3" t="s">
        <v>526</v>
      </c>
      <c r="F36" s="4">
        <v>46261.0</v>
      </c>
      <c r="G36" s="6" t="s">
        <v>26</v>
      </c>
      <c r="H36" s="3" t="s">
        <v>529</v>
      </c>
      <c r="I36" s="10" t="s">
        <v>530</v>
      </c>
      <c r="J36" s="3" t="s">
        <v>36</v>
      </c>
    </row>
    <row r="37" ht="57.0" customHeight="1">
      <c r="A37" s="11" t="s">
        <v>532</v>
      </c>
      <c r="B37" s="13" t="s">
        <v>533</v>
      </c>
      <c r="C37" s="13" t="s">
        <v>534</v>
      </c>
      <c r="D37" s="13" t="s">
        <v>535</v>
      </c>
      <c r="E37" s="13" t="s">
        <v>536</v>
      </c>
      <c r="F37" s="14">
        <v>46261.0</v>
      </c>
      <c r="G37" s="15" t="s">
        <v>26</v>
      </c>
      <c r="H37" s="13" t="s">
        <v>27</v>
      </c>
      <c r="I37" s="16" t="s">
        <v>537</v>
      </c>
      <c r="J37" s="13" t="s">
        <v>33</v>
      </c>
    </row>
    <row r="38" ht="45.75" customHeight="1">
      <c r="A38" s="2" t="s">
        <v>539</v>
      </c>
      <c r="B38" s="3" t="s">
        <v>533</v>
      </c>
      <c r="C38" s="3" t="s">
        <v>540</v>
      </c>
      <c r="D38" s="3" t="s">
        <v>541</v>
      </c>
      <c r="E38" s="3" t="s">
        <v>542</v>
      </c>
      <c r="F38" s="14">
        <v>46261.0</v>
      </c>
      <c r="G38" s="6" t="s">
        <v>26</v>
      </c>
      <c r="H38" s="3" t="s">
        <v>543</v>
      </c>
      <c r="I38" s="10" t="s">
        <v>544</v>
      </c>
      <c r="J38" s="3" t="s">
        <v>545</v>
      </c>
    </row>
    <row r="39" ht="57.0" customHeight="1">
      <c r="A39" s="11" t="s">
        <v>547</v>
      </c>
      <c r="B39" s="13" t="s">
        <v>276</v>
      </c>
      <c r="C39" s="13" t="s">
        <v>548</v>
      </c>
      <c r="D39" s="13" t="s">
        <v>549</v>
      </c>
      <c r="E39" s="13" t="s">
        <v>550</v>
      </c>
      <c r="F39" s="14">
        <v>46261.0</v>
      </c>
      <c r="G39" s="15" t="s">
        <v>26</v>
      </c>
      <c r="H39" s="13" t="s">
        <v>27</v>
      </c>
      <c r="I39" s="16" t="s">
        <v>551</v>
      </c>
      <c r="J39" s="13" t="s">
        <v>33</v>
      </c>
    </row>
    <row r="40" ht="57.0" customHeight="1">
      <c r="A40" s="2" t="s">
        <v>553</v>
      </c>
      <c r="B40" s="3" t="s">
        <v>276</v>
      </c>
      <c r="C40" s="3" t="s">
        <v>555</v>
      </c>
      <c r="D40" s="3" t="s">
        <v>557</v>
      </c>
      <c r="E40" s="3" t="s">
        <v>558</v>
      </c>
      <c r="F40" s="4">
        <v>46261.0</v>
      </c>
      <c r="G40" s="6" t="s">
        <v>26</v>
      </c>
      <c r="H40" s="3" t="s">
        <v>27</v>
      </c>
      <c r="I40" s="10" t="s">
        <v>559</v>
      </c>
      <c r="J40" s="3" t="s">
        <v>33</v>
      </c>
    </row>
    <row r="41" ht="57.0" customHeight="1">
      <c r="A41" s="11" t="s">
        <v>560</v>
      </c>
      <c r="B41" s="13" t="s">
        <v>276</v>
      </c>
      <c r="C41" s="13" t="s">
        <v>561</v>
      </c>
      <c r="D41" s="13" t="s">
        <v>562</v>
      </c>
      <c r="E41" s="13" t="s">
        <v>563</v>
      </c>
      <c r="F41" s="14">
        <v>46261.0</v>
      </c>
      <c r="G41" s="15" t="s">
        <v>26</v>
      </c>
      <c r="H41" s="13" t="s">
        <v>564</v>
      </c>
      <c r="I41" s="16" t="s">
        <v>565</v>
      </c>
      <c r="J41" s="13" t="s">
        <v>566</v>
      </c>
    </row>
    <row r="42" ht="57.0" customHeight="1">
      <c r="A42" s="2" t="s">
        <v>567</v>
      </c>
      <c r="B42" s="3" t="s">
        <v>276</v>
      </c>
      <c r="C42" s="3" t="s">
        <v>568</v>
      </c>
      <c r="D42" s="3" t="s">
        <v>569</v>
      </c>
      <c r="E42" s="3" t="s">
        <v>570</v>
      </c>
      <c r="F42" s="4">
        <v>46261.0</v>
      </c>
      <c r="G42" s="6" t="s">
        <v>26</v>
      </c>
      <c r="H42" s="3" t="s">
        <v>571</v>
      </c>
      <c r="I42" s="10" t="s">
        <v>572</v>
      </c>
      <c r="J42" s="3" t="s">
        <v>33</v>
      </c>
    </row>
    <row r="43" ht="57.0" customHeight="1">
      <c r="A43" s="11" t="s">
        <v>573</v>
      </c>
      <c r="B43" s="13" t="s">
        <v>276</v>
      </c>
      <c r="C43" s="13" t="s">
        <v>574</v>
      </c>
      <c r="D43" s="13" t="s">
        <v>575</v>
      </c>
      <c r="E43" s="13" t="s">
        <v>576</v>
      </c>
      <c r="F43" s="14">
        <v>46261.0</v>
      </c>
      <c r="G43" s="15" t="s">
        <v>26</v>
      </c>
      <c r="H43" s="13" t="s">
        <v>571</v>
      </c>
      <c r="I43" s="16" t="s">
        <v>577</v>
      </c>
      <c r="J43" s="13" t="s">
        <v>33</v>
      </c>
    </row>
    <row r="44" ht="45.75" customHeight="1">
      <c r="A44" s="2" t="s">
        <v>578</v>
      </c>
      <c r="B44" s="3" t="s">
        <v>276</v>
      </c>
      <c r="C44" s="3" t="s">
        <v>579</v>
      </c>
      <c r="D44" s="3" t="s">
        <v>580</v>
      </c>
      <c r="E44" s="3" t="s">
        <v>581</v>
      </c>
      <c r="F44" s="4">
        <v>46261.0</v>
      </c>
      <c r="G44" s="6" t="s">
        <v>26</v>
      </c>
      <c r="H44" s="3" t="s">
        <v>582</v>
      </c>
      <c r="I44" s="10" t="s">
        <v>583</v>
      </c>
      <c r="J44" s="3" t="s">
        <v>33</v>
      </c>
    </row>
    <row r="45" ht="79.5" customHeight="1">
      <c r="A45" s="11" t="s">
        <v>585</v>
      </c>
      <c r="B45" s="13" t="s">
        <v>276</v>
      </c>
      <c r="C45" s="13" t="s">
        <v>588</v>
      </c>
      <c r="D45" s="13" t="s">
        <v>589</v>
      </c>
      <c r="E45" s="13" t="s">
        <v>590</v>
      </c>
      <c r="F45" s="14">
        <v>46261.0</v>
      </c>
      <c r="G45" s="15" t="s">
        <v>26</v>
      </c>
      <c r="H45" s="13" t="s">
        <v>591</v>
      </c>
      <c r="I45" s="16" t="s">
        <v>592</v>
      </c>
      <c r="J45" s="13" t="s">
        <v>36</v>
      </c>
    </row>
    <row r="46" ht="57.0" customHeight="1">
      <c r="A46" s="2" t="s">
        <v>593</v>
      </c>
      <c r="B46" s="3" t="s">
        <v>276</v>
      </c>
      <c r="C46" s="3" t="s">
        <v>594</v>
      </c>
      <c r="D46" s="3" t="s">
        <v>595</v>
      </c>
      <c r="E46" s="3" t="s">
        <v>596</v>
      </c>
      <c r="F46" s="4">
        <v>46261.0</v>
      </c>
      <c r="G46" s="6" t="s">
        <v>26</v>
      </c>
      <c r="H46" s="3" t="s">
        <v>597</v>
      </c>
      <c r="I46" s="10" t="s">
        <v>598</v>
      </c>
      <c r="J46" s="3" t="s">
        <v>36</v>
      </c>
    </row>
    <row r="47" ht="57.0" customHeight="1">
      <c r="A47" s="11" t="s">
        <v>599</v>
      </c>
      <c r="B47" s="13" t="s">
        <v>326</v>
      </c>
      <c r="C47" s="13" t="s">
        <v>600</v>
      </c>
      <c r="D47" s="13" t="s">
        <v>601</v>
      </c>
      <c r="E47" s="13" t="s">
        <v>602</v>
      </c>
      <c r="F47" s="14">
        <v>46261.0</v>
      </c>
      <c r="G47" s="15" t="s">
        <v>26</v>
      </c>
      <c r="H47" s="13" t="s">
        <v>27</v>
      </c>
      <c r="I47" s="16" t="s">
        <v>603</v>
      </c>
      <c r="J47" s="13" t="s">
        <v>33</v>
      </c>
    </row>
    <row r="48" ht="57.0" customHeight="1">
      <c r="A48" s="2" t="s">
        <v>604</v>
      </c>
      <c r="B48" s="3" t="s">
        <v>326</v>
      </c>
      <c r="C48" s="3" t="s">
        <v>605</v>
      </c>
      <c r="D48" s="3" t="s">
        <v>606</v>
      </c>
      <c r="E48" s="3" t="s">
        <v>607</v>
      </c>
      <c r="F48" s="4">
        <v>46261.0</v>
      </c>
      <c r="G48" s="6" t="s">
        <v>26</v>
      </c>
      <c r="H48" s="3" t="s">
        <v>27</v>
      </c>
      <c r="I48" s="10" t="s">
        <v>608</v>
      </c>
      <c r="J48" s="3" t="s">
        <v>33</v>
      </c>
    </row>
    <row r="49" ht="57.0" customHeight="1">
      <c r="A49" s="11" t="s">
        <v>609</v>
      </c>
      <c r="B49" s="13" t="s">
        <v>610</v>
      </c>
      <c r="C49" s="13" t="s">
        <v>611</v>
      </c>
      <c r="D49" s="13" t="s">
        <v>612</v>
      </c>
      <c r="E49" s="13" t="s">
        <v>613</v>
      </c>
      <c r="F49" s="14">
        <v>46261.0</v>
      </c>
      <c r="G49" s="15" t="s">
        <v>26</v>
      </c>
      <c r="H49" s="13" t="s">
        <v>614</v>
      </c>
      <c r="I49" s="16" t="s">
        <v>615</v>
      </c>
      <c r="J49" s="13" t="s">
        <v>616</v>
      </c>
    </row>
    <row r="50" ht="34.5" customHeight="1">
      <c r="A50" s="2" t="s">
        <v>617</v>
      </c>
      <c r="B50" s="3" t="s">
        <v>610</v>
      </c>
      <c r="C50" s="3" t="s">
        <v>618</v>
      </c>
      <c r="D50" s="3" t="s">
        <v>619</v>
      </c>
      <c r="E50" s="3" t="s">
        <v>620</v>
      </c>
      <c r="F50" s="4">
        <v>46261.0</v>
      </c>
      <c r="G50" s="6" t="s">
        <v>26</v>
      </c>
      <c r="H50" s="3" t="s">
        <v>621</v>
      </c>
      <c r="I50" s="10" t="s">
        <v>622</v>
      </c>
      <c r="J50" s="3" t="s">
        <v>36</v>
      </c>
    </row>
    <row r="51" ht="57.0" customHeight="1">
      <c r="A51" s="11" t="s">
        <v>623</v>
      </c>
      <c r="B51" s="13" t="s">
        <v>452</v>
      </c>
      <c r="C51" s="13" t="s">
        <v>624</v>
      </c>
      <c r="D51" s="13" t="s">
        <v>625</v>
      </c>
      <c r="E51" s="13" t="s">
        <v>626</v>
      </c>
      <c r="F51" s="14">
        <v>46261.0</v>
      </c>
      <c r="G51" s="15" t="s">
        <v>26</v>
      </c>
      <c r="H51" s="13" t="s">
        <v>27</v>
      </c>
      <c r="I51" s="16" t="s">
        <v>627</v>
      </c>
      <c r="J51" s="13" t="s">
        <v>33</v>
      </c>
    </row>
    <row r="52" ht="57.0" customHeight="1">
      <c r="A52" s="2" t="s">
        <v>628</v>
      </c>
      <c r="B52" s="3" t="s">
        <v>452</v>
      </c>
      <c r="C52" s="3" t="s">
        <v>629</v>
      </c>
      <c r="D52" s="3" t="s">
        <v>630</v>
      </c>
      <c r="E52" s="3" t="s">
        <v>631</v>
      </c>
      <c r="F52" s="4">
        <v>46261.0</v>
      </c>
      <c r="G52" s="6" t="s">
        <v>26</v>
      </c>
      <c r="H52" s="3" t="s">
        <v>27</v>
      </c>
      <c r="I52" s="10" t="s">
        <v>632</v>
      </c>
      <c r="J52" s="3" t="s">
        <v>33</v>
      </c>
    </row>
    <row r="53" ht="57.0" customHeight="1">
      <c r="A53" s="11" t="s">
        <v>633</v>
      </c>
      <c r="B53" s="13" t="s">
        <v>634</v>
      </c>
      <c r="C53" s="13" t="s">
        <v>635</v>
      </c>
      <c r="D53" s="13" t="s">
        <v>636</v>
      </c>
      <c r="E53" s="13" t="s">
        <v>637</v>
      </c>
      <c r="F53" s="14">
        <v>46261.0</v>
      </c>
      <c r="G53" s="15" t="s">
        <v>26</v>
      </c>
      <c r="H53" s="13" t="s">
        <v>27</v>
      </c>
      <c r="I53" s="16" t="s">
        <v>638</v>
      </c>
      <c r="J53" s="13" t="s">
        <v>33</v>
      </c>
    </row>
    <row r="54" ht="57.0" customHeight="1">
      <c r="A54" s="2" t="s">
        <v>639</v>
      </c>
      <c r="B54" s="3" t="s">
        <v>377</v>
      </c>
      <c r="C54" s="3" t="s">
        <v>640</v>
      </c>
      <c r="D54" s="3" t="s">
        <v>641</v>
      </c>
      <c r="E54" s="3" t="s">
        <v>642</v>
      </c>
      <c r="F54" s="4">
        <v>46261.0</v>
      </c>
      <c r="G54" s="6" t="s">
        <v>26</v>
      </c>
      <c r="H54" s="3" t="s">
        <v>27</v>
      </c>
      <c r="I54" s="10" t="s">
        <v>643</v>
      </c>
      <c r="J54" s="3" t="s">
        <v>33</v>
      </c>
    </row>
    <row r="55" ht="57.0" customHeight="1">
      <c r="A55" s="11" t="s">
        <v>644</v>
      </c>
      <c r="B55" s="13" t="s">
        <v>377</v>
      </c>
      <c r="C55" s="13" t="s">
        <v>645</v>
      </c>
      <c r="D55" s="13" t="s">
        <v>646</v>
      </c>
      <c r="E55" s="13" t="s">
        <v>647</v>
      </c>
      <c r="F55" s="14">
        <v>46261.0</v>
      </c>
      <c r="G55" s="15" t="s">
        <v>26</v>
      </c>
      <c r="H55" s="13" t="s">
        <v>27</v>
      </c>
      <c r="I55" s="16" t="s">
        <v>648</v>
      </c>
      <c r="J55" s="13" t="s">
        <v>33</v>
      </c>
    </row>
    <row r="56" ht="57.0" customHeight="1">
      <c r="A56" s="2" t="s">
        <v>650</v>
      </c>
      <c r="B56" s="3" t="s">
        <v>377</v>
      </c>
      <c r="C56" s="3" t="s">
        <v>651</v>
      </c>
      <c r="D56" s="3" t="s">
        <v>652</v>
      </c>
      <c r="E56" s="3" t="s">
        <v>653</v>
      </c>
      <c r="F56" s="4">
        <v>46261.0</v>
      </c>
      <c r="G56" s="6" t="s">
        <v>26</v>
      </c>
      <c r="H56" s="3" t="s">
        <v>655</v>
      </c>
      <c r="I56" s="10" t="s">
        <v>656</v>
      </c>
      <c r="J56" s="3" t="s">
        <v>33</v>
      </c>
    </row>
    <row r="57" ht="45.75" customHeight="1">
      <c r="A57" s="11" t="s">
        <v>658</v>
      </c>
      <c r="B57" s="13" t="s">
        <v>377</v>
      </c>
      <c r="C57" s="13" t="s">
        <v>659</v>
      </c>
      <c r="D57" s="13" t="s">
        <v>661</v>
      </c>
      <c r="E57" s="13" t="s">
        <v>662</v>
      </c>
      <c r="F57" s="14">
        <v>46261.0</v>
      </c>
      <c r="G57" s="15" t="s">
        <v>26</v>
      </c>
      <c r="H57" s="13" t="s">
        <v>663</v>
      </c>
      <c r="I57" s="16" t="s">
        <v>664</v>
      </c>
      <c r="J57" s="13" t="s">
        <v>36</v>
      </c>
    </row>
    <row r="58" ht="57.0" customHeight="1">
      <c r="A58" s="2" t="s">
        <v>665</v>
      </c>
      <c r="B58" s="3" t="s">
        <v>667</v>
      </c>
      <c r="C58" s="3" t="s">
        <v>668</v>
      </c>
      <c r="D58" s="3" t="s">
        <v>670</v>
      </c>
      <c r="E58" s="3" t="s">
        <v>672</v>
      </c>
      <c r="F58" s="4">
        <v>46261.0</v>
      </c>
      <c r="G58" s="6" t="s">
        <v>26</v>
      </c>
      <c r="H58" s="3" t="s">
        <v>27</v>
      </c>
      <c r="I58" s="10" t="s">
        <v>674</v>
      </c>
      <c r="J58" s="3" t="s">
        <v>33</v>
      </c>
    </row>
    <row r="59" ht="57.0" customHeight="1">
      <c r="A59" s="11" t="s">
        <v>675</v>
      </c>
      <c r="B59" s="13" t="s">
        <v>472</v>
      </c>
      <c r="C59" s="13" t="s">
        <v>676</v>
      </c>
      <c r="D59" s="13" t="s">
        <v>677</v>
      </c>
      <c r="E59" s="13" t="s">
        <v>678</v>
      </c>
      <c r="F59" s="14">
        <v>46261.0</v>
      </c>
      <c r="G59" s="15" t="s">
        <v>26</v>
      </c>
      <c r="H59" s="13" t="s">
        <v>679</v>
      </c>
      <c r="I59" s="16" t="s">
        <v>680</v>
      </c>
      <c r="J59" s="13" t="s">
        <v>36</v>
      </c>
    </row>
    <row r="60" ht="45.75" customHeight="1">
      <c r="A60" s="2" t="s">
        <v>681</v>
      </c>
      <c r="B60" s="3" t="s">
        <v>472</v>
      </c>
      <c r="C60" s="3" t="s">
        <v>682</v>
      </c>
      <c r="D60" s="3" t="s">
        <v>683</v>
      </c>
      <c r="E60" s="3" t="s">
        <v>684</v>
      </c>
      <c r="F60" s="4">
        <v>46261.0</v>
      </c>
      <c r="G60" s="6" t="s">
        <v>26</v>
      </c>
      <c r="H60" s="3" t="s">
        <v>685</v>
      </c>
      <c r="I60" s="10" t="s">
        <v>686</v>
      </c>
      <c r="J60" s="3" t="s">
        <v>36</v>
      </c>
    </row>
    <row r="61" ht="45.75" customHeight="1">
      <c r="A61" s="11" t="s">
        <v>687</v>
      </c>
      <c r="B61" s="13" t="s">
        <v>688</v>
      </c>
      <c r="C61" s="13" t="s">
        <v>689</v>
      </c>
      <c r="D61" s="13" t="s">
        <v>690</v>
      </c>
      <c r="E61" s="13" t="s">
        <v>691</v>
      </c>
      <c r="F61" s="14">
        <v>46261.0</v>
      </c>
      <c r="G61" s="15" t="s">
        <v>26</v>
      </c>
      <c r="H61" s="13" t="s">
        <v>692</v>
      </c>
      <c r="I61" s="16" t="s">
        <v>693</v>
      </c>
      <c r="J61" s="13" t="s">
        <v>36</v>
      </c>
    </row>
    <row r="62" ht="45.75" customHeight="1">
      <c r="A62" s="2" t="s">
        <v>694</v>
      </c>
      <c r="B62" s="3" t="s">
        <v>688</v>
      </c>
      <c r="C62" s="3" t="s">
        <v>695</v>
      </c>
      <c r="D62" s="3" t="s">
        <v>696</v>
      </c>
      <c r="E62" s="3" t="s">
        <v>697</v>
      </c>
      <c r="F62" s="4">
        <v>46261.0</v>
      </c>
      <c r="G62" s="6" t="s">
        <v>26</v>
      </c>
      <c r="H62" s="3" t="s">
        <v>698</v>
      </c>
      <c r="I62" s="10" t="s">
        <v>699</v>
      </c>
      <c r="J62" s="3" t="s">
        <v>36</v>
      </c>
    </row>
    <row r="63" ht="57.0" customHeight="1">
      <c r="A63" s="11" t="s">
        <v>700</v>
      </c>
      <c r="B63" s="13" t="s">
        <v>701</v>
      </c>
      <c r="C63" s="13" t="s">
        <v>702</v>
      </c>
      <c r="D63" s="13" t="s">
        <v>704</v>
      </c>
      <c r="E63" s="13" t="s">
        <v>705</v>
      </c>
      <c r="F63" s="14">
        <v>46261.0</v>
      </c>
      <c r="G63" s="15" t="s">
        <v>26</v>
      </c>
      <c r="H63" s="13" t="s">
        <v>571</v>
      </c>
      <c r="I63" s="16" t="s">
        <v>707</v>
      </c>
      <c r="J63" s="13" t="s">
        <v>33</v>
      </c>
    </row>
    <row r="64" ht="57.0" customHeight="1">
      <c r="A64" s="2" t="s">
        <v>708</v>
      </c>
      <c r="B64" s="3" t="s">
        <v>485</v>
      </c>
      <c r="C64" s="3" t="s">
        <v>709</v>
      </c>
      <c r="D64" s="3" t="s">
        <v>710</v>
      </c>
      <c r="E64" s="3" t="s">
        <v>711</v>
      </c>
      <c r="F64" s="4">
        <v>46261.0</v>
      </c>
      <c r="G64" s="6" t="s">
        <v>26</v>
      </c>
      <c r="H64" s="3" t="s">
        <v>109</v>
      </c>
      <c r="I64" s="10" t="s">
        <v>712</v>
      </c>
      <c r="J64" s="3" t="s">
        <v>33</v>
      </c>
    </row>
    <row r="65" ht="57.0" customHeight="1">
      <c r="A65" s="11" t="s">
        <v>714</v>
      </c>
      <c r="B65" s="13" t="s">
        <v>485</v>
      </c>
      <c r="C65" s="13" t="s">
        <v>715</v>
      </c>
      <c r="D65" s="13" t="s">
        <v>716</v>
      </c>
      <c r="E65" s="13" t="s">
        <v>717</v>
      </c>
      <c r="F65" s="14">
        <v>46261.0</v>
      </c>
      <c r="G65" s="15" t="s">
        <v>26</v>
      </c>
      <c r="H65" s="13" t="s">
        <v>109</v>
      </c>
      <c r="I65" s="16" t="s">
        <v>718</v>
      </c>
      <c r="J65" s="13" t="s">
        <v>33</v>
      </c>
    </row>
    <row r="66" ht="45.75" customHeight="1">
      <c r="A66" s="2" t="s">
        <v>719</v>
      </c>
      <c r="B66" s="3" t="s">
        <v>419</v>
      </c>
      <c r="C66" s="3" t="s">
        <v>720</v>
      </c>
      <c r="D66" s="3" t="s">
        <v>721</v>
      </c>
      <c r="E66" s="3" t="s">
        <v>722</v>
      </c>
      <c r="F66" s="4">
        <v>46261.0</v>
      </c>
      <c r="G66" s="6" t="s">
        <v>26</v>
      </c>
      <c r="H66" s="3" t="s">
        <v>723</v>
      </c>
      <c r="I66" s="10" t="s">
        <v>724</v>
      </c>
      <c r="J66" s="3" t="s">
        <v>36</v>
      </c>
    </row>
    <row r="67" ht="57.0" customHeight="1">
      <c r="A67" s="11" t="s">
        <v>725</v>
      </c>
      <c r="B67" s="13" t="s">
        <v>510</v>
      </c>
      <c r="C67" s="13" t="s">
        <v>726</v>
      </c>
      <c r="D67" s="13" t="s">
        <v>727</v>
      </c>
      <c r="E67" s="13" t="s">
        <v>728</v>
      </c>
      <c r="F67" s="14">
        <v>46261.0</v>
      </c>
      <c r="G67" s="15" t="s">
        <v>26</v>
      </c>
      <c r="H67" s="13" t="s">
        <v>27</v>
      </c>
      <c r="I67" s="16" t="s">
        <v>729</v>
      </c>
      <c r="J67" s="13" t="s">
        <v>33</v>
      </c>
    </row>
    <row r="68" ht="45.75" customHeight="1">
      <c r="A68" s="2" t="s">
        <v>731</v>
      </c>
      <c r="B68" s="3" t="s">
        <v>510</v>
      </c>
      <c r="C68" s="3" t="s">
        <v>733</v>
      </c>
      <c r="D68" s="3" t="s">
        <v>734</v>
      </c>
      <c r="E68" s="3" t="s">
        <v>735</v>
      </c>
      <c r="F68" s="4">
        <v>46261.0</v>
      </c>
      <c r="G68" s="6" t="s">
        <v>26</v>
      </c>
      <c r="H68" s="3" t="s">
        <v>736</v>
      </c>
      <c r="I68" s="10" t="s">
        <v>737</v>
      </c>
      <c r="J68" s="3" t="s">
        <v>33</v>
      </c>
    </row>
    <row r="69" ht="57.0" customHeight="1">
      <c r="A69" s="11" t="s">
        <v>738</v>
      </c>
      <c r="B69" s="13" t="s">
        <v>546</v>
      </c>
      <c r="C69" s="13" t="s">
        <v>739</v>
      </c>
      <c r="D69" s="13" t="s">
        <v>740</v>
      </c>
      <c r="E69" s="13" t="s">
        <v>741</v>
      </c>
      <c r="F69" s="14">
        <v>46261.0</v>
      </c>
      <c r="G69" s="15" t="s">
        <v>26</v>
      </c>
      <c r="H69" s="13" t="s">
        <v>109</v>
      </c>
      <c r="I69" s="16" t="s">
        <v>743</v>
      </c>
      <c r="J69" s="13" t="s">
        <v>33</v>
      </c>
    </row>
    <row r="70" ht="14.25" customHeight="1">
      <c r="G70" s="20"/>
    </row>
    <row r="71" ht="14.25" customHeight="1">
      <c r="G71" s="20"/>
    </row>
    <row r="72" ht="14.25" customHeight="1">
      <c r="G72" s="20"/>
    </row>
    <row r="73" ht="14.25" customHeight="1">
      <c r="G73" s="20"/>
    </row>
    <row r="74" ht="14.25" customHeight="1">
      <c r="G74" s="20"/>
    </row>
    <row r="75" ht="14.25" customHeight="1">
      <c r="G75" s="20"/>
    </row>
    <row r="76" ht="14.25" customHeight="1">
      <c r="G76" s="20"/>
    </row>
    <row r="77" ht="14.25" customHeight="1">
      <c r="G77" s="20"/>
    </row>
    <row r="78" ht="14.25" customHeight="1">
      <c r="G78" s="20"/>
    </row>
    <row r="79" ht="14.25" customHeight="1">
      <c r="G79" s="20"/>
    </row>
    <row r="80" ht="14.25" customHeight="1">
      <c r="G80" s="20"/>
    </row>
    <row r="81" ht="14.25" customHeight="1">
      <c r="G81" s="20"/>
    </row>
    <row r="82" ht="14.25" customHeight="1">
      <c r="G82" s="20"/>
    </row>
    <row r="83" ht="14.25" customHeight="1">
      <c r="G83" s="20"/>
    </row>
    <row r="84" ht="14.25" customHeight="1">
      <c r="G84" s="20"/>
    </row>
    <row r="85" ht="14.25" customHeight="1">
      <c r="G85" s="20"/>
    </row>
    <row r="86" ht="14.25" customHeight="1">
      <c r="G86" s="20"/>
    </row>
    <row r="87" ht="14.25" customHeight="1">
      <c r="G87" s="20"/>
    </row>
    <row r="88" ht="14.25" customHeight="1">
      <c r="G88" s="20"/>
    </row>
    <row r="89" ht="14.25" customHeight="1">
      <c r="G89" s="20"/>
    </row>
    <row r="90" ht="14.25" customHeight="1">
      <c r="G90" s="20"/>
    </row>
    <row r="91" ht="14.25" customHeight="1">
      <c r="G91" s="20"/>
    </row>
    <row r="92" ht="14.25" customHeight="1">
      <c r="G92" s="20"/>
    </row>
    <row r="93" ht="14.25" customHeight="1">
      <c r="G93" s="20"/>
    </row>
    <row r="94" ht="14.25" customHeight="1">
      <c r="G94" s="20"/>
    </row>
    <row r="95" ht="14.25" customHeight="1">
      <c r="G95" s="20"/>
    </row>
    <row r="96" ht="14.25" customHeight="1">
      <c r="G96" s="20"/>
    </row>
    <row r="97" ht="14.25" customHeight="1">
      <c r="G97" s="20"/>
    </row>
    <row r="98" ht="14.25" customHeight="1">
      <c r="G98" s="20"/>
    </row>
    <row r="99" ht="14.25" customHeight="1">
      <c r="G99" s="20"/>
    </row>
    <row r="100" ht="14.25" customHeight="1">
      <c r="G100" s="20"/>
    </row>
    <row r="101" ht="14.25" customHeight="1">
      <c r="G101" s="20"/>
    </row>
    <row r="102" ht="14.25" customHeight="1">
      <c r="G102" s="20"/>
    </row>
    <row r="103" ht="14.25" customHeight="1">
      <c r="G103" s="20"/>
    </row>
    <row r="104" ht="14.25" customHeight="1">
      <c r="G104" s="20"/>
    </row>
    <row r="105" ht="14.25" customHeight="1">
      <c r="G105" s="20"/>
    </row>
    <row r="106" ht="14.25" customHeight="1">
      <c r="G106" s="20"/>
    </row>
    <row r="107" ht="14.25" customHeight="1">
      <c r="G107" s="20"/>
    </row>
    <row r="108" ht="14.25" customHeight="1">
      <c r="G108" s="20"/>
    </row>
    <row r="109" ht="14.25" customHeight="1">
      <c r="G109" s="20"/>
    </row>
    <row r="110" ht="14.25" customHeight="1">
      <c r="G110" s="20"/>
    </row>
    <row r="111" ht="14.25" customHeight="1">
      <c r="G111" s="20"/>
    </row>
    <row r="112" ht="14.25" customHeight="1">
      <c r="G112" s="20"/>
    </row>
    <row r="113" ht="14.25" customHeight="1">
      <c r="G113" s="20"/>
    </row>
    <row r="114" ht="14.25" customHeight="1">
      <c r="G114" s="20"/>
    </row>
    <row r="115" ht="14.25" customHeight="1">
      <c r="G115" s="20"/>
    </row>
    <row r="116" ht="14.25" customHeight="1">
      <c r="G116" s="20"/>
    </row>
    <row r="117" ht="14.25" customHeight="1">
      <c r="G117" s="20"/>
    </row>
    <row r="118" ht="14.25" customHeight="1">
      <c r="G118" s="20"/>
    </row>
    <row r="119" ht="14.25" customHeight="1">
      <c r="G119" s="20"/>
    </row>
    <row r="120" ht="14.25" customHeight="1">
      <c r="G120" s="20"/>
    </row>
    <row r="121" ht="14.25" customHeight="1">
      <c r="G121" s="20"/>
    </row>
    <row r="122" ht="14.25" customHeight="1">
      <c r="G122" s="20"/>
    </row>
    <row r="123" ht="14.25" customHeight="1">
      <c r="G123" s="20"/>
    </row>
    <row r="124" ht="14.25" customHeight="1">
      <c r="G124" s="20"/>
    </row>
    <row r="125" ht="14.25" customHeight="1">
      <c r="G125" s="20"/>
    </row>
    <row r="126" ht="14.25" customHeight="1">
      <c r="G126" s="20"/>
    </row>
    <row r="127" ht="14.25" customHeight="1">
      <c r="G127" s="20"/>
    </row>
    <row r="128" ht="14.25" customHeight="1">
      <c r="G128" s="20"/>
    </row>
    <row r="129" ht="14.25" customHeight="1">
      <c r="G129" s="20"/>
    </row>
    <row r="130" ht="14.25" customHeight="1">
      <c r="G130" s="20"/>
    </row>
    <row r="131" ht="14.25" customHeight="1">
      <c r="G131" s="20"/>
    </row>
    <row r="132" ht="14.25" customHeight="1">
      <c r="G132" s="20"/>
    </row>
    <row r="133" ht="14.25" customHeight="1">
      <c r="G133" s="20"/>
    </row>
    <row r="134" ht="14.25" customHeight="1">
      <c r="G134" s="20"/>
    </row>
    <row r="135" ht="14.25" customHeight="1">
      <c r="G135" s="20"/>
    </row>
    <row r="136" ht="14.25" customHeight="1">
      <c r="G136" s="20"/>
    </row>
    <row r="137" ht="14.25" customHeight="1">
      <c r="G137" s="20"/>
    </row>
    <row r="138" ht="14.25" customHeight="1">
      <c r="G138" s="20"/>
    </row>
    <row r="139" ht="14.25" customHeight="1">
      <c r="G139" s="20"/>
    </row>
    <row r="140" ht="14.25" customHeight="1">
      <c r="G140" s="20"/>
    </row>
    <row r="141" ht="14.25" customHeight="1">
      <c r="G141" s="20"/>
    </row>
    <row r="142" ht="14.25" customHeight="1">
      <c r="G142" s="20"/>
    </row>
    <row r="143" ht="14.25" customHeight="1">
      <c r="G143" s="20"/>
    </row>
    <row r="144" ht="14.25" customHeight="1">
      <c r="G144" s="20"/>
    </row>
    <row r="145" ht="14.25" customHeight="1">
      <c r="G145" s="20"/>
    </row>
    <row r="146" ht="14.25" customHeight="1">
      <c r="G146" s="20"/>
    </row>
    <row r="147" ht="14.25" customHeight="1">
      <c r="G147" s="20"/>
    </row>
    <row r="148" ht="14.25" customHeight="1">
      <c r="G148" s="20"/>
    </row>
    <row r="149" ht="14.25" customHeight="1">
      <c r="G149" s="20"/>
    </row>
    <row r="150" ht="14.25" customHeight="1">
      <c r="G150" s="20"/>
    </row>
    <row r="151" ht="14.25" customHeight="1">
      <c r="G151" s="20"/>
    </row>
    <row r="152" ht="14.25" customHeight="1">
      <c r="G152" s="20"/>
    </row>
    <row r="153" ht="14.25" customHeight="1">
      <c r="G153" s="20"/>
    </row>
    <row r="154" ht="14.25" customHeight="1">
      <c r="G154" s="20"/>
    </row>
    <row r="155" ht="14.25" customHeight="1">
      <c r="G155" s="20"/>
    </row>
    <row r="156" ht="14.25" customHeight="1">
      <c r="G156" s="20"/>
    </row>
    <row r="157" ht="14.25" customHeight="1">
      <c r="G157" s="20"/>
    </row>
    <row r="158" ht="14.25" customHeight="1">
      <c r="G158" s="20"/>
    </row>
    <row r="159" ht="14.25" customHeight="1">
      <c r="G159" s="20"/>
    </row>
    <row r="160" ht="14.25" customHeight="1">
      <c r="G160" s="20"/>
    </row>
    <row r="161" ht="14.25" customHeight="1">
      <c r="G161" s="20"/>
    </row>
    <row r="162" ht="14.25" customHeight="1">
      <c r="G162" s="20"/>
    </row>
    <row r="163" ht="14.25" customHeight="1">
      <c r="G163" s="20"/>
    </row>
    <row r="164" ht="14.25" customHeight="1">
      <c r="G164" s="20"/>
    </row>
    <row r="165" ht="14.25" customHeight="1">
      <c r="G165" s="20"/>
    </row>
    <row r="166" ht="14.25" customHeight="1">
      <c r="G166" s="20"/>
    </row>
    <row r="167" ht="14.25" customHeight="1">
      <c r="G167" s="20"/>
    </row>
    <row r="168" ht="14.25" customHeight="1">
      <c r="G168" s="20"/>
    </row>
    <row r="169" ht="14.25" customHeight="1">
      <c r="G169" s="20"/>
    </row>
    <row r="170" ht="14.25" customHeight="1">
      <c r="G170" s="20"/>
    </row>
    <row r="171" ht="14.25" customHeight="1">
      <c r="G171" s="20"/>
    </row>
    <row r="172" ht="14.25" customHeight="1">
      <c r="G172" s="20"/>
    </row>
    <row r="173" ht="14.25" customHeight="1">
      <c r="G173" s="20"/>
    </row>
    <row r="174" ht="14.25" customHeight="1">
      <c r="G174" s="20"/>
    </row>
    <row r="175" ht="14.25" customHeight="1">
      <c r="G175" s="20"/>
    </row>
    <row r="176" ht="14.25" customHeight="1">
      <c r="G176" s="20"/>
    </row>
    <row r="177" ht="14.25" customHeight="1">
      <c r="G177" s="20"/>
    </row>
    <row r="178" ht="14.25" customHeight="1">
      <c r="G178" s="20"/>
    </row>
    <row r="179" ht="14.25" customHeight="1">
      <c r="G179" s="20"/>
    </row>
    <row r="180" ht="14.25" customHeight="1">
      <c r="G180" s="20"/>
    </row>
    <row r="181" ht="14.25" customHeight="1">
      <c r="G181" s="20"/>
    </row>
    <row r="182" ht="14.25" customHeight="1">
      <c r="G182" s="20"/>
    </row>
    <row r="183" ht="14.25" customHeight="1">
      <c r="G183" s="20"/>
    </row>
    <row r="184" ht="14.25" customHeight="1">
      <c r="G184" s="20"/>
    </row>
    <row r="185" ht="14.25" customHeight="1">
      <c r="G185" s="20"/>
    </row>
    <row r="186" ht="14.25" customHeight="1">
      <c r="G186" s="20"/>
    </row>
    <row r="187" ht="14.25" customHeight="1">
      <c r="G187" s="20"/>
    </row>
    <row r="188" ht="14.25" customHeight="1">
      <c r="G188" s="20"/>
    </row>
    <row r="189" ht="14.25" customHeight="1">
      <c r="G189" s="20"/>
    </row>
    <row r="190" ht="14.25" customHeight="1">
      <c r="G190" s="20"/>
    </row>
    <row r="191" ht="14.25" customHeight="1">
      <c r="G191" s="20"/>
    </row>
    <row r="192" ht="14.25" customHeight="1">
      <c r="G192" s="20"/>
    </row>
    <row r="193" ht="14.25" customHeight="1">
      <c r="G193" s="20"/>
    </row>
    <row r="194" ht="14.25" customHeight="1">
      <c r="G194" s="20"/>
    </row>
    <row r="195" ht="14.25" customHeight="1">
      <c r="G195" s="20"/>
    </row>
    <row r="196" ht="14.25" customHeight="1">
      <c r="G196" s="20"/>
    </row>
    <row r="197" ht="14.25" customHeight="1">
      <c r="G197" s="20"/>
    </row>
    <row r="198" ht="14.25" customHeight="1">
      <c r="G198" s="20"/>
    </row>
    <row r="199" ht="14.25" customHeight="1">
      <c r="G199" s="20"/>
    </row>
    <row r="200" ht="14.25" customHeight="1">
      <c r="G200" s="20"/>
    </row>
    <row r="201" ht="14.25" customHeight="1">
      <c r="G201" s="20"/>
    </row>
    <row r="202" ht="14.25" customHeight="1">
      <c r="G202" s="20"/>
    </row>
    <row r="203" ht="14.25" customHeight="1">
      <c r="G203" s="20"/>
    </row>
    <row r="204" ht="14.25" customHeight="1">
      <c r="G204" s="20"/>
    </row>
    <row r="205" ht="14.25" customHeight="1">
      <c r="G205" s="20"/>
    </row>
    <row r="206" ht="14.25" customHeight="1">
      <c r="G206" s="20"/>
    </row>
    <row r="207" ht="14.25" customHeight="1">
      <c r="G207" s="20"/>
    </row>
    <row r="208" ht="14.25" customHeight="1">
      <c r="G208" s="20"/>
    </row>
    <row r="209" ht="14.25" customHeight="1">
      <c r="G209" s="20"/>
    </row>
    <row r="210" ht="14.25" customHeight="1">
      <c r="G210" s="20"/>
    </row>
    <row r="211" ht="14.25" customHeight="1">
      <c r="G211" s="20"/>
    </row>
    <row r="212" ht="14.25" customHeight="1">
      <c r="G212" s="20"/>
    </row>
    <row r="213" ht="14.25" customHeight="1">
      <c r="G213" s="20"/>
    </row>
    <row r="214" ht="14.25" customHeight="1">
      <c r="G214" s="20"/>
    </row>
    <row r="215" ht="14.25" customHeight="1">
      <c r="G215" s="20"/>
    </row>
    <row r="216" ht="14.25" customHeight="1">
      <c r="G216" s="20"/>
    </row>
    <row r="217" ht="14.25" customHeight="1">
      <c r="G217" s="20"/>
    </row>
    <row r="218" ht="14.25" customHeight="1">
      <c r="G218" s="20"/>
    </row>
    <row r="219" ht="14.25" customHeight="1">
      <c r="G219" s="20"/>
    </row>
    <row r="220" ht="14.25" customHeight="1">
      <c r="G220" s="20"/>
    </row>
    <row r="221" ht="14.25" customHeight="1">
      <c r="G221" s="20"/>
    </row>
    <row r="222" ht="14.25" customHeight="1">
      <c r="G222" s="20"/>
    </row>
    <row r="223" ht="14.25" customHeight="1">
      <c r="G223" s="20"/>
    </row>
    <row r="224" ht="14.25" customHeight="1">
      <c r="G224" s="20"/>
    </row>
    <row r="225" ht="14.25" customHeight="1">
      <c r="G225" s="20"/>
    </row>
    <row r="226" ht="14.25" customHeight="1">
      <c r="G226" s="20"/>
    </row>
    <row r="227" ht="14.25" customHeight="1">
      <c r="G227" s="20"/>
    </row>
    <row r="228" ht="14.25" customHeight="1">
      <c r="G228" s="20"/>
    </row>
    <row r="229" ht="14.25" customHeight="1">
      <c r="G229" s="20"/>
    </row>
    <row r="230" ht="14.25" customHeight="1">
      <c r="G230" s="20"/>
    </row>
    <row r="231" ht="14.25" customHeight="1">
      <c r="G231" s="20"/>
    </row>
    <row r="232" ht="14.25" customHeight="1">
      <c r="G232" s="20"/>
    </row>
    <row r="233" ht="14.25" customHeight="1">
      <c r="G233" s="20"/>
    </row>
    <row r="234" ht="14.25" customHeight="1">
      <c r="G234" s="20"/>
    </row>
    <row r="235" ht="14.25" customHeight="1">
      <c r="G235" s="20"/>
    </row>
    <row r="236" ht="14.25" customHeight="1">
      <c r="G236" s="20"/>
    </row>
    <row r="237" ht="14.25" customHeight="1">
      <c r="G237" s="20"/>
    </row>
    <row r="238" ht="14.25" customHeight="1">
      <c r="G238" s="20"/>
    </row>
    <row r="239" ht="14.25" customHeight="1">
      <c r="G239" s="20"/>
    </row>
    <row r="240" ht="14.25" customHeight="1">
      <c r="G240" s="20"/>
    </row>
    <row r="241" ht="14.25" customHeight="1">
      <c r="G241" s="20"/>
    </row>
    <row r="242" ht="14.25" customHeight="1">
      <c r="G242" s="20"/>
    </row>
    <row r="243" ht="14.25" customHeight="1">
      <c r="G243" s="20"/>
    </row>
    <row r="244" ht="14.25" customHeight="1">
      <c r="G244" s="20"/>
    </row>
    <row r="245" ht="14.25" customHeight="1">
      <c r="G245" s="20"/>
    </row>
    <row r="246" ht="14.25" customHeight="1">
      <c r="G246" s="20"/>
    </row>
    <row r="247" ht="14.25" customHeight="1">
      <c r="G247" s="20"/>
    </row>
    <row r="248" ht="14.25" customHeight="1">
      <c r="G248" s="20"/>
    </row>
    <row r="249" ht="14.25" customHeight="1">
      <c r="G249" s="20"/>
    </row>
    <row r="250" ht="14.25" customHeight="1">
      <c r="G250" s="20"/>
    </row>
    <row r="251" ht="14.25" customHeight="1">
      <c r="G251" s="20"/>
    </row>
    <row r="252" ht="14.25" customHeight="1">
      <c r="G252" s="20"/>
    </row>
    <row r="253" ht="14.25" customHeight="1">
      <c r="G253" s="20"/>
    </row>
    <row r="254" ht="14.25" customHeight="1">
      <c r="G254" s="20"/>
    </row>
    <row r="255" ht="14.25" customHeight="1">
      <c r="G255" s="20"/>
    </row>
    <row r="256" ht="14.25" customHeight="1">
      <c r="G256" s="20"/>
    </row>
    <row r="257" ht="14.25" customHeight="1">
      <c r="G257" s="20"/>
    </row>
    <row r="258" ht="14.25" customHeight="1">
      <c r="G258" s="20"/>
    </row>
    <row r="259" ht="14.25" customHeight="1">
      <c r="G259" s="20"/>
    </row>
    <row r="260" ht="14.25" customHeight="1">
      <c r="G260" s="20"/>
    </row>
    <row r="261" ht="14.25" customHeight="1">
      <c r="G261" s="20"/>
    </row>
    <row r="262" ht="14.25" customHeight="1">
      <c r="G262" s="20"/>
    </row>
    <row r="263" ht="14.25" customHeight="1">
      <c r="G263" s="20"/>
    </row>
    <row r="264" ht="14.25" customHeight="1">
      <c r="G264" s="20"/>
    </row>
    <row r="265" ht="14.25" customHeight="1">
      <c r="G265" s="20"/>
    </row>
    <row r="266" ht="14.25" customHeight="1">
      <c r="G266" s="20"/>
    </row>
    <row r="267" ht="14.25" customHeight="1">
      <c r="G267" s="20"/>
    </row>
    <row r="268" ht="14.25" customHeight="1">
      <c r="G268" s="20"/>
    </row>
    <row r="269" ht="14.25" customHeight="1">
      <c r="G269" s="20"/>
    </row>
    <row r="270" ht="14.25" customHeight="1">
      <c r="G270" s="20"/>
    </row>
    <row r="271" ht="14.25" customHeight="1">
      <c r="G271" s="20"/>
    </row>
    <row r="272" ht="14.25" customHeight="1">
      <c r="G272" s="20"/>
    </row>
    <row r="273" ht="14.25" customHeight="1">
      <c r="G273" s="20"/>
    </row>
    <row r="274" ht="14.25" customHeight="1">
      <c r="G274" s="20"/>
    </row>
    <row r="275" ht="14.25" customHeight="1">
      <c r="G275" s="20"/>
    </row>
    <row r="276" ht="14.25" customHeight="1">
      <c r="G276" s="20"/>
    </row>
    <row r="277" ht="14.25" customHeight="1">
      <c r="G277" s="20"/>
    </row>
    <row r="278" ht="14.25" customHeight="1">
      <c r="G278" s="20"/>
    </row>
    <row r="279" ht="14.25" customHeight="1">
      <c r="G279" s="20"/>
    </row>
    <row r="280" ht="14.25" customHeight="1">
      <c r="G280" s="20"/>
    </row>
    <row r="281" ht="14.25" customHeight="1">
      <c r="G281" s="20"/>
    </row>
    <row r="282" ht="14.25" customHeight="1">
      <c r="G282" s="20"/>
    </row>
    <row r="283" ht="14.25" customHeight="1">
      <c r="G283" s="20"/>
    </row>
    <row r="284" ht="14.25" customHeight="1">
      <c r="G284" s="20"/>
    </row>
    <row r="285" ht="14.25" customHeight="1">
      <c r="G285" s="20"/>
    </row>
    <row r="286" ht="14.25" customHeight="1">
      <c r="G286" s="20"/>
    </row>
    <row r="287" ht="14.25" customHeight="1">
      <c r="G287" s="20"/>
    </row>
    <row r="288" ht="14.25" customHeight="1">
      <c r="G288" s="20"/>
    </row>
    <row r="289" ht="14.25" customHeight="1">
      <c r="G289" s="20"/>
    </row>
    <row r="290" ht="14.25" customHeight="1">
      <c r="G290" s="20"/>
    </row>
    <row r="291" ht="14.25" customHeight="1">
      <c r="G291" s="20"/>
    </row>
    <row r="292" ht="14.25" customHeight="1">
      <c r="G292" s="20"/>
    </row>
    <row r="293" ht="14.25" customHeight="1">
      <c r="G293" s="20"/>
    </row>
    <row r="294" ht="14.25" customHeight="1">
      <c r="G294" s="20"/>
    </row>
    <row r="295" ht="14.25" customHeight="1">
      <c r="G295" s="20"/>
    </row>
    <row r="296" ht="14.25" customHeight="1">
      <c r="G296" s="20"/>
    </row>
    <row r="297" ht="14.25" customHeight="1">
      <c r="G297" s="20"/>
    </row>
    <row r="298" ht="14.25" customHeight="1">
      <c r="G298" s="20"/>
    </row>
    <row r="299" ht="14.25" customHeight="1">
      <c r="G299" s="20"/>
    </row>
    <row r="300" ht="14.25" customHeight="1">
      <c r="G300" s="20"/>
    </row>
    <row r="301" ht="14.25" customHeight="1">
      <c r="G301" s="20"/>
    </row>
    <row r="302" ht="14.25" customHeight="1">
      <c r="G302" s="20"/>
    </row>
    <row r="303" ht="14.25" customHeight="1">
      <c r="G303" s="20"/>
    </row>
    <row r="304" ht="14.25" customHeight="1">
      <c r="G304" s="20"/>
    </row>
    <row r="305" ht="14.25" customHeight="1">
      <c r="G305" s="20"/>
    </row>
    <row r="306" ht="14.25" customHeight="1">
      <c r="G306" s="20"/>
    </row>
    <row r="307" ht="14.25" customHeight="1">
      <c r="G307" s="20"/>
    </row>
    <row r="308" ht="14.25" customHeight="1">
      <c r="G308" s="20"/>
    </row>
    <row r="309" ht="14.25" customHeight="1">
      <c r="G309" s="20"/>
    </row>
    <row r="310" ht="14.25" customHeight="1">
      <c r="G310" s="20"/>
    </row>
    <row r="311" ht="14.25" customHeight="1">
      <c r="G311" s="20"/>
    </row>
    <row r="312" ht="14.25" customHeight="1">
      <c r="G312" s="20"/>
    </row>
    <row r="313" ht="14.25" customHeight="1">
      <c r="G313" s="20"/>
    </row>
    <row r="314" ht="14.25" customHeight="1">
      <c r="G314" s="20"/>
    </row>
    <row r="315" ht="14.25" customHeight="1">
      <c r="G315" s="20"/>
    </row>
    <row r="316" ht="14.25" customHeight="1">
      <c r="G316" s="20"/>
    </row>
    <row r="317" ht="14.25" customHeight="1">
      <c r="G317" s="20"/>
    </row>
    <row r="318" ht="14.25" customHeight="1">
      <c r="G318" s="20"/>
    </row>
    <row r="319" ht="14.25" customHeight="1">
      <c r="G319" s="20"/>
    </row>
    <row r="320" ht="14.25" customHeight="1">
      <c r="G320" s="20"/>
    </row>
    <row r="321" ht="14.25" customHeight="1">
      <c r="G321" s="20"/>
    </row>
    <row r="322" ht="14.25" customHeight="1">
      <c r="G322" s="20"/>
    </row>
    <row r="323" ht="14.25" customHeight="1">
      <c r="G323" s="20"/>
    </row>
    <row r="324" ht="14.25" customHeight="1">
      <c r="G324" s="20"/>
    </row>
    <row r="325" ht="14.25" customHeight="1">
      <c r="G325" s="20"/>
    </row>
    <row r="326" ht="14.25" customHeight="1">
      <c r="G326" s="20"/>
    </row>
    <row r="327" ht="14.25" customHeight="1">
      <c r="G327" s="20"/>
    </row>
    <row r="328" ht="14.25" customHeight="1">
      <c r="G328" s="20"/>
    </row>
    <row r="329" ht="14.25" customHeight="1">
      <c r="G329" s="20"/>
    </row>
    <row r="330" ht="14.25" customHeight="1">
      <c r="G330" s="20"/>
    </row>
    <row r="331" ht="14.25" customHeight="1">
      <c r="G331" s="20"/>
    </row>
    <row r="332" ht="14.25" customHeight="1">
      <c r="G332" s="20"/>
    </row>
    <row r="333" ht="14.25" customHeight="1">
      <c r="G333" s="20"/>
    </row>
    <row r="334" ht="14.25" customHeight="1">
      <c r="G334" s="20"/>
    </row>
    <row r="335" ht="14.25" customHeight="1">
      <c r="G335" s="20"/>
    </row>
    <row r="336" ht="14.25" customHeight="1">
      <c r="G336" s="20"/>
    </row>
    <row r="337" ht="14.25" customHeight="1">
      <c r="G337" s="20"/>
    </row>
    <row r="338" ht="14.25" customHeight="1">
      <c r="G338" s="20"/>
    </row>
    <row r="339" ht="14.25" customHeight="1">
      <c r="G339" s="20"/>
    </row>
    <row r="340" ht="14.25" customHeight="1">
      <c r="G340" s="20"/>
    </row>
    <row r="341" ht="14.25" customHeight="1">
      <c r="G341" s="20"/>
    </row>
    <row r="342" ht="14.25" customHeight="1">
      <c r="G342" s="20"/>
    </row>
    <row r="343" ht="14.25" customHeight="1">
      <c r="G343" s="20"/>
    </row>
    <row r="344" ht="14.25" customHeight="1">
      <c r="G344" s="20"/>
    </row>
    <row r="345" ht="14.25" customHeight="1">
      <c r="G345" s="20"/>
    </row>
    <row r="346" ht="14.25" customHeight="1">
      <c r="G346" s="20"/>
    </row>
    <row r="347" ht="14.25" customHeight="1">
      <c r="G347" s="20"/>
    </row>
    <row r="348" ht="14.25" customHeight="1">
      <c r="G348" s="20"/>
    </row>
    <row r="349" ht="14.25" customHeight="1">
      <c r="G349" s="20"/>
    </row>
    <row r="350" ht="14.25" customHeight="1">
      <c r="G350" s="20"/>
    </row>
    <row r="351" ht="14.25" customHeight="1">
      <c r="G351" s="20"/>
    </row>
    <row r="352" ht="14.25" customHeight="1">
      <c r="G352" s="20"/>
    </row>
    <row r="353" ht="14.25" customHeight="1">
      <c r="G353" s="20"/>
    </row>
    <row r="354" ht="14.25" customHeight="1">
      <c r="G354" s="20"/>
    </row>
    <row r="355" ht="14.25" customHeight="1">
      <c r="G355" s="20"/>
    </row>
    <row r="356" ht="14.25" customHeight="1">
      <c r="G356" s="20"/>
    </row>
    <row r="357" ht="14.25" customHeight="1">
      <c r="G357" s="20"/>
    </row>
    <row r="358" ht="14.25" customHeight="1">
      <c r="G358" s="20"/>
    </row>
    <row r="359" ht="14.25" customHeight="1">
      <c r="G359" s="20"/>
    </row>
    <row r="360" ht="14.25" customHeight="1">
      <c r="G360" s="20"/>
    </row>
    <row r="361" ht="14.25" customHeight="1">
      <c r="G361" s="20"/>
    </row>
    <row r="362" ht="14.25" customHeight="1">
      <c r="G362" s="20"/>
    </row>
    <row r="363" ht="14.25" customHeight="1">
      <c r="G363" s="20"/>
    </row>
    <row r="364" ht="14.25" customHeight="1">
      <c r="G364" s="20"/>
    </row>
    <row r="365" ht="14.25" customHeight="1">
      <c r="G365" s="20"/>
    </row>
    <row r="366" ht="14.25" customHeight="1">
      <c r="G366" s="20"/>
    </row>
    <row r="367" ht="14.25" customHeight="1">
      <c r="G367" s="20"/>
    </row>
    <row r="368" ht="14.25" customHeight="1">
      <c r="G368" s="20"/>
    </row>
    <row r="369" ht="14.25" customHeight="1">
      <c r="G369" s="20"/>
    </row>
    <row r="370" ht="14.25" customHeight="1">
      <c r="G370" s="20"/>
    </row>
    <row r="371" ht="14.25" customHeight="1">
      <c r="G371" s="20"/>
    </row>
    <row r="372" ht="14.25" customHeight="1">
      <c r="G372" s="20"/>
    </row>
    <row r="373" ht="14.25" customHeight="1">
      <c r="G373" s="20"/>
    </row>
    <row r="374" ht="14.25" customHeight="1">
      <c r="G374" s="20"/>
    </row>
    <row r="375" ht="14.25" customHeight="1">
      <c r="G375" s="20"/>
    </row>
    <row r="376" ht="14.25" customHeight="1">
      <c r="G376" s="20"/>
    </row>
    <row r="377" ht="14.25" customHeight="1">
      <c r="G377" s="20"/>
    </row>
    <row r="378" ht="14.25" customHeight="1">
      <c r="G378" s="20"/>
    </row>
    <row r="379" ht="14.25" customHeight="1">
      <c r="G379" s="20"/>
    </row>
    <row r="380" ht="14.25" customHeight="1">
      <c r="G380" s="20"/>
    </row>
    <row r="381" ht="14.25" customHeight="1">
      <c r="G381" s="20"/>
    </row>
    <row r="382" ht="14.25" customHeight="1">
      <c r="G382" s="20"/>
    </row>
    <row r="383" ht="14.25" customHeight="1">
      <c r="G383" s="20"/>
    </row>
    <row r="384" ht="14.25" customHeight="1">
      <c r="G384" s="20"/>
    </row>
    <row r="385" ht="14.25" customHeight="1">
      <c r="G385" s="20"/>
    </row>
    <row r="386" ht="14.25" customHeight="1">
      <c r="G386" s="20"/>
    </row>
    <row r="387" ht="14.25" customHeight="1">
      <c r="G387" s="20"/>
    </row>
    <row r="388" ht="14.25" customHeight="1">
      <c r="G388" s="20"/>
    </row>
    <row r="389" ht="14.25" customHeight="1">
      <c r="G389" s="20"/>
    </row>
    <row r="390" ht="14.25" customHeight="1">
      <c r="G390" s="20"/>
    </row>
    <row r="391" ht="14.25" customHeight="1">
      <c r="G391" s="20"/>
    </row>
    <row r="392" ht="14.25" customHeight="1">
      <c r="G392" s="20"/>
    </row>
    <row r="393" ht="14.25" customHeight="1">
      <c r="G393" s="20"/>
    </row>
    <row r="394" ht="14.25" customHeight="1">
      <c r="G394" s="20"/>
    </row>
    <row r="395" ht="14.25" customHeight="1">
      <c r="G395" s="20"/>
    </row>
    <row r="396" ht="14.25" customHeight="1">
      <c r="G396" s="20"/>
    </row>
    <row r="397" ht="14.25" customHeight="1">
      <c r="G397" s="20"/>
    </row>
    <row r="398" ht="14.25" customHeight="1">
      <c r="G398" s="20"/>
    </row>
    <row r="399" ht="14.25" customHeight="1">
      <c r="G399" s="20"/>
    </row>
    <row r="400" ht="14.25" customHeight="1">
      <c r="G400" s="20"/>
    </row>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69"/>
  <conditionalFormatting sqref="G2:G69">
    <cfRule type="cellIs" dxfId="0" priority="1" operator="equal">
      <formula>"Pass"</formula>
    </cfRule>
  </conditionalFormatting>
  <conditionalFormatting sqref="G2:G69">
    <cfRule type="cellIs" dxfId="1" priority="2" operator="equal">
      <formula>"Fail"</formula>
    </cfRule>
  </conditionalFormatting>
  <conditionalFormatting sqref="G2:G69">
    <cfRule type="cellIs" dxfId="2" priority="3" operator="equal">
      <formula>"Blocked"</formula>
    </cfRule>
  </conditionalFormatting>
  <conditionalFormatting sqref="G2:G69">
    <cfRule type="cellIs" dxfId="3" priority="4" operator="equal">
      <formula>"Retest"</formula>
    </cfRule>
  </conditionalFormatting>
  <conditionalFormatting sqref="G2:G69">
    <cfRule type="cellIs" dxfId="4" priority="5" operator="equal">
      <formula>"Not Run"</formula>
    </cfRule>
  </conditionalFormatting>
  <dataValidations>
    <dataValidation type="list" allowBlank="1" showErrorMessage="1" sqref="G2:G40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8:J8" ref="I8"/>
    <hyperlink r:id="rId8" location="gid=0&amp;range=A9:J9" ref="I9"/>
    <hyperlink r:id="rId9" location="gid=0&amp;range=A10:J10" ref="I10"/>
    <hyperlink r:id="rId10" location="gid=0&amp;range=A11:J11" ref="I11"/>
    <hyperlink r:id="rId11" location="gid=0&amp;range=A12:J12" ref="I12"/>
    <hyperlink r:id="rId12" location="gid=0&amp;range=A13:J13" ref="I13"/>
    <hyperlink r:id="rId13" location="gid=0&amp;range=A14:J14" ref="I14"/>
    <hyperlink r:id="rId14" location="gid=0&amp;range=A15:J15" ref="I15"/>
    <hyperlink r:id="rId15" location="gid=0&amp;range=A16:J16" ref="I16"/>
    <hyperlink r:id="rId16" location="gid=0&amp;range=A17:J17" ref="I17"/>
    <hyperlink r:id="rId17" location="gid=0&amp;range=A18:J18" ref="I18"/>
    <hyperlink r:id="rId18" location="gid=0&amp;range=A19:J19" ref="I19"/>
    <hyperlink r:id="rId19" location="gid=0&amp;range=A20:J20" ref="I20"/>
    <hyperlink r:id="rId20" location="gid=0&amp;range=A21:J21" ref="I21"/>
    <hyperlink r:id="rId21" location="gid=0&amp;range=A22:J22" ref="I22"/>
    <hyperlink r:id="rId22" location="gid=0&amp;range=A23:J23" ref="I23"/>
    <hyperlink r:id="rId23" location="gid=0&amp;range=A24:J24" ref="I24"/>
    <hyperlink r:id="rId24" location="gid=0&amp;range=A25:J25" ref="I25"/>
    <hyperlink r:id="rId25" location="gid=0&amp;range=A26:J26" ref="I26"/>
    <hyperlink r:id="rId26" location="gid=0&amp;range=A27:J27" ref="I27"/>
    <hyperlink r:id="rId27" location="gid=0&amp;range=A28:J28" ref="I28"/>
    <hyperlink r:id="rId28" location="gid=0&amp;range=A29:J29" ref="I29"/>
    <hyperlink r:id="rId29" location="gid=0&amp;range=A30:J30" ref="I30"/>
    <hyperlink r:id="rId30" location="gid=0&amp;range=A31:J31" ref="I31"/>
    <hyperlink r:id="rId31" location="gid=0&amp;range=A32:J32" ref="I32"/>
    <hyperlink r:id="rId32" location="gid=0&amp;range=A33:J33" ref="I33"/>
    <hyperlink r:id="rId33" location="gid=0&amp;range=A34:J34" ref="I34"/>
    <hyperlink r:id="rId34" location="gid=0&amp;range=A35:J35" ref="I35"/>
    <hyperlink r:id="rId35" location="gid=0&amp;range=A36:J36" ref="I36"/>
    <hyperlink r:id="rId36" location="gid=0&amp;range=A37:J37" ref="I37"/>
    <hyperlink r:id="rId37" location="gid=0&amp;range=A38:J38" ref="I38"/>
    <hyperlink r:id="rId38" location="gid=0&amp;range=A39:J39" ref="I39"/>
    <hyperlink r:id="rId39" location="gid=0&amp;range=A40:J40" ref="I40"/>
    <hyperlink r:id="rId40" location="gid=0&amp;range=A41:J41" ref="I41"/>
    <hyperlink r:id="rId41" location="gid=0&amp;range=A42:J42" ref="I42"/>
    <hyperlink r:id="rId42" location="gid=0&amp;range=A43:J43" ref="I43"/>
    <hyperlink r:id="rId43" location="gid=0&amp;range=A44:J44" ref="I44"/>
    <hyperlink r:id="rId44" location="gid=0&amp;range=A45:J45" ref="I45"/>
    <hyperlink r:id="rId45" location="gid=0&amp;range=A46:J46" ref="I46"/>
    <hyperlink r:id="rId46" location="gid=0&amp;range=A47:J47" ref="I47"/>
    <hyperlink r:id="rId47" location="gid=0&amp;range=A48:J48" ref="I48"/>
    <hyperlink r:id="rId48" location="gid=0&amp;range=A49:J49" ref="I49"/>
    <hyperlink r:id="rId49" location="gid=0&amp;range=A50:J50" ref="I50"/>
    <hyperlink r:id="rId50" location="gid=0&amp;range=A51:J51" ref="I51"/>
    <hyperlink r:id="rId51" location="gid=0&amp;range=A52:J52" ref="I52"/>
    <hyperlink r:id="rId52" location="gid=0&amp;range=A53:J53" ref="I53"/>
    <hyperlink r:id="rId53" location="gid=0&amp;range=A54:J54" ref="I54"/>
    <hyperlink r:id="rId54" location="gid=0&amp;range=A55:J55" ref="I55"/>
    <hyperlink r:id="rId55" location="gid=0&amp;range=A56:J56" ref="I56"/>
    <hyperlink r:id="rId56" location="gid=0&amp;range=A57:J57" ref="I57"/>
    <hyperlink r:id="rId57" location="gid=0&amp;range=A58:J58" ref="I58"/>
    <hyperlink r:id="rId58" location="gid=0&amp;range=A59:J59" ref="I59"/>
    <hyperlink r:id="rId59" location="gid=0&amp;range=A60:J60" ref="I60"/>
    <hyperlink r:id="rId60" location="gid=0&amp;range=A61:J61" ref="I61"/>
    <hyperlink r:id="rId61" location="gid=0&amp;range=A62:J62" ref="I62"/>
    <hyperlink r:id="rId62" location="gid=0&amp;range=A63:J63" ref="I63"/>
    <hyperlink r:id="rId63" location="gid=0&amp;range=A64:J64" ref="I64"/>
    <hyperlink r:id="rId64" location="gid=0&amp;range=A65:J65" ref="I65"/>
    <hyperlink r:id="rId65" location="gid=0&amp;range=A66:J66" ref="I66"/>
    <hyperlink r:id="rId66" location="gid=0&amp;range=A67:J67" ref="I67"/>
    <hyperlink r:id="rId67" location="gid=0&amp;range=A68:J68" ref="I68"/>
    <hyperlink r:id="rId68" location="gid=0&amp;range=A69:J69" ref="I69"/>
  </hyperlinks>
  <printOptions/>
  <pageMargins bottom="1.0" footer="0.0" header="0.0" left="0.75" right="0.75" top="1.0"/>
  <pageSetup orientation="landscape"/>
  <drawing r:id="rId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1" t="s">
        <v>0</v>
      </c>
      <c r="B1" s="1" t="s">
        <v>2</v>
      </c>
      <c r="C1" s="1" t="s">
        <v>3</v>
      </c>
      <c r="D1" s="1" t="s">
        <v>4</v>
      </c>
      <c r="E1" s="1" t="s">
        <v>5</v>
      </c>
      <c r="F1" s="1" t="s">
        <v>6</v>
      </c>
      <c r="G1" s="1" t="s">
        <v>7</v>
      </c>
      <c r="H1" s="1" t="s">
        <v>8</v>
      </c>
      <c r="I1" s="1" t="s">
        <v>9</v>
      </c>
      <c r="J1" s="1" t="s">
        <v>10</v>
      </c>
    </row>
    <row r="2" ht="57.0" customHeight="1">
      <c r="A2" s="2" t="s">
        <v>12</v>
      </c>
      <c r="B2" s="3" t="s">
        <v>14</v>
      </c>
      <c r="C2" s="3" t="s">
        <v>17</v>
      </c>
      <c r="D2" s="3" t="s">
        <v>19</v>
      </c>
      <c r="E2" s="3" t="s">
        <v>20</v>
      </c>
      <c r="F2" s="4">
        <v>46261.0</v>
      </c>
      <c r="G2" s="6" t="s">
        <v>26</v>
      </c>
      <c r="H2" s="3" t="s">
        <v>29</v>
      </c>
      <c r="I2" s="10" t="s">
        <v>31</v>
      </c>
      <c r="J2" s="3" t="s">
        <v>36</v>
      </c>
    </row>
    <row r="3" ht="57.0" customHeight="1">
      <c r="A3" s="11" t="s">
        <v>38</v>
      </c>
      <c r="B3" s="13" t="s">
        <v>39</v>
      </c>
      <c r="C3" s="13" t="s">
        <v>44</v>
      </c>
      <c r="D3" s="13" t="s">
        <v>45</v>
      </c>
      <c r="E3" s="13" t="s">
        <v>46</v>
      </c>
      <c r="F3" s="14">
        <v>46261.0</v>
      </c>
      <c r="G3" s="15" t="s">
        <v>26</v>
      </c>
      <c r="H3" s="13" t="s">
        <v>72</v>
      </c>
      <c r="I3" s="16" t="s">
        <v>77</v>
      </c>
      <c r="J3" s="13" t="s">
        <v>83</v>
      </c>
    </row>
    <row r="4" ht="57.0" customHeight="1">
      <c r="A4" s="2" t="s">
        <v>86</v>
      </c>
      <c r="B4" s="3" t="s">
        <v>88</v>
      </c>
      <c r="C4" s="3" t="s">
        <v>92</v>
      </c>
      <c r="D4" s="3" t="s">
        <v>95</v>
      </c>
      <c r="E4" s="3" t="s">
        <v>97</v>
      </c>
      <c r="F4" s="4">
        <v>46261.0</v>
      </c>
      <c r="G4" s="6" t="s">
        <v>26</v>
      </c>
      <c r="H4" s="3" t="s">
        <v>103</v>
      </c>
      <c r="I4" s="10" t="s">
        <v>105</v>
      </c>
      <c r="J4" s="3" t="s">
        <v>83</v>
      </c>
    </row>
    <row r="5" ht="45.75" customHeight="1">
      <c r="A5" s="11" t="s">
        <v>115</v>
      </c>
      <c r="B5" s="13" t="s">
        <v>88</v>
      </c>
      <c r="C5" s="13" t="s">
        <v>121</v>
      </c>
      <c r="D5" s="13" t="s">
        <v>125</v>
      </c>
      <c r="E5" s="13" t="s">
        <v>126</v>
      </c>
      <c r="F5" s="14">
        <v>46261.0</v>
      </c>
      <c r="G5" s="15" t="s">
        <v>26</v>
      </c>
      <c r="H5" s="13" t="s">
        <v>131</v>
      </c>
      <c r="I5" s="16" t="s">
        <v>132</v>
      </c>
      <c r="J5" s="13" t="s">
        <v>137</v>
      </c>
    </row>
    <row r="6" ht="68.25" customHeight="1">
      <c r="A6" s="2" t="s">
        <v>138</v>
      </c>
      <c r="B6" s="3" t="s">
        <v>88</v>
      </c>
      <c r="C6" s="3" t="s">
        <v>143</v>
      </c>
      <c r="D6" s="3" t="s">
        <v>147</v>
      </c>
      <c r="E6" s="3" t="s">
        <v>149</v>
      </c>
      <c r="F6" s="4">
        <v>46261.0</v>
      </c>
      <c r="G6" s="6" t="s">
        <v>26</v>
      </c>
      <c r="H6" s="3" t="s">
        <v>154</v>
      </c>
      <c r="I6" s="10" t="s">
        <v>156</v>
      </c>
      <c r="J6" s="3" t="s">
        <v>36</v>
      </c>
    </row>
    <row r="7" ht="68.25" customHeight="1">
      <c r="A7" s="11" t="s">
        <v>160</v>
      </c>
      <c r="B7" s="13" t="s">
        <v>163</v>
      </c>
      <c r="C7" s="13" t="s">
        <v>164</v>
      </c>
      <c r="D7" s="13" t="s">
        <v>170</v>
      </c>
      <c r="E7" s="13" t="s">
        <v>174</v>
      </c>
      <c r="F7" s="14">
        <v>46261.0</v>
      </c>
      <c r="G7" s="15" t="s">
        <v>26</v>
      </c>
      <c r="H7" s="13" t="s">
        <v>179</v>
      </c>
      <c r="I7" s="16" t="s">
        <v>181</v>
      </c>
      <c r="J7" s="13" t="s">
        <v>36</v>
      </c>
    </row>
    <row r="8" ht="57.0" customHeight="1">
      <c r="A8" s="2" t="s">
        <v>189</v>
      </c>
      <c r="B8" s="3" t="s">
        <v>191</v>
      </c>
      <c r="C8" s="3" t="s">
        <v>193</v>
      </c>
      <c r="D8" s="3" t="s">
        <v>196</v>
      </c>
      <c r="E8" s="3" t="s">
        <v>199</v>
      </c>
      <c r="F8" s="4">
        <v>46261.0</v>
      </c>
      <c r="G8" s="6" t="s">
        <v>26</v>
      </c>
      <c r="H8" s="3" t="s">
        <v>205</v>
      </c>
      <c r="I8" s="10" t="s">
        <v>210</v>
      </c>
      <c r="J8" s="3" t="s">
        <v>83</v>
      </c>
    </row>
    <row r="9" ht="57.0" customHeight="1">
      <c r="A9" s="11" t="s">
        <v>221</v>
      </c>
      <c r="B9" s="13" t="s">
        <v>191</v>
      </c>
      <c r="C9" s="13" t="s">
        <v>224</v>
      </c>
      <c r="D9" s="13" t="s">
        <v>227</v>
      </c>
      <c r="E9" s="13" t="s">
        <v>230</v>
      </c>
      <c r="F9" s="14">
        <v>46261.0</v>
      </c>
      <c r="G9" s="15" t="s">
        <v>26</v>
      </c>
      <c r="H9" s="13" t="s">
        <v>234</v>
      </c>
      <c r="I9" s="16" t="s">
        <v>237</v>
      </c>
      <c r="J9" s="13" t="s">
        <v>83</v>
      </c>
    </row>
    <row r="10" ht="57.0" customHeight="1">
      <c r="A10" s="2" t="s">
        <v>246</v>
      </c>
      <c r="B10" s="3" t="s">
        <v>248</v>
      </c>
      <c r="C10" s="3" t="s">
        <v>251</v>
      </c>
      <c r="D10" s="3" t="s">
        <v>253</v>
      </c>
      <c r="E10" s="3" t="s">
        <v>254</v>
      </c>
      <c r="F10" s="4">
        <v>46261.0</v>
      </c>
      <c r="G10" s="6" t="s">
        <v>26</v>
      </c>
      <c r="H10" s="3" t="s">
        <v>205</v>
      </c>
      <c r="I10" s="10" t="s">
        <v>263</v>
      </c>
      <c r="J10" s="3" t="s">
        <v>83</v>
      </c>
    </row>
    <row r="11" ht="57.0" customHeight="1">
      <c r="A11" s="11" t="s">
        <v>273</v>
      </c>
      <c r="B11" s="13" t="s">
        <v>276</v>
      </c>
      <c r="C11" s="13" t="s">
        <v>279</v>
      </c>
      <c r="D11" s="13" t="s">
        <v>283</v>
      </c>
      <c r="E11" s="13" t="s">
        <v>285</v>
      </c>
      <c r="F11" s="14">
        <v>46261.0</v>
      </c>
      <c r="G11" s="15" t="s">
        <v>26</v>
      </c>
      <c r="H11" s="13" t="s">
        <v>103</v>
      </c>
      <c r="I11" s="16" t="s">
        <v>293</v>
      </c>
      <c r="J11" s="13" t="s">
        <v>83</v>
      </c>
    </row>
    <row r="12" ht="45.75" customHeight="1">
      <c r="A12" s="2" t="s">
        <v>301</v>
      </c>
      <c r="B12" s="3" t="s">
        <v>276</v>
      </c>
      <c r="C12" s="3" t="s">
        <v>303</v>
      </c>
      <c r="D12" s="3" t="s">
        <v>310</v>
      </c>
      <c r="E12" s="3" t="s">
        <v>311</v>
      </c>
      <c r="F12" s="4">
        <v>46261.0</v>
      </c>
      <c r="G12" s="6" t="s">
        <v>26</v>
      </c>
      <c r="H12" s="3" t="s">
        <v>131</v>
      </c>
      <c r="I12" s="10" t="s">
        <v>318</v>
      </c>
      <c r="J12" s="3" t="s">
        <v>137</v>
      </c>
    </row>
    <row r="13" ht="57.0" customHeight="1">
      <c r="A13" s="11" t="s">
        <v>327</v>
      </c>
      <c r="B13" s="13" t="s">
        <v>276</v>
      </c>
      <c r="C13" s="13" t="s">
        <v>331</v>
      </c>
      <c r="D13" s="13" t="s">
        <v>333</v>
      </c>
      <c r="E13" s="13" t="s">
        <v>334</v>
      </c>
      <c r="F13" s="14">
        <v>46261.0</v>
      </c>
      <c r="G13" s="15" t="s">
        <v>26</v>
      </c>
      <c r="H13" s="13" t="s">
        <v>344</v>
      </c>
      <c r="I13" s="16" t="s">
        <v>347</v>
      </c>
      <c r="J13" s="13" t="s">
        <v>36</v>
      </c>
    </row>
    <row r="14" ht="57.0" customHeight="1">
      <c r="A14" s="2" t="s">
        <v>353</v>
      </c>
      <c r="B14" s="3" t="s">
        <v>276</v>
      </c>
      <c r="C14" s="3" t="s">
        <v>356</v>
      </c>
      <c r="D14" s="3" t="s">
        <v>359</v>
      </c>
      <c r="E14" s="3" t="s">
        <v>361</v>
      </c>
      <c r="F14" s="4">
        <v>46261.0</v>
      </c>
      <c r="G14" s="6" t="s">
        <v>26</v>
      </c>
      <c r="H14" s="3" t="s">
        <v>374</v>
      </c>
      <c r="I14" s="10" t="s">
        <v>378</v>
      </c>
      <c r="J14" s="3" t="s">
        <v>382</v>
      </c>
    </row>
    <row r="15" ht="57.0" customHeight="1">
      <c r="A15" s="11" t="s">
        <v>386</v>
      </c>
      <c r="B15" s="13" t="s">
        <v>326</v>
      </c>
      <c r="C15" s="13" t="s">
        <v>390</v>
      </c>
      <c r="D15" s="13" t="s">
        <v>394</v>
      </c>
      <c r="E15" s="13" t="s">
        <v>397</v>
      </c>
      <c r="F15" s="14">
        <v>46261.0</v>
      </c>
      <c r="G15" s="15" t="s">
        <v>26</v>
      </c>
      <c r="H15" s="13" t="s">
        <v>205</v>
      </c>
      <c r="I15" s="16" t="s">
        <v>404</v>
      </c>
      <c r="J15" s="13" t="s">
        <v>83</v>
      </c>
    </row>
    <row r="16" ht="68.25" customHeight="1">
      <c r="A16" s="2" t="s">
        <v>412</v>
      </c>
      <c r="B16" s="3" t="s">
        <v>326</v>
      </c>
      <c r="C16" s="3" t="s">
        <v>416</v>
      </c>
      <c r="D16" s="3" t="s">
        <v>422</v>
      </c>
      <c r="E16" s="3" t="s">
        <v>426</v>
      </c>
      <c r="F16" s="4">
        <v>46261.0</v>
      </c>
      <c r="G16" s="6" t="s">
        <v>26</v>
      </c>
      <c r="H16" s="3" t="s">
        <v>430</v>
      </c>
      <c r="I16" s="10" t="s">
        <v>431</v>
      </c>
      <c r="J16" s="3" t="s">
        <v>36</v>
      </c>
    </row>
    <row r="17" ht="57.0" customHeight="1">
      <c r="A17" s="11" t="s">
        <v>438</v>
      </c>
      <c r="B17" s="13" t="s">
        <v>326</v>
      </c>
      <c r="C17" s="13" t="s">
        <v>439</v>
      </c>
      <c r="D17" s="13" t="s">
        <v>440</v>
      </c>
      <c r="E17" s="13" t="s">
        <v>442</v>
      </c>
      <c r="F17" s="14">
        <v>46261.0</v>
      </c>
      <c r="G17" s="15" t="s">
        <v>26</v>
      </c>
      <c r="H17" s="13" t="s">
        <v>447</v>
      </c>
      <c r="I17" s="16" t="s">
        <v>448</v>
      </c>
      <c r="J17" s="13" t="s">
        <v>36</v>
      </c>
    </row>
    <row r="18" ht="68.25" customHeight="1">
      <c r="A18" s="2" t="s">
        <v>450</v>
      </c>
      <c r="B18" s="3" t="s">
        <v>452</v>
      </c>
      <c r="C18" s="3" t="s">
        <v>453</v>
      </c>
      <c r="D18" s="3" t="s">
        <v>457</v>
      </c>
      <c r="E18" s="3" t="s">
        <v>458</v>
      </c>
      <c r="F18" s="4">
        <v>46261.0</v>
      </c>
      <c r="G18" s="6" t="s">
        <v>26</v>
      </c>
      <c r="H18" s="3" t="s">
        <v>461</v>
      </c>
      <c r="I18" s="10" t="s">
        <v>463</v>
      </c>
      <c r="J18" s="3" t="s">
        <v>36</v>
      </c>
    </row>
    <row r="19" ht="57.0" customHeight="1">
      <c r="A19" s="11" t="s">
        <v>469</v>
      </c>
      <c r="B19" s="13" t="s">
        <v>472</v>
      </c>
      <c r="C19" s="13" t="s">
        <v>473</v>
      </c>
      <c r="D19" s="13" t="s">
        <v>474</v>
      </c>
      <c r="E19" s="13" t="s">
        <v>476</v>
      </c>
      <c r="F19" s="14">
        <v>46261.0</v>
      </c>
      <c r="G19" s="15" t="s">
        <v>26</v>
      </c>
      <c r="H19" s="13" t="s">
        <v>481</v>
      </c>
      <c r="I19" s="16" t="s">
        <v>482</v>
      </c>
      <c r="J19" s="13" t="s">
        <v>36</v>
      </c>
    </row>
    <row r="20" ht="57.0" customHeight="1">
      <c r="A20" s="2" t="s">
        <v>484</v>
      </c>
      <c r="B20" s="3" t="s">
        <v>485</v>
      </c>
      <c r="C20" s="3" t="s">
        <v>487</v>
      </c>
      <c r="D20" s="3" t="s">
        <v>488</v>
      </c>
      <c r="E20" s="3" t="s">
        <v>490</v>
      </c>
      <c r="F20" s="4">
        <v>46261.0</v>
      </c>
      <c r="G20" s="6" t="s">
        <v>26</v>
      </c>
      <c r="H20" s="3" t="s">
        <v>494</v>
      </c>
      <c r="I20" s="10" t="s">
        <v>496</v>
      </c>
      <c r="J20" s="3" t="s">
        <v>36</v>
      </c>
    </row>
    <row r="21" ht="57.0" customHeight="1">
      <c r="A21" s="11" t="s">
        <v>498</v>
      </c>
      <c r="B21" s="13" t="s">
        <v>499</v>
      </c>
      <c r="C21" s="13" t="s">
        <v>500</v>
      </c>
      <c r="D21" s="13" t="s">
        <v>501</v>
      </c>
      <c r="E21" s="13" t="s">
        <v>502</v>
      </c>
      <c r="F21" s="14">
        <v>46261.0</v>
      </c>
      <c r="G21" s="15" t="s">
        <v>26</v>
      </c>
      <c r="H21" s="13" t="s">
        <v>505</v>
      </c>
      <c r="I21" s="16" t="s">
        <v>507</v>
      </c>
      <c r="J21" s="13" t="s">
        <v>36</v>
      </c>
    </row>
    <row r="22" ht="57.0" customHeight="1">
      <c r="A22" s="2" t="s">
        <v>509</v>
      </c>
      <c r="B22" s="3" t="s">
        <v>510</v>
      </c>
      <c r="C22" s="3" t="s">
        <v>511</v>
      </c>
      <c r="D22" s="3" t="s">
        <v>513</v>
      </c>
      <c r="E22" s="3" t="s">
        <v>514</v>
      </c>
      <c r="F22" s="4">
        <v>46261.0</v>
      </c>
      <c r="G22" s="6" t="s">
        <v>26</v>
      </c>
      <c r="H22" s="3" t="s">
        <v>103</v>
      </c>
      <c r="I22" s="10" t="s">
        <v>518</v>
      </c>
      <c r="J22" s="3" t="s">
        <v>83</v>
      </c>
    </row>
    <row r="23" ht="45.75" customHeight="1">
      <c r="A23" s="11" t="s">
        <v>520</v>
      </c>
      <c r="B23" s="13" t="s">
        <v>510</v>
      </c>
      <c r="C23" s="13" t="s">
        <v>522</v>
      </c>
      <c r="D23" s="13" t="s">
        <v>523</v>
      </c>
      <c r="E23" s="13" t="s">
        <v>525</v>
      </c>
      <c r="F23" s="14">
        <v>46261.0</v>
      </c>
      <c r="G23" s="15" t="s">
        <v>26</v>
      </c>
      <c r="H23" s="13" t="s">
        <v>527</v>
      </c>
      <c r="I23" s="16" t="s">
        <v>528</v>
      </c>
      <c r="J23" s="13" t="s">
        <v>36</v>
      </c>
    </row>
    <row r="24" ht="14.25" customHeight="1">
      <c r="A24" s="23" t="s">
        <v>531</v>
      </c>
      <c r="B24" s="24" t="s">
        <v>546</v>
      </c>
      <c r="C24" s="24" t="s">
        <v>552</v>
      </c>
      <c r="D24" s="24" t="s">
        <v>554</v>
      </c>
      <c r="E24" s="24" t="s">
        <v>556</v>
      </c>
      <c r="F24" s="14">
        <v>46261.0</v>
      </c>
      <c r="G24" s="26" t="s">
        <v>26</v>
      </c>
      <c r="H24" s="13" t="s">
        <v>584</v>
      </c>
      <c r="I24" s="16" t="s">
        <v>586</v>
      </c>
      <c r="J24" s="27" t="s">
        <v>36</v>
      </c>
    </row>
    <row r="25" ht="14.25" customHeight="1">
      <c r="G25" s="20"/>
    </row>
    <row r="26" ht="14.25" customHeight="1">
      <c r="G26" s="20"/>
    </row>
    <row r="27" ht="14.25" customHeight="1">
      <c r="G27" s="20"/>
    </row>
    <row r="28" ht="14.25" customHeight="1">
      <c r="G28" s="20"/>
    </row>
    <row r="29" ht="14.25" customHeight="1">
      <c r="G29" s="20"/>
    </row>
    <row r="30" ht="14.25" customHeight="1">
      <c r="G30" s="20"/>
    </row>
    <row r="31" ht="14.25" customHeight="1">
      <c r="G31" s="20"/>
    </row>
    <row r="32" ht="14.25" customHeight="1">
      <c r="G32" s="20"/>
    </row>
    <row r="33" ht="14.25" customHeight="1">
      <c r="G33" s="20"/>
    </row>
    <row r="34" ht="14.25" customHeight="1">
      <c r="G34" s="20"/>
    </row>
    <row r="35" ht="14.25" customHeight="1">
      <c r="G35" s="20"/>
    </row>
    <row r="36" ht="14.25" customHeight="1">
      <c r="G36" s="20"/>
    </row>
    <row r="37" ht="14.25" customHeight="1">
      <c r="G37" s="20"/>
    </row>
    <row r="38" ht="14.25" customHeight="1">
      <c r="G38" s="20"/>
    </row>
    <row r="39" ht="14.25" customHeight="1">
      <c r="G39" s="20"/>
    </row>
    <row r="40" ht="14.25" customHeight="1">
      <c r="G40" s="20"/>
    </row>
    <row r="41" ht="14.25" customHeight="1">
      <c r="G41" s="20"/>
    </row>
    <row r="42" ht="14.25" customHeight="1">
      <c r="G42" s="20"/>
    </row>
    <row r="43" ht="14.25" customHeight="1">
      <c r="G43" s="20"/>
    </row>
    <row r="44" ht="14.25" customHeight="1">
      <c r="G44" s="20"/>
    </row>
    <row r="45" ht="14.25" customHeight="1">
      <c r="G45" s="20"/>
    </row>
    <row r="46" ht="14.25" customHeight="1">
      <c r="G46" s="20"/>
    </row>
    <row r="47" ht="14.25" customHeight="1">
      <c r="G47" s="20"/>
    </row>
    <row r="48" ht="14.25" customHeight="1">
      <c r="G48" s="20"/>
    </row>
    <row r="49" ht="14.25" customHeight="1">
      <c r="G49" s="20"/>
    </row>
    <row r="50" ht="14.25" customHeight="1">
      <c r="G50" s="20"/>
    </row>
    <row r="51" ht="14.25" customHeight="1">
      <c r="G51" s="20"/>
    </row>
    <row r="52" ht="14.25" customHeight="1">
      <c r="G52" s="20"/>
    </row>
    <row r="53" ht="14.25" customHeight="1">
      <c r="G53" s="20"/>
    </row>
    <row r="54" ht="14.25" customHeight="1">
      <c r="G54" s="20"/>
    </row>
    <row r="55" ht="14.25" customHeight="1">
      <c r="G55" s="20"/>
    </row>
    <row r="56" ht="14.25" customHeight="1">
      <c r="G56" s="20"/>
    </row>
    <row r="57" ht="14.25" customHeight="1">
      <c r="G57" s="20"/>
    </row>
    <row r="58" ht="14.25" customHeight="1">
      <c r="G58" s="20"/>
    </row>
    <row r="59" ht="14.25" customHeight="1">
      <c r="G59" s="20"/>
    </row>
    <row r="60" ht="14.25" customHeight="1">
      <c r="G60" s="20"/>
    </row>
    <row r="61" ht="14.25" customHeight="1">
      <c r="G61" s="20"/>
    </row>
    <row r="62" ht="14.25" customHeight="1">
      <c r="G62" s="20"/>
    </row>
    <row r="63" ht="14.25" customHeight="1">
      <c r="G63" s="20"/>
    </row>
    <row r="64" ht="14.25" customHeight="1">
      <c r="G64" s="20"/>
    </row>
    <row r="65" ht="14.25" customHeight="1">
      <c r="G65" s="20"/>
    </row>
    <row r="66" ht="14.25" customHeight="1">
      <c r="G66" s="20"/>
    </row>
    <row r="67" ht="14.25" customHeight="1">
      <c r="G67" s="20"/>
    </row>
    <row r="68" ht="14.25" customHeight="1">
      <c r="G68" s="20"/>
    </row>
    <row r="69" ht="14.25" customHeight="1">
      <c r="G69" s="20"/>
    </row>
    <row r="70" ht="14.25" customHeight="1">
      <c r="G70" s="20"/>
    </row>
    <row r="71" ht="14.25" customHeight="1">
      <c r="G71" s="20"/>
    </row>
    <row r="72" ht="14.25" customHeight="1">
      <c r="G72" s="20"/>
    </row>
    <row r="73" ht="14.25" customHeight="1">
      <c r="G73" s="20"/>
    </row>
    <row r="74" ht="14.25" customHeight="1">
      <c r="G74" s="20"/>
    </row>
    <row r="75" ht="14.25" customHeight="1">
      <c r="G75" s="20"/>
    </row>
    <row r="76" ht="14.25" customHeight="1">
      <c r="G76" s="20"/>
    </row>
    <row r="77" ht="14.25" customHeight="1">
      <c r="G77" s="20"/>
    </row>
    <row r="78" ht="14.25" customHeight="1">
      <c r="G78" s="20"/>
    </row>
    <row r="79" ht="14.25" customHeight="1">
      <c r="G79" s="20"/>
    </row>
    <row r="80" ht="14.25" customHeight="1">
      <c r="G80" s="20"/>
    </row>
    <row r="81" ht="14.25" customHeight="1">
      <c r="G81" s="20"/>
    </row>
    <row r="82" ht="14.25" customHeight="1">
      <c r="G82" s="20"/>
    </row>
    <row r="83" ht="14.25" customHeight="1">
      <c r="G83" s="20"/>
    </row>
    <row r="84" ht="14.25" customHeight="1">
      <c r="G84" s="20"/>
    </row>
    <row r="85" ht="14.25" customHeight="1">
      <c r="G85" s="20"/>
    </row>
    <row r="86" ht="14.25" customHeight="1">
      <c r="G86" s="20"/>
    </row>
    <row r="87" ht="14.25" customHeight="1">
      <c r="G87" s="20"/>
    </row>
    <row r="88" ht="14.25" customHeight="1">
      <c r="G88" s="20"/>
    </row>
    <row r="89" ht="14.25" customHeight="1">
      <c r="G89" s="20"/>
    </row>
    <row r="90" ht="14.25" customHeight="1">
      <c r="G90" s="20"/>
    </row>
    <row r="91" ht="14.25" customHeight="1">
      <c r="G91" s="20"/>
    </row>
    <row r="92" ht="14.25" customHeight="1">
      <c r="G92" s="20"/>
    </row>
    <row r="93" ht="14.25" customHeight="1">
      <c r="G93" s="20"/>
    </row>
    <row r="94" ht="14.25" customHeight="1">
      <c r="G94" s="20"/>
    </row>
    <row r="95" ht="14.25" customHeight="1">
      <c r="G95" s="20"/>
    </row>
    <row r="96" ht="14.25" customHeight="1">
      <c r="G96" s="20"/>
    </row>
    <row r="97" ht="14.25" customHeight="1">
      <c r="G97" s="20"/>
    </row>
    <row r="98" ht="14.25" customHeight="1">
      <c r="G98" s="20"/>
    </row>
    <row r="99" ht="14.25" customHeight="1">
      <c r="G99" s="20"/>
    </row>
    <row r="100" ht="14.25" customHeight="1">
      <c r="G100" s="20"/>
    </row>
    <row r="101" ht="14.25" customHeight="1">
      <c r="G101" s="20"/>
    </row>
    <row r="102" ht="14.25" customHeight="1">
      <c r="G102" s="20"/>
    </row>
    <row r="103" ht="14.25" customHeight="1">
      <c r="G103" s="20"/>
    </row>
    <row r="104" ht="14.25" customHeight="1">
      <c r="G104" s="20"/>
    </row>
    <row r="105" ht="14.25" customHeight="1">
      <c r="G105" s="20"/>
    </row>
    <row r="106" ht="14.25" customHeight="1">
      <c r="G106" s="20"/>
    </row>
    <row r="107" ht="14.25" customHeight="1">
      <c r="G107" s="20"/>
    </row>
    <row r="108" ht="14.25" customHeight="1">
      <c r="G108" s="20"/>
    </row>
    <row r="109" ht="14.25" customHeight="1">
      <c r="G109" s="20"/>
    </row>
    <row r="110" ht="14.25" customHeight="1">
      <c r="G110" s="20"/>
    </row>
    <row r="111" ht="14.25" customHeight="1">
      <c r="G111" s="20"/>
    </row>
    <row r="112" ht="14.25" customHeight="1">
      <c r="G112" s="20"/>
    </row>
    <row r="113" ht="14.25" customHeight="1">
      <c r="G113" s="20"/>
    </row>
    <row r="114" ht="14.25" customHeight="1">
      <c r="G114" s="20"/>
    </row>
    <row r="115" ht="14.25" customHeight="1">
      <c r="G115" s="20"/>
    </row>
    <row r="116" ht="14.25" customHeight="1">
      <c r="G116" s="20"/>
    </row>
    <row r="117" ht="14.25" customHeight="1">
      <c r="G117" s="20"/>
    </row>
    <row r="118" ht="14.25" customHeight="1">
      <c r="G118" s="20"/>
    </row>
    <row r="119" ht="14.25" customHeight="1">
      <c r="G119" s="20"/>
    </row>
    <row r="120" ht="14.25" customHeight="1">
      <c r="G120" s="20"/>
    </row>
    <row r="121" ht="14.25" customHeight="1">
      <c r="G121" s="20"/>
    </row>
    <row r="122" ht="14.25" customHeight="1">
      <c r="G122" s="20"/>
    </row>
    <row r="123" ht="14.25" customHeight="1">
      <c r="G123" s="20"/>
    </row>
    <row r="124" ht="14.25" customHeight="1">
      <c r="G124" s="20"/>
    </row>
    <row r="125" ht="14.25" customHeight="1">
      <c r="G125" s="20"/>
    </row>
    <row r="126" ht="14.25" customHeight="1">
      <c r="G126" s="20"/>
    </row>
    <row r="127" ht="14.25" customHeight="1">
      <c r="G127" s="20"/>
    </row>
    <row r="128" ht="14.25" customHeight="1">
      <c r="G128" s="20"/>
    </row>
    <row r="129" ht="14.25" customHeight="1">
      <c r="G129" s="20"/>
    </row>
    <row r="130" ht="14.25" customHeight="1">
      <c r="G130" s="20"/>
    </row>
    <row r="131" ht="14.25" customHeight="1">
      <c r="G131" s="20"/>
    </row>
    <row r="132" ht="14.25" customHeight="1">
      <c r="G132" s="20"/>
    </row>
    <row r="133" ht="14.25" customHeight="1">
      <c r="G133" s="20"/>
    </row>
    <row r="134" ht="14.25" customHeight="1">
      <c r="G134" s="20"/>
    </row>
    <row r="135" ht="14.25" customHeight="1">
      <c r="G135" s="20"/>
    </row>
    <row r="136" ht="14.25" customHeight="1">
      <c r="G136" s="20"/>
    </row>
    <row r="137" ht="14.25" customHeight="1">
      <c r="G137" s="20"/>
    </row>
    <row r="138" ht="14.25" customHeight="1">
      <c r="G138" s="20"/>
    </row>
    <row r="139" ht="14.25" customHeight="1">
      <c r="G139" s="20"/>
    </row>
    <row r="140" ht="14.25" customHeight="1">
      <c r="G140" s="20"/>
    </row>
    <row r="141" ht="14.25" customHeight="1">
      <c r="G141" s="20"/>
    </row>
    <row r="142" ht="14.25" customHeight="1">
      <c r="G142" s="20"/>
    </row>
    <row r="143" ht="14.25" customHeight="1">
      <c r="G143" s="20"/>
    </row>
    <row r="144" ht="14.25" customHeight="1">
      <c r="G144" s="20"/>
    </row>
    <row r="145" ht="14.25" customHeight="1">
      <c r="G145" s="20"/>
    </row>
    <row r="146" ht="14.25" customHeight="1">
      <c r="G146" s="20"/>
    </row>
    <row r="147" ht="14.25" customHeight="1">
      <c r="G147" s="20"/>
    </row>
    <row r="148" ht="14.25" customHeight="1">
      <c r="G148" s="20"/>
    </row>
    <row r="149" ht="14.25" customHeight="1">
      <c r="G149" s="20"/>
    </row>
    <row r="150" ht="14.25" customHeight="1">
      <c r="G150" s="20"/>
    </row>
    <row r="151" ht="14.25" customHeight="1">
      <c r="G151" s="20"/>
    </row>
    <row r="152" ht="14.25" customHeight="1">
      <c r="G152" s="20"/>
    </row>
    <row r="153" ht="14.25" customHeight="1">
      <c r="G153" s="20"/>
    </row>
    <row r="154" ht="14.25" customHeight="1">
      <c r="G154" s="20"/>
    </row>
    <row r="155" ht="14.25" customHeight="1">
      <c r="G155" s="20"/>
    </row>
    <row r="156" ht="14.25" customHeight="1">
      <c r="G156" s="20"/>
    </row>
    <row r="157" ht="14.25" customHeight="1">
      <c r="G157" s="20"/>
    </row>
    <row r="158" ht="14.25" customHeight="1">
      <c r="G158" s="20"/>
    </row>
    <row r="159" ht="14.25" customHeight="1">
      <c r="G159" s="20"/>
    </row>
    <row r="160" ht="14.25" customHeight="1">
      <c r="G160" s="20"/>
    </row>
    <row r="161" ht="14.25" customHeight="1">
      <c r="G161" s="20"/>
    </row>
    <row r="162" ht="14.25" customHeight="1">
      <c r="G162" s="20"/>
    </row>
    <row r="163" ht="14.25" customHeight="1">
      <c r="G163" s="20"/>
    </row>
    <row r="164" ht="14.25" customHeight="1">
      <c r="G164" s="20"/>
    </row>
    <row r="165" ht="14.25" customHeight="1">
      <c r="G165" s="20"/>
    </row>
    <row r="166" ht="14.25" customHeight="1">
      <c r="G166" s="20"/>
    </row>
    <row r="167" ht="14.25" customHeight="1">
      <c r="G167" s="20"/>
    </row>
    <row r="168" ht="14.25" customHeight="1">
      <c r="G168" s="20"/>
    </row>
    <row r="169" ht="14.25" customHeight="1">
      <c r="G169" s="20"/>
    </row>
    <row r="170" ht="14.25" customHeight="1">
      <c r="G170" s="20"/>
    </row>
    <row r="171" ht="14.25" customHeight="1">
      <c r="G171" s="20"/>
    </row>
    <row r="172" ht="14.25" customHeight="1">
      <c r="G172" s="20"/>
    </row>
    <row r="173" ht="14.25" customHeight="1">
      <c r="G173" s="20"/>
    </row>
    <row r="174" ht="14.25" customHeight="1">
      <c r="G174" s="20"/>
    </row>
    <row r="175" ht="14.25" customHeight="1">
      <c r="G175" s="20"/>
    </row>
    <row r="176" ht="14.25" customHeight="1">
      <c r="G176" s="20"/>
    </row>
    <row r="177" ht="14.25" customHeight="1">
      <c r="G177" s="20"/>
    </row>
    <row r="178" ht="14.25" customHeight="1">
      <c r="G178" s="20"/>
    </row>
    <row r="179" ht="14.25" customHeight="1">
      <c r="G179" s="20"/>
    </row>
    <row r="180" ht="14.25" customHeight="1">
      <c r="G180" s="20"/>
    </row>
    <row r="181" ht="14.25" customHeight="1">
      <c r="G181" s="20"/>
    </row>
    <row r="182" ht="14.25" customHeight="1">
      <c r="G182" s="20"/>
    </row>
    <row r="183" ht="14.25" customHeight="1">
      <c r="G183" s="20"/>
    </row>
    <row r="184" ht="14.25" customHeight="1">
      <c r="G184" s="20"/>
    </row>
    <row r="185" ht="14.25" customHeight="1">
      <c r="G185" s="20"/>
    </row>
    <row r="186" ht="14.25" customHeight="1">
      <c r="G186" s="20"/>
    </row>
    <row r="187" ht="14.25" customHeight="1">
      <c r="G187" s="20"/>
    </row>
    <row r="188" ht="14.25" customHeight="1">
      <c r="G188" s="20"/>
    </row>
    <row r="189" ht="14.25" customHeight="1">
      <c r="G189" s="20"/>
    </row>
    <row r="190" ht="14.25" customHeight="1">
      <c r="G190" s="20"/>
    </row>
    <row r="191" ht="14.25" customHeight="1">
      <c r="G191" s="20"/>
    </row>
    <row r="192" ht="14.25" customHeight="1">
      <c r="G192" s="20"/>
    </row>
    <row r="193" ht="14.25" customHeight="1">
      <c r="G193" s="20"/>
    </row>
    <row r="194" ht="14.25" customHeight="1">
      <c r="G194" s="20"/>
    </row>
    <row r="195" ht="14.25" customHeight="1">
      <c r="G195" s="20"/>
    </row>
    <row r="196" ht="14.25" customHeight="1">
      <c r="G196" s="20"/>
    </row>
    <row r="197" ht="14.25" customHeight="1">
      <c r="G197" s="20"/>
    </row>
    <row r="198" ht="14.25" customHeight="1">
      <c r="G198" s="20"/>
    </row>
    <row r="199" ht="14.25" customHeight="1">
      <c r="G199" s="20"/>
    </row>
    <row r="200" ht="14.25" customHeight="1">
      <c r="G200" s="20"/>
    </row>
    <row r="201" ht="14.25" customHeight="1">
      <c r="G201" s="20"/>
    </row>
    <row r="202" ht="14.25" customHeight="1">
      <c r="G202" s="20"/>
    </row>
    <row r="203" ht="14.25" customHeight="1">
      <c r="G203" s="20"/>
    </row>
    <row r="204" ht="14.25" customHeight="1">
      <c r="G204" s="20"/>
    </row>
    <row r="205" ht="14.25" customHeight="1">
      <c r="G205" s="20"/>
    </row>
    <row r="206" ht="14.25" customHeight="1">
      <c r="G206" s="20"/>
    </row>
    <row r="207" ht="14.25" customHeight="1">
      <c r="G207" s="20"/>
    </row>
    <row r="208" ht="14.25" customHeight="1">
      <c r="G208" s="20"/>
    </row>
    <row r="209" ht="14.25" customHeight="1">
      <c r="G209" s="20"/>
    </row>
    <row r="210" ht="14.25" customHeight="1">
      <c r="G210" s="20"/>
    </row>
    <row r="211" ht="14.25" customHeight="1">
      <c r="G211" s="20"/>
    </row>
    <row r="212" ht="14.25" customHeight="1">
      <c r="G212" s="20"/>
    </row>
    <row r="213" ht="14.25" customHeight="1">
      <c r="G213" s="20"/>
    </row>
    <row r="214" ht="14.25" customHeight="1">
      <c r="G214" s="20"/>
    </row>
    <row r="215" ht="14.25" customHeight="1">
      <c r="G215" s="20"/>
    </row>
    <row r="216" ht="14.25" customHeight="1">
      <c r="G216" s="20"/>
    </row>
    <row r="217" ht="14.25" customHeight="1">
      <c r="G217" s="20"/>
    </row>
    <row r="218" ht="14.25" customHeight="1">
      <c r="G218" s="20"/>
    </row>
    <row r="219" ht="14.25" customHeight="1">
      <c r="G219" s="20"/>
    </row>
    <row r="220" ht="14.25" customHeight="1">
      <c r="G220" s="20"/>
    </row>
    <row r="221" ht="14.25" customHeight="1">
      <c r="G221" s="20"/>
    </row>
    <row r="222" ht="14.25" customHeight="1">
      <c r="G222" s="20"/>
    </row>
    <row r="223" ht="14.25" customHeight="1">
      <c r="G223" s="20"/>
    </row>
    <row r="224" ht="14.25" customHeight="1">
      <c r="G224" s="20"/>
    </row>
    <row r="225" ht="14.25" customHeight="1">
      <c r="G225" s="20"/>
    </row>
    <row r="226" ht="14.25" customHeight="1">
      <c r="G226" s="20"/>
    </row>
    <row r="227" ht="14.25" customHeight="1">
      <c r="G227" s="20"/>
    </row>
    <row r="228" ht="14.25" customHeight="1">
      <c r="G228" s="20"/>
    </row>
    <row r="229" ht="14.25" customHeight="1">
      <c r="G229" s="20"/>
    </row>
    <row r="230" ht="14.25" customHeight="1">
      <c r="G230" s="20"/>
    </row>
    <row r="231" ht="14.25" customHeight="1">
      <c r="G231" s="20"/>
    </row>
    <row r="232" ht="14.25" customHeight="1">
      <c r="G232" s="20"/>
    </row>
    <row r="233" ht="14.25" customHeight="1">
      <c r="G233" s="20"/>
    </row>
    <row r="234" ht="14.25" customHeight="1">
      <c r="G234" s="20"/>
    </row>
    <row r="235" ht="14.25" customHeight="1">
      <c r="G235" s="20"/>
    </row>
    <row r="236" ht="14.25" customHeight="1">
      <c r="G236" s="20"/>
    </row>
    <row r="237" ht="14.25" customHeight="1">
      <c r="G237" s="20"/>
    </row>
    <row r="238" ht="14.25" customHeight="1">
      <c r="G238" s="20"/>
    </row>
    <row r="239" ht="14.25" customHeight="1">
      <c r="G239" s="20"/>
    </row>
    <row r="240" ht="14.25" customHeight="1">
      <c r="G240" s="20"/>
    </row>
    <row r="241" ht="14.25" customHeight="1">
      <c r="G241" s="20"/>
    </row>
    <row r="242" ht="14.25" customHeight="1">
      <c r="G242" s="20"/>
    </row>
    <row r="243" ht="14.25" customHeight="1">
      <c r="G243" s="20"/>
    </row>
    <row r="244" ht="14.25" customHeight="1">
      <c r="G244" s="20"/>
    </row>
    <row r="245" ht="14.25" customHeight="1">
      <c r="G245" s="20"/>
    </row>
    <row r="246" ht="14.25" customHeight="1">
      <c r="G246" s="20"/>
    </row>
    <row r="247" ht="14.25" customHeight="1">
      <c r="G247" s="20"/>
    </row>
    <row r="248" ht="14.25" customHeight="1">
      <c r="G248" s="20"/>
    </row>
    <row r="249" ht="14.25" customHeight="1">
      <c r="G249" s="20"/>
    </row>
    <row r="250" ht="14.25" customHeight="1">
      <c r="G250" s="20"/>
    </row>
    <row r="251" ht="14.25" customHeight="1">
      <c r="G251" s="20"/>
    </row>
    <row r="252" ht="14.25" customHeight="1">
      <c r="G252" s="20"/>
    </row>
    <row r="253" ht="14.25" customHeight="1">
      <c r="G253" s="20"/>
    </row>
    <row r="254" ht="14.25" customHeight="1">
      <c r="G254" s="20"/>
    </row>
    <row r="255" ht="14.25" customHeight="1">
      <c r="G255" s="20"/>
    </row>
    <row r="256" ht="14.25" customHeight="1">
      <c r="G256" s="20"/>
    </row>
    <row r="257" ht="14.25" customHeight="1">
      <c r="G257" s="20"/>
    </row>
    <row r="258" ht="14.25" customHeight="1">
      <c r="G258" s="20"/>
    </row>
    <row r="259" ht="14.25" customHeight="1">
      <c r="G259" s="20"/>
    </row>
    <row r="260" ht="14.25" customHeight="1">
      <c r="G260" s="20"/>
    </row>
    <row r="261" ht="14.25" customHeight="1">
      <c r="G261" s="20"/>
    </row>
    <row r="262" ht="14.25" customHeight="1">
      <c r="G262" s="20"/>
    </row>
    <row r="263" ht="14.25" customHeight="1">
      <c r="G263" s="20"/>
    </row>
    <row r="264" ht="14.25" customHeight="1">
      <c r="G264" s="20"/>
    </row>
    <row r="265" ht="14.25" customHeight="1">
      <c r="G265" s="20"/>
    </row>
    <row r="266" ht="14.25" customHeight="1">
      <c r="G266" s="20"/>
    </row>
    <row r="267" ht="14.25" customHeight="1">
      <c r="G267" s="20"/>
    </row>
    <row r="268" ht="14.25" customHeight="1">
      <c r="G268" s="20"/>
    </row>
    <row r="269" ht="14.25" customHeight="1">
      <c r="G269" s="20"/>
    </row>
    <row r="270" ht="14.25" customHeight="1">
      <c r="G270" s="20"/>
    </row>
    <row r="271" ht="14.25" customHeight="1">
      <c r="G271" s="20"/>
    </row>
    <row r="272" ht="14.25" customHeight="1">
      <c r="G272" s="20"/>
    </row>
    <row r="273" ht="14.25" customHeight="1">
      <c r="G273" s="20"/>
    </row>
    <row r="274" ht="14.25" customHeight="1">
      <c r="G274" s="20"/>
    </row>
    <row r="275" ht="14.25" customHeight="1">
      <c r="G275" s="20"/>
    </row>
    <row r="276" ht="14.25" customHeight="1">
      <c r="G276" s="20"/>
    </row>
    <row r="277" ht="14.25" customHeight="1">
      <c r="G277" s="20"/>
    </row>
    <row r="278" ht="14.25" customHeight="1">
      <c r="G278" s="20"/>
    </row>
    <row r="279" ht="14.25" customHeight="1">
      <c r="G279" s="20"/>
    </row>
    <row r="280" ht="14.25" customHeight="1">
      <c r="G280" s="20"/>
    </row>
    <row r="281" ht="14.25" customHeight="1">
      <c r="G281" s="20"/>
    </row>
    <row r="282" ht="14.25" customHeight="1">
      <c r="G282" s="20"/>
    </row>
    <row r="283" ht="14.25" customHeight="1">
      <c r="G283" s="20"/>
    </row>
    <row r="284" ht="14.25" customHeight="1">
      <c r="G284" s="20"/>
    </row>
    <row r="285" ht="14.25" customHeight="1">
      <c r="G285" s="20"/>
    </row>
    <row r="286" ht="14.25" customHeight="1">
      <c r="G286" s="20"/>
    </row>
    <row r="287" ht="14.25" customHeight="1">
      <c r="G287" s="20"/>
    </row>
    <row r="288" ht="14.25" customHeight="1">
      <c r="G288" s="20"/>
    </row>
    <row r="289" ht="14.25" customHeight="1">
      <c r="G289" s="20"/>
    </row>
    <row r="290" ht="14.25" customHeight="1">
      <c r="G290" s="20"/>
    </row>
    <row r="291" ht="14.25" customHeight="1">
      <c r="G291" s="20"/>
    </row>
    <row r="292" ht="14.25" customHeight="1">
      <c r="G292" s="20"/>
    </row>
    <row r="293" ht="14.25" customHeight="1">
      <c r="G293" s="20"/>
    </row>
    <row r="294" ht="14.25" customHeight="1">
      <c r="G294" s="20"/>
    </row>
    <row r="295" ht="14.25" customHeight="1">
      <c r="G295" s="20"/>
    </row>
    <row r="296" ht="14.25" customHeight="1">
      <c r="G296" s="20"/>
    </row>
    <row r="297" ht="14.25" customHeight="1">
      <c r="G297" s="20"/>
    </row>
    <row r="298" ht="14.25" customHeight="1">
      <c r="G298" s="20"/>
    </row>
    <row r="299" ht="14.25" customHeight="1">
      <c r="G299" s="20"/>
    </row>
    <row r="300" ht="14.25" customHeight="1">
      <c r="G300" s="20"/>
    </row>
    <row r="301" ht="14.25" customHeight="1">
      <c r="G301" s="20"/>
    </row>
    <row r="302" ht="14.25" customHeight="1">
      <c r="G302" s="20"/>
    </row>
    <row r="303" ht="14.25" customHeight="1">
      <c r="G303" s="20"/>
    </row>
    <row r="304" ht="14.25" customHeight="1">
      <c r="G304" s="20"/>
    </row>
    <row r="305" ht="14.25" customHeight="1">
      <c r="G305" s="20"/>
    </row>
    <row r="306" ht="14.25" customHeight="1">
      <c r="G306" s="20"/>
    </row>
    <row r="307" ht="14.25" customHeight="1">
      <c r="G307" s="20"/>
    </row>
    <row r="308" ht="14.25" customHeight="1">
      <c r="G308" s="20"/>
    </row>
    <row r="309" ht="14.25" customHeight="1">
      <c r="G309" s="20"/>
    </row>
    <row r="310" ht="14.25" customHeight="1">
      <c r="G310" s="20"/>
    </row>
    <row r="311" ht="14.25" customHeight="1">
      <c r="G311" s="20"/>
    </row>
    <row r="312" ht="14.25" customHeight="1">
      <c r="G312" s="20"/>
    </row>
    <row r="313" ht="14.25" customHeight="1">
      <c r="G313" s="20"/>
    </row>
    <row r="314" ht="14.25" customHeight="1">
      <c r="G314" s="20"/>
    </row>
    <row r="315" ht="14.25" customHeight="1">
      <c r="G315" s="20"/>
    </row>
    <row r="316" ht="14.25" customHeight="1">
      <c r="G316" s="20"/>
    </row>
    <row r="317" ht="14.25" customHeight="1">
      <c r="G317" s="20"/>
    </row>
    <row r="318" ht="14.25" customHeight="1">
      <c r="G318" s="20"/>
    </row>
    <row r="319" ht="14.25" customHeight="1">
      <c r="G319" s="20"/>
    </row>
    <row r="320" ht="14.25" customHeight="1">
      <c r="G320" s="20"/>
    </row>
    <row r="321" ht="14.25" customHeight="1">
      <c r="G321" s="20"/>
    </row>
    <row r="322" ht="14.25" customHeight="1">
      <c r="G322" s="20"/>
    </row>
    <row r="323" ht="14.25" customHeight="1">
      <c r="G323" s="20"/>
    </row>
    <row r="324" ht="14.25" customHeight="1">
      <c r="G324" s="20"/>
    </row>
    <row r="325" ht="14.25" customHeight="1">
      <c r="G325" s="20"/>
    </row>
    <row r="326" ht="14.25" customHeight="1">
      <c r="G326" s="20"/>
    </row>
    <row r="327" ht="14.25" customHeight="1">
      <c r="G327" s="20"/>
    </row>
    <row r="328" ht="14.25" customHeight="1">
      <c r="G328" s="20"/>
    </row>
    <row r="329" ht="14.25" customHeight="1">
      <c r="G329" s="20"/>
    </row>
    <row r="330" ht="14.25" customHeight="1">
      <c r="G330" s="20"/>
    </row>
    <row r="331" ht="14.25" customHeight="1">
      <c r="G331" s="20"/>
    </row>
    <row r="332" ht="14.25" customHeight="1">
      <c r="G332" s="20"/>
    </row>
    <row r="333" ht="14.25" customHeight="1">
      <c r="G333" s="20"/>
    </row>
    <row r="334" ht="14.25" customHeight="1">
      <c r="G334" s="20"/>
    </row>
    <row r="335" ht="14.25" customHeight="1">
      <c r="G335" s="20"/>
    </row>
    <row r="336" ht="14.25" customHeight="1">
      <c r="G336" s="20"/>
    </row>
    <row r="337" ht="14.25" customHeight="1">
      <c r="G337" s="20"/>
    </row>
    <row r="338" ht="14.25" customHeight="1">
      <c r="G338" s="20"/>
    </row>
    <row r="339" ht="14.25" customHeight="1">
      <c r="G339" s="20"/>
    </row>
    <row r="340" ht="14.25" customHeight="1">
      <c r="G340" s="20"/>
    </row>
    <row r="341" ht="14.25" customHeight="1">
      <c r="G341" s="20"/>
    </row>
    <row r="342" ht="14.25" customHeight="1">
      <c r="G342" s="20"/>
    </row>
    <row r="343" ht="14.25" customHeight="1">
      <c r="G343" s="20"/>
    </row>
    <row r="344" ht="14.25" customHeight="1">
      <c r="G344" s="20"/>
    </row>
    <row r="345" ht="14.25" customHeight="1">
      <c r="G345" s="20"/>
    </row>
    <row r="346" ht="14.25" customHeight="1">
      <c r="G346" s="20"/>
    </row>
    <row r="347" ht="14.25" customHeight="1">
      <c r="G347" s="20"/>
    </row>
    <row r="348" ht="14.25" customHeight="1">
      <c r="G348" s="20"/>
    </row>
    <row r="349" ht="14.25" customHeight="1">
      <c r="G349" s="20"/>
    </row>
    <row r="350" ht="14.25" customHeight="1">
      <c r="G350" s="20"/>
    </row>
    <row r="351" ht="14.25" customHeight="1">
      <c r="G351" s="20"/>
    </row>
    <row r="352" ht="14.25" customHeight="1">
      <c r="G352" s="20"/>
    </row>
    <row r="353" ht="14.25" customHeight="1">
      <c r="G353" s="20"/>
    </row>
    <row r="354" ht="14.25" customHeight="1">
      <c r="G354" s="20"/>
    </row>
    <row r="355" ht="14.25" customHeight="1">
      <c r="G355" s="20"/>
    </row>
    <row r="356" ht="14.25" customHeight="1">
      <c r="G356" s="20"/>
    </row>
    <row r="357" ht="14.25" customHeight="1">
      <c r="G357" s="20"/>
    </row>
    <row r="358" ht="14.25" customHeight="1">
      <c r="G358" s="20"/>
    </row>
    <row r="359" ht="14.25" customHeight="1">
      <c r="G359" s="20"/>
    </row>
    <row r="360" ht="14.25" customHeight="1">
      <c r="G360" s="20"/>
    </row>
    <row r="361" ht="14.25" customHeight="1">
      <c r="G361" s="20"/>
    </row>
    <row r="362" ht="14.25" customHeight="1">
      <c r="G362" s="20"/>
    </row>
    <row r="363" ht="14.25" customHeight="1">
      <c r="G363" s="20"/>
    </row>
    <row r="364" ht="14.25" customHeight="1">
      <c r="G364" s="20"/>
    </row>
    <row r="365" ht="14.25" customHeight="1">
      <c r="G365" s="20"/>
    </row>
    <row r="366" ht="14.25" customHeight="1">
      <c r="G366" s="20"/>
    </row>
    <row r="367" ht="14.25" customHeight="1">
      <c r="G367" s="20"/>
    </row>
    <row r="368" ht="14.25" customHeight="1">
      <c r="G368" s="20"/>
    </row>
    <row r="369" ht="14.25" customHeight="1">
      <c r="G369" s="20"/>
    </row>
    <row r="370" ht="14.25" customHeight="1">
      <c r="G370" s="20"/>
    </row>
    <row r="371" ht="14.25" customHeight="1">
      <c r="G371" s="20"/>
    </row>
    <row r="372" ht="14.25" customHeight="1">
      <c r="G372" s="20"/>
    </row>
    <row r="373" ht="14.25" customHeight="1">
      <c r="G373" s="20"/>
    </row>
    <row r="374" ht="14.25" customHeight="1">
      <c r="G374" s="20"/>
    </row>
    <row r="375" ht="14.25" customHeight="1">
      <c r="G375" s="20"/>
    </row>
    <row r="376" ht="14.25" customHeight="1">
      <c r="G376" s="20"/>
    </row>
    <row r="377" ht="14.25" customHeight="1">
      <c r="G377" s="20"/>
    </row>
    <row r="378" ht="14.25" customHeight="1">
      <c r="G378" s="20"/>
    </row>
    <row r="379" ht="14.25" customHeight="1">
      <c r="G379" s="20"/>
    </row>
    <row r="380" ht="14.25" customHeight="1">
      <c r="G380" s="20"/>
    </row>
    <row r="381" ht="14.25" customHeight="1">
      <c r="G381" s="20"/>
    </row>
    <row r="382" ht="14.25" customHeight="1">
      <c r="G382" s="20"/>
    </row>
    <row r="383" ht="14.25" customHeight="1">
      <c r="G383" s="20"/>
    </row>
    <row r="384" ht="14.25" customHeight="1">
      <c r="G384" s="20"/>
    </row>
    <row r="385" ht="14.25" customHeight="1">
      <c r="G385" s="20"/>
    </row>
    <row r="386" ht="14.25" customHeight="1">
      <c r="G386" s="20"/>
    </row>
    <row r="387" ht="14.25" customHeight="1">
      <c r="G387" s="20"/>
    </row>
    <row r="388" ht="14.25" customHeight="1">
      <c r="G388" s="20"/>
    </row>
    <row r="389" ht="14.25" customHeight="1">
      <c r="G389" s="20"/>
    </row>
    <row r="390" ht="14.25" customHeight="1">
      <c r="G390" s="20"/>
    </row>
    <row r="391" ht="14.25" customHeight="1">
      <c r="G391" s="20"/>
    </row>
    <row r="392" ht="14.25" customHeight="1">
      <c r="G392" s="20"/>
    </row>
    <row r="393" ht="14.25" customHeight="1">
      <c r="G393" s="20"/>
    </row>
    <row r="394" ht="14.25" customHeight="1">
      <c r="G394" s="20"/>
    </row>
    <row r="395" ht="14.25" customHeight="1">
      <c r="G395" s="20"/>
    </row>
    <row r="396" ht="14.25" customHeight="1">
      <c r="G396" s="20"/>
    </row>
    <row r="397" ht="14.25" customHeight="1">
      <c r="G397" s="20"/>
    </row>
    <row r="398" ht="14.25" customHeight="1">
      <c r="G398" s="20"/>
    </row>
    <row r="399" ht="14.25" customHeight="1">
      <c r="G399" s="20"/>
    </row>
    <row r="400" ht="14.25" customHeight="1">
      <c r="G400" s="20"/>
    </row>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24"/>
  <conditionalFormatting sqref="G2:G24">
    <cfRule type="cellIs" dxfId="0" priority="1" operator="equal">
      <formula>"Pass"</formula>
    </cfRule>
  </conditionalFormatting>
  <conditionalFormatting sqref="G2:G24">
    <cfRule type="cellIs" dxfId="1" priority="2" operator="equal">
      <formula>"Fail"</formula>
    </cfRule>
  </conditionalFormatting>
  <conditionalFormatting sqref="G2:G24">
    <cfRule type="cellIs" dxfId="2" priority="3" operator="equal">
      <formula>"Blocked"</formula>
    </cfRule>
  </conditionalFormatting>
  <conditionalFormatting sqref="G2:G24">
    <cfRule type="cellIs" dxfId="3" priority="4" operator="equal">
      <formula>"Retest"</formula>
    </cfRule>
  </conditionalFormatting>
  <conditionalFormatting sqref="G2:G24">
    <cfRule type="cellIs" dxfId="4" priority="5" operator="equal">
      <formula>"Not Run"</formula>
    </cfRule>
  </conditionalFormatting>
  <dataValidations>
    <dataValidation type="list" allowBlank="1" showErrorMessage="1" sqref="G2:G40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8:J8" ref="I8"/>
    <hyperlink r:id="rId8" location="gid=0&amp;range=A9:J9" ref="I9"/>
    <hyperlink r:id="rId9" location="gid=0&amp;range=A10:J10" ref="I10"/>
    <hyperlink r:id="rId10" location="gid=0&amp;range=A11:J11" ref="I11"/>
    <hyperlink r:id="rId11" location="gid=0&amp;range=A12:J12" ref="I12"/>
    <hyperlink r:id="rId12" location="gid=0&amp;range=A13:J13" ref="I13"/>
    <hyperlink r:id="rId13" location="gid=0&amp;range=A14:J14" ref="I14"/>
    <hyperlink r:id="rId14" location="gid=0&amp;range=A15:J15" ref="I15"/>
    <hyperlink r:id="rId15" location="gid=0&amp;range=A16:J16" ref="I16"/>
    <hyperlink r:id="rId16" location="gid=0&amp;range=A17:J17" ref="I17"/>
    <hyperlink r:id="rId17" location="gid=0&amp;range=A18:J18" ref="I18"/>
    <hyperlink r:id="rId18" location="gid=0&amp;range=A19:J19" ref="I19"/>
    <hyperlink r:id="rId19" location="gid=0&amp;range=A20:J20" ref="I20"/>
    <hyperlink r:id="rId20" location="gid=0&amp;range=A21:J21" ref="I21"/>
    <hyperlink r:id="rId21" location="gid=0&amp;range=A22:J22" ref="I22"/>
    <hyperlink r:id="rId22" location="gid=0&amp;range=A23:J23" ref="I23"/>
    <hyperlink r:id="rId23" location="gid=0&amp;range=A24:J24" ref="I24"/>
  </hyperlinks>
  <printOptions/>
  <pageMargins bottom="1.0" footer="0.0" header="0.0" left="0.75" right="0.75" top="1.0"/>
  <pageSetup orientation="landscape"/>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1" t="s">
        <v>0</v>
      </c>
      <c r="B1" s="1" t="s">
        <v>2</v>
      </c>
      <c r="C1" s="1" t="s">
        <v>3</v>
      </c>
      <c r="D1" s="1" t="s">
        <v>4</v>
      </c>
      <c r="E1" s="1" t="s">
        <v>5</v>
      </c>
      <c r="F1" s="1" t="s">
        <v>6</v>
      </c>
      <c r="G1" s="1" t="s">
        <v>7</v>
      </c>
      <c r="H1" s="1" t="s">
        <v>8</v>
      </c>
      <c r="I1" s="1" t="s">
        <v>9</v>
      </c>
      <c r="J1" s="1" t="s">
        <v>10</v>
      </c>
    </row>
    <row r="2" ht="113.25" customHeight="1">
      <c r="A2" s="2" t="s">
        <v>21</v>
      </c>
      <c r="B2" s="3" t="s">
        <v>22</v>
      </c>
      <c r="C2" s="3" t="s">
        <v>23</v>
      </c>
      <c r="D2" s="3" t="s">
        <v>24</v>
      </c>
      <c r="E2" s="3" t="s">
        <v>25</v>
      </c>
      <c r="F2" s="4">
        <v>46262.0</v>
      </c>
      <c r="G2" s="6" t="s">
        <v>26</v>
      </c>
      <c r="H2" s="3" t="s">
        <v>30</v>
      </c>
      <c r="I2" s="10" t="s">
        <v>32</v>
      </c>
      <c r="J2" s="3" t="s">
        <v>36</v>
      </c>
    </row>
    <row r="3" ht="90.75" customHeight="1">
      <c r="A3" s="11" t="s">
        <v>37</v>
      </c>
      <c r="B3" s="13" t="s">
        <v>40</v>
      </c>
      <c r="C3" s="13" t="s">
        <v>47</v>
      </c>
      <c r="D3" s="13" t="s">
        <v>48</v>
      </c>
      <c r="E3" s="13" t="s">
        <v>49</v>
      </c>
      <c r="F3" s="14">
        <v>46262.0</v>
      </c>
      <c r="G3" s="15" t="s">
        <v>26</v>
      </c>
      <c r="H3" s="13" t="s">
        <v>51</v>
      </c>
      <c r="I3" s="16" t="s">
        <v>52</v>
      </c>
      <c r="J3" s="13" t="s">
        <v>36</v>
      </c>
    </row>
    <row r="4" ht="79.5" customHeight="1">
      <c r="A4" s="2" t="s">
        <v>90</v>
      </c>
      <c r="B4" s="3" t="s">
        <v>94</v>
      </c>
      <c r="C4" s="3" t="s">
        <v>98</v>
      </c>
      <c r="D4" s="3" t="s">
        <v>99</v>
      </c>
      <c r="E4" s="3" t="s">
        <v>101</v>
      </c>
      <c r="F4" s="4">
        <v>46262.0</v>
      </c>
      <c r="G4" s="6" t="s">
        <v>26</v>
      </c>
      <c r="H4" s="3" t="s">
        <v>110</v>
      </c>
      <c r="I4" s="10" t="s">
        <v>112</v>
      </c>
      <c r="J4" s="3" t="s">
        <v>36</v>
      </c>
    </row>
    <row r="5" ht="124.5" customHeight="1">
      <c r="A5" s="11" t="s">
        <v>117</v>
      </c>
      <c r="B5" s="13" t="s">
        <v>119</v>
      </c>
      <c r="C5" s="13" t="s">
        <v>120</v>
      </c>
      <c r="D5" s="13" t="s">
        <v>122</v>
      </c>
      <c r="E5" s="13" t="s">
        <v>123</v>
      </c>
      <c r="F5" s="14">
        <v>46262.0</v>
      </c>
      <c r="G5" s="15" t="s">
        <v>26</v>
      </c>
      <c r="H5" s="13" t="s">
        <v>135</v>
      </c>
      <c r="I5" s="16" t="s">
        <v>136</v>
      </c>
      <c r="J5" s="13" t="s">
        <v>36</v>
      </c>
    </row>
    <row r="6" ht="124.5" customHeight="1">
      <c r="A6" s="2" t="s">
        <v>142</v>
      </c>
      <c r="B6" s="3" t="s">
        <v>145</v>
      </c>
      <c r="C6" s="3" t="s">
        <v>148</v>
      </c>
      <c r="D6" s="3" t="s">
        <v>150</v>
      </c>
      <c r="E6" s="3" t="s">
        <v>152</v>
      </c>
      <c r="F6" s="4">
        <v>46262.0</v>
      </c>
      <c r="G6" s="6" t="s">
        <v>26</v>
      </c>
      <c r="H6" s="3" t="s">
        <v>155</v>
      </c>
      <c r="I6" s="10" t="s">
        <v>161</v>
      </c>
      <c r="J6" s="3" t="s">
        <v>36</v>
      </c>
    </row>
    <row r="7" ht="68.25" customHeight="1">
      <c r="A7" s="11" t="s">
        <v>166</v>
      </c>
      <c r="B7" s="13" t="s">
        <v>169</v>
      </c>
      <c r="C7" s="13" t="s">
        <v>172</v>
      </c>
      <c r="D7" s="13" t="s">
        <v>176</v>
      </c>
      <c r="E7" s="13" t="s">
        <v>177</v>
      </c>
      <c r="F7" s="14">
        <v>46262.0</v>
      </c>
      <c r="G7" s="15" t="s">
        <v>26</v>
      </c>
      <c r="H7" s="13" t="s">
        <v>180</v>
      </c>
      <c r="I7" s="16" t="s">
        <v>183</v>
      </c>
      <c r="J7" s="13" t="s">
        <v>187</v>
      </c>
    </row>
    <row r="8" ht="79.5" customHeight="1">
      <c r="A8" s="2" t="s">
        <v>188</v>
      </c>
      <c r="B8" s="3" t="s">
        <v>190</v>
      </c>
      <c r="C8" s="3" t="s">
        <v>194</v>
      </c>
      <c r="D8" s="3" t="s">
        <v>197</v>
      </c>
      <c r="E8" s="3" t="s">
        <v>198</v>
      </c>
      <c r="F8" s="4">
        <v>46262.0</v>
      </c>
      <c r="G8" s="6" t="s">
        <v>26</v>
      </c>
      <c r="H8" s="3" t="s">
        <v>201</v>
      </c>
      <c r="I8" s="3" t="s">
        <v>202</v>
      </c>
      <c r="J8" s="3" t="s">
        <v>204</v>
      </c>
    </row>
    <row r="9" ht="68.25" customHeight="1">
      <c r="A9" s="11" t="s">
        <v>207</v>
      </c>
      <c r="B9" s="13" t="s">
        <v>209</v>
      </c>
      <c r="C9" s="13" t="s">
        <v>212</v>
      </c>
      <c r="D9" s="13" t="s">
        <v>213</v>
      </c>
      <c r="E9" s="13" t="s">
        <v>215</v>
      </c>
      <c r="F9" s="14">
        <v>46262.0</v>
      </c>
      <c r="G9" s="15" t="s">
        <v>26</v>
      </c>
      <c r="H9" s="13" t="s">
        <v>218</v>
      </c>
      <c r="I9" s="16" t="s">
        <v>219</v>
      </c>
      <c r="J9" s="13" t="s">
        <v>36</v>
      </c>
    </row>
    <row r="10" ht="90.75" customHeight="1">
      <c r="A10" s="2" t="s">
        <v>225</v>
      </c>
      <c r="B10" s="3" t="s">
        <v>226</v>
      </c>
      <c r="C10" s="3" t="s">
        <v>228</v>
      </c>
      <c r="D10" s="3" t="s">
        <v>231</v>
      </c>
      <c r="E10" s="3" t="s">
        <v>233</v>
      </c>
      <c r="F10" s="4">
        <v>46262.0</v>
      </c>
      <c r="G10" s="6" t="s">
        <v>26</v>
      </c>
      <c r="H10" s="3" t="s">
        <v>236</v>
      </c>
      <c r="I10" s="10" t="s">
        <v>238</v>
      </c>
      <c r="J10" s="3" t="s">
        <v>36</v>
      </c>
    </row>
    <row r="11" ht="68.25" customHeight="1">
      <c r="A11" s="11" t="s">
        <v>243</v>
      </c>
      <c r="B11" s="13" t="s">
        <v>244</v>
      </c>
      <c r="C11" s="13" t="s">
        <v>245</v>
      </c>
      <c r="D11" s="13" t="s">
        <v>249</v>
      </c>
      <c r="E11" s="13" t="s">
        <v>252</v>
      </c>
      <c r="F11" s="14">
        <v>46262.0</v>
      </c>
      <c r="G11" s="15" t="s">
        <v>26</v>
      </c>
      <c r="H11" s="13" t="s">
        <v>256</v>
      </c>
      <c r="I11" s="16" t="s">
        <v>257</v>
      </c>
      <c r="J11" s="13" t="s">
        <v>36</v>
      </c>
    </row>
    <row r="12" ht="124.5" customHeight="1">
      <c r="A12" s="2" t="s">
        <v>261</v>
      </c>
      <c r="B12" s="3" t="s">
        <v>262</v>
      </c>
      <c r="C12" s="3" t="s">
        <v>264</v>
      </c>
      <c r="D12" s="3" t="s">
        <v>266</v>
      </c>
      <c r="E12" s="3" t="s">
        <v>267</v>
      </c>
      <c r="F12" s="4">
        <v>46262.0</v>
      </c>
      <c r="G12" s="6" t="s">
        <v>26</v>
      </c>
      <c r="H12" s="3" t="s">
        <v>269</v>
      </c>
      <c r="I12" s="10" t="s">
        <v>270</v>
      </c>
      <c r="J12" s="3" t="s">
        <v>36</v>
      </c>
    </row>
    <row r="13" ht="68.25" customHeight="1">
      <c r="A13" s="11" t="s">
        <v>275</v>
      </c>
      <c r="B13" s="13" t="s">
        <v>277</v>
      </c>
      <c r="C13" s="13" t="s">
        <v>280</v>
      </c>
      <c r="D13" s="13" t="s">
        <v>282</v>
      </c>
      <c r="E13" s="13" t="s">
        <v>284</v>
      </c>
      <c r="F13" s="14">
        <v>46262.0</v>
      </c>
      <c r="G13" s="15" t="s">
        <v>26</v>
      </c>
      <c r="H13" s="13" t="s">
        <v>288</v>
      </c>
      <c r="I13" s="16" t="s">
        <v>290</v>
      </c>
      <c r="J13" s="13" t="s">
        <v>292</v>
      </c>
    </row>
    <row r="14" ht="102.0" customHeight="1">
      <c r="A14" s="2" t="s">
        <v>294</v>
      </c>
      <c r="B14" s="3" t="s">
        <v>295</v>
      </c>
      <c r="C14" s="3" t="s">
        <v>297</v>
      </c>
      <c r="D14" s="3" t="s">
        <v>299</v>
      </c>
      <c r="E14" s="3" t="s">
        <v>300</v>
      </c>
      <c r="F14" s="4">
        <v>46262.0</v>
      </c>
      <c r="G14" s="6" t="s">
        <v>26</v>
      </c>
      <c r="H14" s="3" t="s">
        <v>305</v>
      </c>
      <c r="I14" s="10" t="s">
        <v>307</v>
      </c>
      <c r="J14" s="3" t="s">
        <v>36</v>
      </c>
    </row>
    <row r="15" ht="68.25" customHeight="1">
      <c r="A15" s="11" t="s">
        <v>312</v>
      </c>
      <c r="B15" s="13" t="s">
        <v>276</v>
      </c>
      <c r="C15" s="13" t="s">
        <v>313</v>
      </c>
      <c r="D15" s="13" t="s">
        <v>315</v>
      </c>
      <c r="E15" s="13" t="s">
        <v>316</v>
      </c>
      <c r="F15" s="14">
        <v>46262.0</v>
      </c>
      <c r="G15" s="15" t="s">
        <v>26</v>
      </c>
      <c r="H15" s="13" t="s">
        <v>320</v>
      </c>
      <c r="I15" s="16" t="s">
        <v>322</v>
      </c>
      <c r="J15" s="13" t="s">
        <v>36</v>
      </c>
    </row>
    <row r="16" ht="128.25" customHeight="1">
      <c r="A16" s="2" t="s">
        <v>325</v>
      </c>
      <c r="B16" s="3" t="s">
        <v>326</v>
      </c>
      <c r="C16" s="3" t="s">
        <v>328</v>
      </c>
      <c r="D16" s="3" t="s">
        <v>330</v>
      </c>
      <c r="E16" s="3" t="s">
        <v>332</v>
      </c>
      <c r="F16" s="4">
        <v>46262.0</v>
      </c>
      <c r="G16" s="6" t="s">
        <v>26</v>
      </c>
      <c r="H16" s="3" t="s">
        <v>335</v>
      </c>
      <c r="I16" s="10" t="s">
        <v>337</v>
      </c>
      <c r="J16" s="3" t="s">
        <v>340</v>
      </c>
    </row>
    <row r="17" ht="57.0" customHeight="1">
      <c r="A17" s="11" t="s">
        <v>343</v>
      </c>
      <c r="B17" s="13" t="s">
        <v>345</v>
      </c>
      <c r="C17" s="13" t="s">
        <v>346</v>
      </c>
      <c r="D17" s="13" t="s">
        <v>348</v>
      </c>
      <c r="E17" s="13" t="s">
        <v>350</v>
      </c>
      <c r="F17" s="14">
        <v>46262.0</v>
      </c>
      <c r="G17" s="15" t="s">
        <v>26</v>
      </c>
      <c r="H17" s="13" t="s">
        <v>351</v>
      </c>
      <c r="I17" s="16" t="s">
        <v>354</v>
      </c>
      <c r="J17" s="13" t="s">
        <v>36</v>
      </c>
    </row>
    <row r="18" ht="57.0" customHeight="1">
      <c r="A18" s="2" t="s">
        <v>362</v>
      </c>
      <c r="B18" s="3" t="s">
        <v>364</v>
      </c>
      <c r="C18" s="3" t="s">
        <v>365</v>
      </c>
      <c r="D18" s="3" t="s">
        <v>366</v>
      </c>
      <c r="E18" s="3" t="s">
        <v>367</v>
      </c>
      <c r="F18" s="4">
        <v>46262.0</v>
      </c>
      <c r="G18" s="6" t="s">
        <v>26</v>
      </c>
      <c r="H18" s="3" t="s">
        <v>371</v>
      </c>
      <c r="I18" s="10" t="s">
        <v>373</v>
      </c>
      <c r="J18" s="3" t="s">
        <v>36</v>
      </c>
    </row>
    <row r="19" ht="68.25" customHeight="1">
      <c r="A19" s="11" t="s">
        <v>376</v>
      </c>
      <c r="B19" s="13" t="s">
        <v>377</v>
      </c>
      <c r="C19" s="13" t="s">
        <v>379</v>
      </c>
      <c r="D19" s="13" t="s">
        <v>380</v>
      </c>
      <c r="E19" s="13" t="s">
        <v>381</v>
      </c>
      <c r="F19" s="14">
        <v>46262.0</v>
      </c>
      <c r="G19" s="15" t="s">
        <v>26</v>
      </c>
      <c r="H19" s="13" t="s">
        <v>383</v>
      </c>
      <c r="I19" s="16" t="s">
        <v>384</v>
      </c>
      <c r="J19" s="13" t="s">
        <v>36</v>
      </c>
    </row>
    <row r="20" ht="90.75" customHeight="1">
      <c r="A20" s="2" t="s">
        <v>387</v>
      </c>
      <c r="B20" s="3" t="s">
        <v>388</v>
      </c>
      <c r="C20" s="3" t="s">
        <v>391</v>
      </c>
      <c r="D20" s="3" t="s">
        <v>393</v>
      </c>
      <c r="E20" s="3" t="s">
        <v>396</v>
      </c>
      <c r="F20" s="4">
        <v>46262.0</v>
      </c>
      <c r="G20" s="6" t="s">
        <v>26</v>
      </c>
      <c r="H20" s="3" t="s">
        <v>400</v>
      </c>
      <c r="I20" s="10" t="s">
        <v>402</v>
      </c>
      <c r="J20" s="3" t="s">
        <v>36</v>
      </c>
    </row>
    <row r="21" ht="79.5" customHeight="1">
      <c r="A21" s="11" t="s">
        <v>403</v>
      </c>
      <c r="B21" s="13" t="s">
        <v>406</v>
      </c>
      <c r="C21" s="13" t="s">
        <v>407</v>
      </c>
      <c r="D21" s="13" t="s">
        <v>409</v>
      </c>
      <c r="E21" s="13" t="s">
        <v>410</v>
      </c>
      <c r="F21" s="14">
        <v>46262.0</v>
      </c>
      <c r="G21" s="15" t="s">
        <v>26</v>
      </c>
      <c r="H21" s="13" t="s">
        <v>411</v>
      </c>
      <c r="I21" s="16" t="s">
        <v>413</v>
      </c>
      <c r="J21" s="13" t="s">
        <v>36</v>
      </c>
    </row>
    <row r="22" ht="57.0" customHeight="1">
      <c r="A22" s="2" t="s">
        <v>418</v>
      </c>
      <c r="B22" s="3" t="s">
        <v>419</v>
      </c>
      <c r="C22" s="3" t="s">
        <v>421</v>
      </c>
      <c r="D22" s="3" t="s">
        <v>424</v>
      </c>
      <c r="E22" s="3" t="s">
        <v>425</v>
      </c>
      <c r="F22" s="4">
        <v>46262.0</v>
      </c>
      <c r="G22" s="6" t="s">
        <v>26</v>
      </c>
      <c r="H22" s="3" t="s">
        <v>427</v>
      </c>
      <c r="I22" s="10" t="s">
        <v>429</v>
      </c>
      <c r="J22" s="3" t="s">
        <v>36</v>
      </c>
    </row>
    <row r="23" ht="14.25" customHeight="1">
      <c r="G23" s="20"/>
    </row>
    <row r="24" ht="14.25" customHeight="1">
      <c r="G24" s="20"/>
    </row>
    <row r="25" ht="14.25" customHeight="1">
      <c r="G25" s="20"/>
    </row>
    <row r="26" ht="14.25" customHeight="1">
      <c r="G26" s="20"/>
    </row>
    <row r="27" ht="14.25" customHeight="1">
      <c r="G27" s="20"/>
    </row>
    <row r="28" ht="14.25" customHeight="1">
      <c r="G28" s="20"/>
    </row>
    <row r="29" ht="14.25" customHeight="1">
      <c r="G29" s="20"/>
    </row>
    <row r="30" ht="14.25" customHeight="1">
      <c r="G30" s="20"/>
    </row>
    <row r="31" ht="14.25" customHeight="1">
      <c r="G31" s="20"/>
    </row>
    <row r="32" ht="14.25" customHeight="1">
      <c r="G32" s="20"/>
    </row>
    <row r="33" ht="14.25" customHeight="1">
      <c r="G33" s="20"/>
    </row>
    <row r="34" ht="14.25" customHeight="1">
      <c r="G34" s="20"/>
    </row>
    <row r="35" ht="14.25" customHeight="1">
      <c r="G35" s="20"/>
    </row>
    <row r="36" ht="14.25" customHeight="1">
      <c r="G36" s="20"/>
    </row>
    <row r="37" ht="14.25" customHeight="1">
      <c r="G37" s="20"/>
    </row>
    <row r="38" ht="14.25" customHeight="1">
      <c r="G38" s="20"/>
    </row>
    <row r="39" ht="14.25" customHeight="1">
      <c r="G39" s="20"/>
    </row>
    <row r="40" ht="14.25" customHeight="1">
      <c r="G40" s="20"/>
    </row>
    <row r="41" ht="14.25" customHeight="1">
      <c r="G41" s="20"/>
    </row>
    <row r="42" ht="14.25" customHeight="1">
      <c r="G42" s="20"/>
    </row>
    <row r="43" ht="14.25" customHeight="1">
      <c r="G43" s="20"/>
    </row>
    <row r="44" ht="14.25" customHeight="1">
      <c r="G44" s="20"/>
    </row>
    <row r="45" ht="14.25" customHeight="1">
      <c r="G45" s="20"/>
    </row>
    <row r="46" ht="14.25" customHeight="1">
      <c r="G46" s="20"/>
    </row>
    <row r="47" ht="14.25" customHeight="1">
      <c r="G47" s="20"/>
    </row>
    <row r="48" ht="14.25" customHeight="1">
      <c r="G48" s="20"/>
    </row>
    <row r="49" ht="14.25" customHeight="1">
      <c r="G49" s="20"/>
    </row>
    <row r="50" ht="14.25" customHeight="1">
      <c r="G50" s="20"/>
    </row>
    <row r="51" ht="14.25" customHeight="1">
      <c r="G51" s="20"/>
    </row>
    <row r="52" ht="14.25" customHeight="1">
      <c r="G52" s="20"/>
    </row>
    <row r="53" ht="14.25" customHeight="1">
      <c r="G53" s="20"/>
    </row>
    <row r="54" ht="14.25" customHeight="1">
      <c r="G54" s="20"/>
    </row>
    <row r="55" ht="14.25" customHeight="1">
      <c r="G55" s="20"/>
    </row>
    <row r="56" ht="14.25" customHeight="1">
      <c r="G56" s="20"/>
    </row>
    <row r="57" ht="14.25" customHeight="1">
      <c r="G57" s="20"/>
    </row>
    <row r="58" ht="14.25" customHeight="1">
      <c r="G58" s="20"/>
    </row>
    <row r="59" ht="14.25" customHeight="1">
      <c r="G59" s="20"/>
    </row>
    <row r="60" ht="14.25" customHeight="1">
      <c r="G60" s="20"/>
    </row>
    <row r="61" ht="14.25" customHeight="1">
      <c r="G61" s="20"/>
    </row>
    <row r="62" ht="14.25" customHeight="1">
      <c r="G62" s="20"/>
    </row>
    <row r="63" ht="14.25" customHeight="1">
      <c r="G63" s="20"/>
    </row>
    <row r="64" ht="14.25" customHeight="1">
      <c r="G64" s="20"/>
    </row>
    <row r="65" ht="14.25" customHeight="1">
      <c r="G65" s="20"/>
    </row>
    <row r="66" ht="14.25" customHeight="1">
      <c r="G66" s="20"/>
    </row>
    <row r="67" ht="14.25" customHeight="1">
      <c r="G67" s="20"/>
    </row>
    <row r="68" ht="14.25" customHeight="1">
      <c r="G68" s="20"/>
    </row>
    <row r="69" ht="14.25" customHeight="1">
      <c r="G69" s="20"/>
    </row>
    <row r="70" ht="14.25" customHeight="1">
      <c r="G70" s="20"/>
    </row>
    <row r="71" ht="14.25" customHeight="1">
      <c r="G71" s="20"/>
    </row>
    <row r="72" ht="14.25" customHeight="1">
      <c r="G72" s="20"/>
    </row>
    <row r="73" ht="14.25" customHeight="1">
      <c r="G73" s="20"/>
    </row>
    <row r="74" ht="14.25" customHeight="1">
      <c r="G74" s="20"/>
    </row>
    <row r="75" ht="14.25" customHeight="1">
      <c r="G75" s="20"/>
    </row>
    <row r="76" ht="14.25" customHeight="1">
      <c r="G76" s="20"/>
    </row>
    <row r="77" ht="14.25" customHeight="1">
      <c r="G77" s="20"/>
    </row>
    <row r="78" ht="14.25" customHeight="1">
      <c r="G78" s="20"/>
    </row>
    <row r="79" ht="14.25" customHeight="1">
      <c r="G79" s="20"/>
    </row>
    <row r="80" ht="14.25" customHeight="1">
      <c r="G80" s="20"/>
    </row>
    <row r="81" ht="14.25" customHeight="1">
      <c r="G81" s="20"/>
    </row>
    <row r="82" ht="14.25" customHeight="1">
      <c r="G82" s="20"/>
    </row>
    <row r="83" ht="14.25" customHeight="1">
      <c r="G83" s="20"/>
    </row>
    <row r="84" ht="14.25" customHeight="1">
      <c r="G84" s="20"/>
    </row>
    <row r="85" ht="14.25" customHeight="1">
      <c r="G85" s="20"/>
    </row>
    <row r="86" ht="14.25" customHeight="1">
      <c r="G86" s="20"/>
    </row>
    <row r="87" ht="14.25" customHeight="1">
      <c r="G87" s="20"/>
    </row>
    <row r="88" ht="14.25" customHeight="1">
      <c r="G88" s="20"/>
    </row>
    <row r="89" ht="14.25" customHeight="1">
      <c r="G89" s="20"/>
    </row>
    <row r="90" ht="14.25" customHeight="1">
      <c r="G90" s="20"/>
    </row>
    <row r="91" ht="14.25" customHeight="1">
      <c r="G91" s="20"/>
    </row>
    <row r="92" ht="14.25" customHeight="1">
      <c r="G92" s="20"/>
    </row>
    <row r="93" ht="14.25" customHeight="1">
      <c r="G93" s="20"/>
    </row>
    <row r="94" ht="14.25" customHeight="1">
      <c r="G94" s="20"/>
    </row>
    <row r="95" ht="14.25" customHeight="1">
      <c r="G95" s="20"/>
    </row>
    <row r="96" ht="14.25" customHeight="1">
      <c r="G96" s="20"/>
    </row>
    <row r="97" ht="14.25" customHeight="1">
      <c r="G97" s="20"/>
    </row>
    <row r="98" ht="14.25" customHeight="1">
      <c r="G98" s="20"/>
    </row>
    <row r="99" ht="14.25" customHeight="1">
      <c r="G99" s="20"/>
    </row>
    <row r="100" ht="14.25" customHeight="1">
      <c r="G100" s="20"/>
    </row>
    <row r="101" ht="14.25" customHeight="1">
      <c r="G101" s="20"/>
    </row>
    <row r="102" ht="14.25" customHeight="1">
      <c r="G102" s="20"/>
    </row>
    <row r="103" ht="14.25" customHeight="1">
      <c r="G103" s="20"/>
    </row>
    <row r="104" ht="14.25" customHeight="1">
      <c r="G104" s="20"/>
    </row>
    <row r="105" ht="14.25" customHeight="1">
      <c r="G105" s="20"/>
    </row>
    <row r="106" ht="14.25" customHeight="1">
      <c r="G106" s="20"/>
    </row>
    <row r="107" ht="14.25" customHeight="1">
      <c r="G107" s="20"/>
    </row>
    <row r="108" ht="14.25" customHeight="1">
      <c r="G108" s="20"/>
    </row>
    <row r="109" ht="14.25" customHeight="1">
      <c r="G109" s="20"/>
    </row>
    <row r="110" ht="14.25" customHeight="1">
      <c r="G110" s="20"/>
    </row>
    <row r="111" ht="14.25" customHeight="1">
      <c r="G111" s="20"/>
    </row>
    <row r="112" ht="14.25" customHeight="1">
      <c r="G112" s="20"/>
    </row>
    <row r="113" ht="14.25" customHeight="1">
      <c r="G113" s="20"/>
    </row>
    <row r="114" ht="14.25" customHeight="1">
      <c r="G114" s="20"/>
    </row>
    <row r="115" ht="14.25" customHeight="1">
      <c r="G115" s="20"/>
    </row>
    <row r="116" ht="14.25" customHeight="1">
      <c r="G116" s="20"/>
    </row>
    <row r="117" ht="14.25" customHeight="1">
      <c r="G117" s="20"/>
    </row>
    <row r="118" ht="14.25" customHeight="1">
      <c r="G118" s="20"/>
    </row>
    <row r="119" ht="14.25" customHeight="1">
      <c r="G119" s="20"/>
    </row>
    <row r="120" ht="14.25" customHeight="1">
      <c r="G120" s="20"/>
    </row>
    <row r="121" ht="14.25" customHeight="1">
      <c r="G121" s="20"/>
    </row>
    <row r="122" ht="14.25" customHeight="1">
      <c r="G122" s="20"/>
    </row>
    <row r="123" ht="14.25" customHeight="1">
      <c r="G123" s="20"/>
    </row>
    <row r="124" ht="14.25" customHeight="1">
      <c r="G124" s="20"/>
    </row>
    <row r="125" ht="14.25" customHeight="1">
      <c r="G125" s="20"/>
    </row>
    <row r="126" ht="14.25" customHeight="1">
      <c r="G126" s="20"/>
    </row>
    <row r="127" ht="14.25" customHeight="1">
      <c r="G127" s="20"/>
    </row>
    <row r="128" ht="14.25" customHeight="1">
      <c r="G128" s="20"/>
    </row>
    <row r="129" ht="14.25" customHeight="1">
      <c r="G129" s="20"/>
    </row>
    <row r="130" ht="14.25" customHeight="1">
      <c r="G130" s="20"/>
    </row>
    <row r="131" ht="14.25" customHeight="1">
      <c r="G131" s="20"/>
    </row>
    <row r="132" ht="14.25" customHeight="1">
      <c r="G132" s="20"/>
    </row>
    <row r="133" ht="14.25" customHeight="1">
      <c r="G133" s="20"/>
    </row>
    <row r="134" ht="14.25" customHeight="1">
      <c r="G134" s="20"/>
    </row>
    <row r="135" ht="14.25" customHeight="1">
      <c r="G135" s="20"/>
    </row>
    <row r="136" ht="14.25" customHeight="1">
      <c r="G136" s="20"/>
    </row>
    <row r="137" ht="14.25" customHeight="1">
      <c r="G137" s="20"/>
    </row>
    <row r="138" ht="14.25" customHeight="1">
      <c r="G138" s="20"/>
    </row>
    <row r="139" ht="14.25" customHeight="1">
      <c r="G139" s="20"/>
    </row>
    <row r="140" ht="14.25" customHeight="1">
      <c r="G140" s="20"/>
    </row>
    <row r="141" ht="14.25" customHeight="1">
      <c r="G141" s="20"/>
    </row>
    <row r="142" ht="14.25" customHeight="1">
      <c r="G142" s="20"/>
    </row>
    <row r="143" ht="14.25" customHeight="1">
      <c r="G143" s="20"/>
    </row>
    <row r="144" ht="14.25" customHeight="1">
      <c r="G144" s="20"/>
    </row>
    <row r="145" ht="14.25" customHeight="1">
      <c r="G145" s="20"/>
    </row>
    <row r="146" ht="14.25" customHeight="1">
      <c r="G146" s="20"/>
    </row>
    <row r="147" ht="14.25" customHeight="1">
      <c r="G147" s="20"/>
    </row>
    <row r="148" ht="14.25" customHeight="1">
      <c r="G148" s="20"/>
    </row>
    <row r="149" ht="14.25" customHeight="1">
      <c r="G149" s="20"/>
    </row>
    <row r="150" ht="14.25" customHeight="1">
      <c r="G150" s="20"/>
    </row>
    <row r="151" ht="14.25" customHeight="1">
      <c r="G151" s="20"/>
    </row>
    <row r="152" ht="14.25" customHeight="1">
      <c r="G152" s="20"/>
    </row>
    <row r="153" ht="14.25" customHeight="1">
      <c r="G153" s="20"/>
    </row>
    <row r="154" ht="14.25" customHeight="1">
      <c r="G154" s="20"/>
    </row>
    <row r="155" ht="14.25" customHeight="1">
      <c r="G155" s="20"/>
    </row>
    <row r="156" ht="14.25" customHeight="1">
      <c r="G156" s="20"/>
    </row>
    <row r="157" ht="14.25" customHeight="1">
      <c r="G157" s="20"/>
    </row>
    <row r="158" ht="14.25" customHeight="1">
      <c r="G158" s="20"/>
    </row>
    <row r="159" ht="14.25" customHeight="1">
      <c r="G159" s="20"/>
    </row>
    <row r="160" ht="14.25" customHeight="1">
      <c r="G160" s="20"/>
    </row>
    <row r="161" ht="14.25" customHeight="1">
      <c r="G161" s="20"/>
    </row>
    <row r="162" ht="14.25" customHeight="1">
      <c r="G162" s="20"/>
    </row>
    <row r="163" ht="14.25" customHeight="1">
      <c r="G163" s="20"/>
    </row>
    <row r="164" ht="14.25" customHeight="1">
      <c r="G164" s="20"/>
    </row>
    <row r="165" ht="14.25" customHeight="1">
      <c r="G165" s="20"/>
    </row>
    <row r="166" ht="14.25" customHeight="1">
      <c r="G166" s="20"/>
    </row>
    <row r="167" ht="14.25" customHeight="1">
      <c r="G167" s="20"/>
    </row>
    <row r="168" ht="14.25" customHeight="1">
      <c r="G168" s="20"/>
    </row>
    <row r="169" ht="14.25" customHeight="1">
      <c r="G169" s="20"/>
    </row>
    <row r="170" ht="14.25" customHeight="1">
      <c r="G170" s="20"/>
    </row>
    <row r="171" ht="14.25" customHeight="1">
      <c r="G171" s="20"/>
    </row>
    <row r="172" ht="14.25" customHeight="1">
      <c r="G172" s="20"/>
    </row>
    <row r="173" ht="14.25" customHeight="1">
      <c r="G173" s="20"/>
    </row>
    <row r="174" ht="14.25" customHeight="1">
      <c r="G174" s="20"/>
    </row>
    <row r="175" ht="14.25" customHeight="1">
      <c r="G175" s="20"/>
    </row>
    <row r="176" ht="14.25" customHeight="1">
      <c r="G176" s="20"/>
    </row>
    <row r="177" ht="14.25" customHeight="1">
      <c r="G177" s="20"/>
    </row>
    <row r="178" ht="14.25" customHeight="1">
      <c r="G178" s="20"/>
    </row>
    <row r="179" ht="14.25" customHeight="1">
      <c r="G179" s="20"/>
    </row>
    <row r="180" ht="14.25" customHeight="1">
      <c r="G180" s="20"/>
    </row>
    <row r="181" ht="14.25" customHeight="1">
      <c r="G181" s="20"/>
    </row>
    <row r="182" ht="14.25" customHeight="1">
      <c r="G182" s="20"/>
    </row>
    <row r="183" ht="14.25" customHeight="1">
      <c r="G183" s="20"/>
    </row>
    <row r="184" ht="14.25" customHeight="1">
      <c r="G184" s="20"/>
    </row>
    <row r="185" ht="14.25" customHeight="1">
      <c r="G185" s="20"/>
    </row>
    <row r="186" ht="14.25" customHeight="1">
      <c r="G186" s="20"/>
    </row>
    <row r="187" ht="14.25" customHeight="1">
      <c r="G187" s="20"/>
    </row>
    <row r="188" ht="14.25" customHeight="1">
      <c r="G188" s="20"/>
    </row>
    <row r="189" ht="14.25" customHeight="1">
      <c r="G189" s="20"/>
    </row>
    <row r="190" ht="14.25" customHeight="1">
      <c r="G190" s="20"/>
    </row>
    <row r="191" ht="14.25" customHeight="1">
      <c r="G191" s="20"/>
    </row>
    <row r="192" ht="14.25" customHeight="1">
      <c r="G192" s="20"/>
    </row>
    <row r="193" ht="14.25" customHeight="1">
      <c r="G193" s="20"/>
    </row>
    <row r="194" ht="14.25" customHeight="1">
      <c r="G194" s="20"/>
    </row>
    <row r="195" ht="14.25" customHeight="1">
      <c r="G195" s="20"/>
    </row>
    <row r="196" ht="14.25" customHeight="1">
      <c r="G196" s="20"/>
    </row>
    <row r="197" ht="14.25" customHeight="1">
      <c r="G197" s="20"/>
    </row>
    <row r="198" ht="14.25" customHeight="1">
      <c r="G198" s="20"/>
    </row>
    <row r="199" ht="14.25" customHeight="1">
      <c r="G199" s="20"/>
    </row>
    <row r="200" ht="14.25" customHeight="1">
      <c r="G200" s="20"/>
    </row>
    <row r="201" ht="14.25" customHeight="1">
      <c r="G201" s="20"/>
    </row>
    <row r="202" ht="14.25" customHeight="1">
      <c r="G202" s="20"/>
    </row>
    <row r="203" ht="14.25" customHeight="1">
      <c r="G203" s="20"/>
    </row>
    <row r="204" ht="14.25" customHeight="1">
      <c r="G204" s="20"/>
    </row>
    <row r="205" ht="14.25" customHeight="1">
      <c r="G205" s="20"/>
    </row>
    <row r="206" ht="14.25" customHeight="1">
      <c r="G206" s="20"/>
    </row>
    <row r="207" ht="14.25" customHeight="1">
      <c r="G207" s="20"/>
    </row>
    <row r="208" ht="14.25" customHeight="1">
      <c r="G208" s="20"/>
    </row>
    <row r="209" ht="14.25" customHeight="1">
      <c r="G209" s="20"/>
    </row>
    <row r="210" ht="14.25" customHeight="1">
      <c r="G210" s="20"/>
    </row>
    <row r="211" ht="14.25" customHeight="1">
      <c r="G211" s="20"/>
    </row>
    <row r="212" ht="14.25" customHeight="1">
      <c r="G212" s="20"/>
    </row>
    <row r="213" ht="14.25" customHeight="1">
      <c r="G213" s="20"/>
    </row>
    <row r="214" ht="14.25" customHeight="1">
      <c r="G214" s="20"/>
    </row>
    <row r="215" ht="14.25" customHeight="1">
      <c r="G215" s="20"/>
    </row>
    <row r="216" ht="14.25" customHeight="1">
      <c r="G216" s="20"/>
    </row>
    <row r="217" ht="14.25" customHeight="1">
      <c r="G217" s="20"/>
    </row>
    <row r="218" ht="14.25" customHeight="1">
      <c r="G218" s="20"/>
    </row>
    <row r="219" ht="14.25" customHeight="1">
      <c r="G219" s="20"/>
    </row>
    <row r="220" ht="14.25" customHeight="1">
      <c r="G220" s="20"/>
    </row>
    <row r="221" ht="14.25" customHeight="1">
      <c r="G221" s="20"/>
    </row>
    <row r="222" ht="14.25" customHeight="1">
      <c r="G222" s="20"/>
    </row>
    <row r="223" ht="14.25" customHeight="1">
      <c r="G223" s="20"/>
    </row>
    <row r="224" ht="14.25" customHeight="1">
      <c r="G224" s="20"/>
    </row>
    <row r="225" ht="14.25" customHeight="1">
      <c r="G225" s="20"/>
    </row>
    <row r="226" ht="14.25" customHeight="1">
      <c r="G226" s="20"/>
    </row>
    <row r="227" ht="14.25" customHeight="1">
      <c r="G227" s="20"/>
    </row>
    <row r="228" ht="14.25" customHeight="1">
      <c r="G228" s="20"/>
    </row>
    <row r="229" ht="14.25" customHeight="1">
      <c r="G229" s="20"/>
    </row>
    <row r="230" ht="14.25" customHeight="1">
      <c r="G230" s="20"/>
    </row>
    <row r="231" ht="14.25" customHeight="1">
      <c r="G231" s="20"/>
    </row>
    <row r="232" ht="14.25" customHeight="1">
      <c r="G232" s="20"/>
    </row>
    <row r="233" ht="14.25" customHeight="1">
      <c r="G233" s="20"/>
    </row>
    <row r="234" ht="14.25" customHeight="1">
      <c r="G234" s="20"/>
    </row>
    <row r="235" ht="14.25" customHeight="1">
      <c r="G235" s="20"/>
    </row>
    <row r="236" ht="14.25" customHeight="1">
      <c r="G236" s="20"/>
    </row>
    <row r="237" ht="14.25" customHeight="1">
      <c r="G237" s="20"/>
    </row>
    <row r="238" ht="14.25" customHeight="1">
      <c r="G238" s="20"/>
    </row>
    <row r="239" ht="14.25" customHeight="1">
      <c r="G239" s="20"/>
    </row>
    <row r="240" ht="14.25" customHeight="1">
      <c r="G240" s="20"/>
    </row>
    <row r="241" ht="14.25" customHeight="1">
      <c r="G241" s="20"/>
    </row>
    <row r="242" ht="14.25" customHeight="1">
      <c r="G242" s="20"/>
    </row>
    <row r="243" ht="14.25" customHeight="1">
      <c r="G243" s="20"/>
    </row>
    <row r="244" ht="14.25" customHeight="1">
      <c r="G244" s="20"/>
    </row>
    <row r="245" ht="14.25" customHeight="1">
      <c r="G245" s="20"/>
    </row>
    <row r="246" ht="14.25" customHeight="1">
      <c r="G246" s="20"/>
    </row>
    <row r="247" ht="14.25" customHeight="1">
      <c r="G247" s="20"/>
    </row>
    <row r="248" ht="14.25" customHeight="1">
      <c r="G248" s="20"/>
    </row>
    <row r="249" ht="14.25" customHeight="1">
      <c r="G249" s="20"/>
    </row>
    <row r="250" ht="14.25" customHeight="1">
      <c r="G250" s="20"/>
    </row>
    <row r="251" ht="14.25" customHeight="1">
      <c r="G251" s="20"/>
    </row>
    <row r="252" ht="14.25" customHeight="1">
      <c r="G252" s="20"/>
    </row>
    <row r="253" ht="14.25" customHeight="1">
      <c r="G253" s="20"/>
    </row>
    <row r="254" ht="14.25" customHeight="1">
      <c r="G254" s="20"/>
    </row>
    <row r="255" ht="14.25" customHeight="1">
      <c r="G255" s="20"/>
    </row>
    <row r="256" ht="14.25" customHeight="1">
      <c r="G256" s="20"/>
    </row>
    <row r="257" ht="14.25" customHeight="1">
      <c r="G257" s="20"/>
    </row>
    <row r="258" ht="14.25" customHeight="1">
      <c r="G258" s="20"/>
    </row>
    <row r="259" ht="14.25" customHeight="1">
      <c r="G259" s="20"/>
    </row>
    <row r="260" ht="14.25" customHeight="1">
      <c r="G260" s="20"/>
    </row>
    <row r="261" ht="14.25" customHeight="1">
      <c r="G261" s="20"/>
    </row>
    <row r="262" ht="14.25" customHeight="1">
      <c r="G262" s="20"/>
    </row>
    <row r="263" ht="14.25" customHeight="1">
      <c r="G263" s="20"/>
    </row>
    <row r="264" ht="14.25" customHeight="1">
      <c r="G264" s="20"/>
    </row>
    <row r="265" ht="14.25" customHeight="1">
      <c r="G265" s="20"/>
    </row>
    <row r="266" ht="14.25" customHeight="1">
      <c r="G266" s="20"/>
    </row>
    <row r="267" ht="14.25" customHeight="1">
      <c r="G267" s="20"/>
    </row>
    <row r="268" ht="14.25" customHeight="1">
      <c r="G268" s="20"/>
    </row>
    <row r="269" ht="14.25" customHeight="1">
      <c r="G269" s="20"/>
    </row>
    <row r="270" ht="14.25" customHeight="1">
      <c r="G270" s="20"/>
    </row>
    <row r="271" ht="14.25" customHeight="1">
      <c r="G271" s="20"/>
    </row>
    <row r="272" ht="14.25" customHeight="1">
      <c r="G272" s="20"/>
    </row>
    <row r="273" ht="14.25" customHeight="1">
      <c r="G273" s="20"/>
    </row>
    <row r="274" ht="14.25" customHeight="1">
      <c r="G274" s="20"/>
    </row>
    <row r="275" ht="14.25" customHeight="1">
      <c r="G275" s="20"/>
    </row>
    <row r="276" ht="14.25" customHeight="1">
      <c r="G276" s="20"/>
    </row>
    <row r="277" ht="14.25" customHeight="1">
      <c r="G277" s="20"/>
    </row>
    <row r="278" ht="14.25" customHeight="1">
      <c r="G278" s="20"/>
    </row>
    <row r="279" ht="14.25" customHeight="1">
      <c r="G279" s="20"/>
    </row>
    <row r="280" ht="14.25" customHeight="1">
      <c r="G280" s="20"/>
    </row>
    <row r="281" ht="14.25" customHeight="1">
      <c r="G281" s="20"/>
    </row>
    <row r="282" ht="14.25" customHeight="1">
      <c r="G282" s="20"/>
    </row>
    <row r="283" ht="14.25" customHeight="1">
      <c r="G283" s="20"/>
    </row>
    <row r="284" ht="14.25" customHeight="1">
      <c r="G284" s="20"/>
    </row>
    <row r="285" ht="14.25" customHeight="1">
      <c r="G285" s="20"/>
    </row>
    <row r="286" ht="14.25" customHeight="1">
      <c r="G286" s="20"/>
    </row>
    <row r="287" ht="14.25" customHeight="1">
      <c r="G287" s="20"/>
    </row>
    <row r="288" ht="14.25" customHeight="1">
      <c r="G288" s="20"/>
    </row>
    <row r="289" ht="14.25" customHeight="1">
      <c r="G289" s="20"/>
    </row>
    <row r="290" ht="14.25" customHeight="1">
      <c r="G290" s="20"/>
    </row>
    <row r="291" ht="14.25" customHeight="1">
      <c r="G291" s="20"/>
    </row>
    <row r="292" ht="14.25" customHeight="1">
      <c r="G292" s="20"/>
    </row>
    <row r="293" ht="14.25" customHeight="1">
      <c r="G293" s="20"/>
    </row>
    <row r="294" ht="14.25" customHeight="1">
      <c r="G294" s="20"/>
    </row>
    <row r="295" ht="14.25" customHeight="1">
      <c r="G295" s="20"/>
    </row>
    <row r="296" ht="14.25" customHeight="1">
      <c r="G296" s="20"/>
    </row>
    <row r="297" ht="14.25" customHeight="1">
      <c r="G297" s="20"/>
    </row>
    <row r="298" ht="14.25" customHeight="1">
      <c r="G298" s="20"/>
    </row>
    <row r="299" ht="14.25" customHeight="1">
      <c r="G299" s="20"/>
    </row>
    <row r="300" ht="14.25" customHeight="1">
      <c r="G300" s="20"/>
    </row>
    <row r="301" ht="14.25" customHeight="1">
      <c r="G301" s="20"/>
    </row>
    <row r="302" ht="14.25" customHeight="1">
      <c r="G302" s="20"/>
    </row>
    <row r="303" ht="14.25" customHeight="1">
      <c r="G303" s="20"/>
    </row>
    <row r="304" ht="14.25" customHeight="1">
      <c r="G304" s="20"/>
    </row>
    <row r="305" ht="14.25" customHeight="1">
      <c r="G305" s="20"/>
    </row>
    <row r="306" ht="14.25" customHeight="1">
      <c r="G306" s="20"/>
    </row>
    <row r="307" ht="14.25" customHeight="1">
      <c r="G307" s="20"/>
    </row>
    <row r="308" ht="14.25" customHeight="1">
      <c r="G308" s="20"/>
    </row>
    <row r="309" ht="14.25" customHeight="1">
      <c r="G309" s="20"/>
    </row>
    <row r="310" ht="14.25" customHeight="1">
      <c r="G310" s="20"/>
    </row>
    <row r="311" ht="14.25" customHeight="1">
      <c r="G311" s="20"/>
    </row>
    <row r="312" ht="14.25" customHeight="1">
      <c r="G312" s="20"/>
    </row>
    <row r="313" ht="14.25" customHeight="1">
      <c r="G313" s="20"/>
    </row>
    <row r="314" ht="14.25" customHeight="1">
      <c r="G314" s="20"/>
    </row>
    <row r="315" ht="14.25" customHeight="1">
      <c r="G315" s="20"/>
    </row>
    <row r="316" ht="14.25" customHeight="1">
      <c r="G316" s="20"/>
    </row>
    <row r="317" ht="14.25" customHeight="1">
      <c r="G317" s="20"/>
    </row>
    <row r="318" ht="14.25" customHeight="1">
      <c r="G318" s="20"/>
    </row>
    <row r="319" ht="14.25" customHeight="1">
      <c r="G319" s="20"/>
    </row>
    <row r="320" ht="14.25" customHeight="1">
      <c r="G320" s="20"/>
    </row>
    <row r="321" ht="14.25" customHeight="1">
      <c r="G321" s="20"/>
    </row>
    <row r="322" ht="14.25" customHeight="1">
      <c r="G322" s="20"/>
    </row>
    <row r="323" ht="14.25" customHeight="1">
      <c r="G323" s="20"/>
    </row>
    <row r="324" ht="14.25" customHeight="1">
      <c r="G324" s="20"/>
    </row>
    <row r="325" ht="14.25" customHeight="1">
      <c r="G325" s="20"/>
    </row>
    <row r="326" ht="14.25" customHeight="1">
      <c r="G326" s="20"/>
    </row>
    <row r="327" ht="14.25" customHeight="1">
      <c r="G327" s="20"/>
    </row>
    <row r="328" ht="14.25" customHeight="1">
      <c r="G328" s="20"/>
    </row>
    <row r="329" ht="14.25" customHeight="1">
      <c r="G329" s="20"/>
    </row>
    <row r="330" ht="14.25" customHeight="1">
      <c r="G330" s="20"/>
    </row>
    <row r="331" ht="14.25" customHeight="1">
      <c r="G331" s="20"/>
    </row>
    <row r="332" ht="14.25" customHeight="1">
      <c r="G332" s="20"/>
    </row>
    <row r="333" ht="14.25" customHeight="1">
      <c r="G333" s="20"/>
    </row>
    <row r="334" ht="14.25" customHeight="1">
      <c r="G334" s="20"/>
    </row>
    <row r="335" ht="14.25" customHeight="1">
      <c r="G335" s="20"/>
    </row>
    <row r="336" ht="14.25" customHeight="1">
      <c r="G336" s="20"/>
    </row>
    <row r="337" ht="14.25" customHeight="1">
      <c r="G337" s="20"/>
    </row>
    <row r="338" ht="14.25" customHeight="1">
      <c r="G338" s="20"/>
    </row>
    <row r="339" ht="14.25" customHeight="1">
      <c r="G339" s="20"/>
    </row>
    <row r="340" ht="14.25" customHeight="1">
      <c r="G340" s="20"/>
    </row>
    <row r="341" ht="14.25" customHeight="1">
      <c r="G341" s="20"/>
    </row>
    <row r="342" ht="14.25" customHeight="1">
      <c r="G342" s="20"/>
    </row>
    <row r="343" ht="14.25" customHeight="1">
      <c r="G343" s="20"/>
    </row>
    <row r="344" ht="14.25" customHeight="1">
      <c r="G344" s="20"/>
    </row>
    <row r="345" ht="14.25" customHeight="1">
      <c r="G345" s="20"/>
    </row>
    <row r="346" ht="14.25" customHeight="1">
      <c r="G346" s="20"/>
    </row>
    <row r="347" ht="14.25" customHeight="1">
      <c r="G347" s="20"/>
    </row>
    <row r="348" ht="14.25" customHeight="1">
      <c r="G348" s="20"/>
    </row>
    <row r="349" ht="14.25" customHeight="1">
      <c r="G349" s="20"/>
    </row>
    <row r="350" ht="14.25" customHeight="1">
      <c r="G350" s="20"/>
    </row>
    <row r="351" ht="14.25" customHeight="1">
      <c r="G351" s="20"/>
    </row>
    <row r="352" ht="14.25" customHeight="1">
      <c r="G352" s="20"/>
    </row>
    <row r="353" ht="14.25" customHeight="1">
      <c r="G353" s="20"/>
    </row>
    <row r="354" ht="14.25" customHeight="1">
      <c r="G354" s="20"/>
    </row>
    <row r="355" ht="14.25" customHeight="1">
      <c r="G355" s="20"/>
    </row>
    <row r="356" ht="14.25" customHeight="1">
      <c r="G356" s="20"/>
    </row>
    <row r="357" ht="14.25" customHeight="1">
      <c r="G357" s="20"/>
    </row>
    <row r="358" ht="14.25" customHeight="1">
      <c r="G358" s="20"/>
    </row>
    <row r="359" ht="14.25" customHeight="1">
      <c r="G359" s="20"/>
    </row>
    <row r="360" ht="14.25" customHeight="1">
      <c r="G360" s="20"/>
    </row>
    <row r="361" ht="14.25" customHeight="1">
      <c r="G361" s="20"/>
    </row>
    <row r="362" ht="14.25" customHeight="1">
      <c r="G362" s="20"/>
    </row>
    <row r="363" ht="14.25" customHeight="1">
      <c r="G363" s="20"/>
    </row>
    <row r="364" ht="14.25" customHeight="1">
      <c r="G364" s="20"/>
    </row>
    <row r="365" ht="14.25" customHeight="1">
      <c r="G365" s="20"/>
    </row>
    <row r="366" ht="14.25" customHeight="1">
      <c r="G366" s="20"/>
    </row>
    <row r="367" ht="14.25" customHeight="1">
      <c r="G367" s="20"/>
    </row>
    <row r="368" ht="14.25" customHeight="1">
      <c r="G368" s="20"/>
    </row>
    <row r="369" ht="14.25" customHeight="1">
      <c r="G369" s="20"/>
    </row>
    <row r="370" ht="14.25" customHeight="1">
      <c r="G370" s="20"/>
    </row>
    <row r="371" ht="14.25" customHeight="1">
      <c r="G371" s="20"/>
    </row>
    <row r="372" ht="14.25" customHeight="1">
      <c r="G372" s="20"/>
    </row>
    <row r="373" ht="14.25" customHeight="1">
      <c r="G373" s="20"/>
    </row>
    <row r="374" ht="14.25" customHeight="1">
      <c r="G374" s="20"/>
    </row>
    <row r="375" ht="14.25" customHeight="1">
      <c r="G375" s="20"/>
    </row>
    <row r="376" ht="14.25" customHeight="1">
      <c r="G376" s="20"/>
    </row>
    <row r="377" ht="14.25" customHeight="1">
      <c r="G377" s="20"/>
    </row>
    <row r="378" ht="14.25" customHeight="1">
      <c r="G378" s="20"/>
    </row>
    <row r="379" ht="14.25" customHeight="1">
      <c r="G379" s="20"/>
    </row>
    <row r="380" ht="14.25" customHeight="1">
      <c r="G380" s="20"/>
    </row>
    <row r="381" ht="14.25" customHeight="1">
      <c r="G381" s="20"/>
    </row>
    <row r="382" ht="14.25" customHeight="1">
      <c r="G382" s="20"/>
    </row>
    <row r="383" ht="14.25" customHeight="1">
      <c r="G383" s="20"/>
    </row>
    <row r="384" ht="14.25" customHeight="1">
      <c r="G384" s="20"/>
    </row>
    <row r="385" ht="14.25" customHeight="1">
      <c r="G385" s="20"/>
    </row>
    <row r="386" ht="14.25" customHeight="1">
      <c r="G386" s="20"/>
    </row>
    <row r="387" ht="14.25" customHeight="1">
      <c r="G387" s="20"/>
    </row>
    <row r="388" ht="14.25" customHeight="1">
      <c r="G388" s="20"/>
    </row>
    <row r="389" ht="14.25" customHeight="1">
      <c r="G389" s="20"/>
    </row>
    <row r="390" ht="14.25" customHeight="1">
      <c r="G390" s="20"/>
    </row>
    <row r="391" ht="14.25" customHeight="1">
      <c r="G391" s="20"/>
    </row>
    <row r="392" ht="14.25" customHeight="1">
      <c r="G392" s="20"/>
    </row>
    <row r="393" ht="14.25" customHeight="1">
      <c r="G393" s="20"/>
    </row>
    <row r="394" ht="14.25" customHeight="1">
      <c r="G394" s="20"/>
    </row>
    <row r="395" ht="14.25" customHeight="1">
      <c r="G395" s="20"/>
    </row>
    <row r="396" ht="14.25" customHeight="1">
      <c r="G396" s="20"/>
    </row>
    <row r="397" ht="14.25" customHeight="1">
      <c r="G397" s="20"/>
    </row>
    <row r="398" ht="14.25" customHeight="1">
      <c r="G398" s="20"/>
    </row>
    <row r="399" ht="14.25" customHeight="1">
      <c r="G399" s="20"/>
    </row>
    <row r="400" ht="14.25" customHeight="1">
      <c r="G400" s="20"/>
    </row>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22"/>
  <conditionalFormatting sqref="G2:G22">
    <cfRule type="cellIs" dxfId="0" priority="1" operator="equal">
      <formula>"Pass"</formula>
    </cfRule>
  </conditionalFormatting>
  <conditionalFormatting sqref="G2:G22">
    <cfRule type="cellIs" dxfId="1" priority="2" operator="equal">
      <formula>"Fail"</formula>
    </cfRule>
  </conditionalFormatting>
  <conditionalFormatting sqref="G2:G22">
    <cfRule type="cellIs" dxfId="2" priority="3" operator="equal">
      <formula>"Blocked"</formula>
    </cfRule>
  </conditionalFormatting>
  <conditionalFormatting sqref="G2:G22">
    <cfRule type="cellIs" dxfId="3" priority="4" operator="equal">
      <formula>"Retest"</formula>
    </cfRule>
  </conditionalFormatting>
  <conditionalFormatting sqref="G2:G22">
    <cfRule type="cellIs" dxfId="4" priority="5" operator="equal">
      <formula>"Not Run"</formula>
    </cfRule>
  </conditionalFormatting>
  <dataValidations>
    <dataValidation type="list" allowBlank="1" showErrorMessage="1" sqref="G2:G40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9:J9" ref="I9"/>
    <hyperlink r:id="rId8" location="gid=0&amp;range=A10:J10" ref="I10"/>
    <hyperlink r:id="rId9" location="gid=0&amp;range=A11:J11" ref="I11"/>
    <hyperlink r:id="rId10" location="gid=0&amp;range=A12:J12" ref="I12"/>
    <hyperlink r:id="rId11" location="gid=0&amp;range=A13:J13" ref="I13"/>
    <hyperlink r:id="rId12" location="gid=0&amp;range=A14:J14" ref="I14"/>
    <hyperlink r:id="rId13" location="gid=0&amp;range=A15:J15" ref="I15"/>
    <hyperlink r:id="rId14" location="gid=0&amp;range=A16:J16" ref="I16"/>
    <hyperlink r:id="rId15" location="gid=0&amp;range=A17:J17" ref="I17"/>
    <hyperlink r:id="rId16" location="gid=0&amp;range=A18:J18" ref="I18"/>
    <hyperlink r:id="rId17" location="gid=0&amp;range=A19:J19" ref="I19"/>
    <hyperlink r:id="rId18" location="gid=0&amp;range=A20:J20" ref="I20"/>
    <hyperlink r:id="rId19" location="gid=0&amp;range=A21:J21" ref="I21"/>
    <hyperlink r:id="rId20" location="gid=0&amp;range=A22:J22" ref="I22"/>
  </hyperlinks>
  <printOptions/>
  <pageMargins bottom="1.0" footer="0.0" header="0.0" left="0.75" right="0.75" top="1.0"/>
  <pageSetup orientation="landscape"/>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11" width="31.57"/>
    <col customWidth="1" min="12" max="26" width="8.71"/>
  </cols>
  <sheetData>
    <row r="1" ht="31.5" customHeight="1">
      <c r="A1" s="32" t="s">
        <v>0</v>
      </c>
      <c r="B1" s="32" t="s">
        <v>2</v>
      </c>
      <c r="C1" s="32" t="s">
        <v>3</v>
      </c>
      <c r="D1" s="32" t="s">
        <v>4</v>
      </c>
      <c r="E1" s="32" t="s">
        <v>5</v>
      </c>
      <c r="F1" s="32" t="s">
        <v>6</v>
      </c>
      <c r="G1" s="32" t="s">
        <v>7</v>
      </c>
      <c r="H1" s="32" t="s">
        <v>8</v>
      </c>
      <c r="I1" s="32" t="s">
        <v>9</v>
      </c>
      <c r="J1" s="32" t="s">
        <v>10</v>
      </c>
      <c r="K1" s="33" t="s">
        <v>752</v>
      </c>
    </row>
    <row r="2" ht="57.0" customHeight="1">
      <c r="A2" s="34" t="s">
        <v>753</v>
      </c>
      <c r="B2" s="35" t="s">
        <v>754</v>
      </c>
      <c r="C2" s="35" t="s">
        <v>755</v>
      </c>
      <c r="D2" s="35" t="s">
        <v>756</v>
      </c>
      <c r="E2" s="35" t="s">
        <v>757</v>
      </c>
      <c r="F2" s="36" t="s">
        <v>758</v>
      </c>
      <c r="G2" s="37" t="s">
        <v>26</v>
      </c>
      <c r="H2" s="35" t="s">
        <v>759</v>
      </c>
      <c r="I2" s="10" t="s">
        <v>760</v>
      </c>
      <c r="J2" s="35" t="s">
        <v>761</v>
      </c>
      <c r="K2" s="35" t="s">
        <v>762</v>
      </c>
    </row>
    <row r="3">
      <c r="A3" s="23" t="s">
        <v>763</v>
      </c>
      <c r="B3" s="24" t="s">
        <v>764</v>
      </c>
      <c r="C3" s="24" t="s">
        <v>765</v>
      </c>
      <c r="D3" s="24" t="s">
        <v>766</v>
      </c>
      <c r="E3" s="24" t="s">
        <v>767</v>
      </c>
      <c r="F3" s="38" t="s">
        <v>768</v>
      </c>
      <c r="G3" s="26" t="s">
        <v>26</v>
      </c>
      <c r="H3" s="24" t="s">
        <v>769</v>
      </c>
      <c r="I3" s="16" t="s">
        <v>770</v>
      </c>
      <c r="J3" s="24" t="s">
        <v>771</v>
      </c>
      <c r="K3" s="24" t="s">
        <v>772</v>
      </c>
    </row>
    <row r="4">
      <c r="A4" s="34" t="s">
        <v>773</v>
      </c>
      <c r="B4" s="35" t="s">
        <v>754</v>
      </c>
      <c r="C4" s="35" t="s">
        <v>774</v>
      </c>
      <c r="D4" s="35" t="s">
        <v>775</v>
      </c>
      <c r="E4" s="35" t="s">
        <v>776</v>
      </c>
      <c r="F4" s="38" t="s">
        <v>768</v>
      </c>
      <c r="G4" s="37" t="s">
        <v>26</v>
      </c>
      <c r="H4" s="35" t="s">
        <v>777</v>
      </c>
      <c r="I4" s="10" t="s">
        <v>780</v>
      </c>
      <c r="J4" s="35" t="s">
        <v>782</v>
      </c>
      <c r="K4" s="35" t="s">
        <v>784</v>
      </c>
    </row>
    <row r="5">
      <c r="A5" s="23" t="s">
        <v>785</v>
      </c>
      <c r="B5" s="24" t="s">
        <v>786</v>
      </c>
      <c r="C5" s="24" t="s">
        <v>787</v>
      </c>
      <c r="D5" s="24" t="s">
        <v>788</v>
      </c>
      <c r="E5" s="24" t="s">
        <v>789</v>
      </c>
      <c r="F5" s="38" t="s">
        <v>768</v>
      </c>
      <c r="G5" s="26" t="s">
        <v>26</v>
      </c>
      <c r="H5" s="24" t="s">
        <v>790</v>
      </c>
      <c r="I5" s="16" t="s">
        <v>791</v>
      </c>
      <c r="J5" s="24" t="s">
        <v>782</v>
      </c>
      <c r="K5" s="24" t="s">
        <v>792</v>
      </c>
    </row>
    <row r="6">
      <c r="A6" s="34" t="s">
        <v>793</v>
      </c>
      <c r="B6" s="35" t="s">
        <v>754</v>
      </c>
      <c r="C6" s="35" t="s">
        <v>794</v>
      </c>
      <c r="D6" s="35" t="s">
        <v>795</v>
      </c>
      <c r="E6" s="35" t="s">
        <v>796</v>
      </c>
      <c r="F6" s="36" t="s">
        <v>797</v>
      </c>
      <c r="G6" s="37" t="s">
        <v>26</v>
      </c>
      <c r="H6" s="35" t="s">
        <v>798</v>
      </c>
      <c r="I6" s="10" t="s">
        <v>799</v>
      </c>
      <c r="J6" s="35" t="s">
        <v>800</v>
      </c>
      <c r="K6" s="35" t="s">
        <v>801</v>
      </c>
    </row>
    <row r="7">
      <c r="A7" s="23" t="s">
        <v>803</v>
      </c>
      <c r="B7" s="24" t="s">
        <v>786</v>
      </c>
      <c r="C7" s="24" t="s">
        <v>805</v>
      </c>
      <c r="D7" s="24" t="s">
        <v>806</v>
      </c>
      <c r="E7" s="24" t="s">
        <v>807</v>
      </c>
      <c r="F7" s="40" t="s">
        <v>797</v>
      </c>
      <c r="G7" s="26" t="s">
        <v>26</v>
      </c>
      <c r="H7" s="24" t="s">
        <v>808</v>
      </c>
      <c r="I7" s="16" t="s">
        <v>809</v>
      </c>
      <c r="J7" s="24" t="s">
        <v>810</v>
      </c>
      <c r="K7" s="24" t="s">
        <v>811</v>
      </c>
    </row>
    <row r="8">
      <c r="A8" s="11" t="s">
        <v>813</v>
      </c>
      <c r="B8" s="24" t="s">
        <v>754</v>
      </c>
      <c r="C8" s="24" t="s">
        <v>814</v>
      </c>
      <c r="D8" s="24" t="s">
        <v>815</v>
      </c>
      <c r="E8" s="24" t="s">
        <v>816</v>
      </c>
      <c r="F8" s="38" t="s">
        <v>768</v>
      </c>
      <c r="G8" s="26" t="s">
        <v>26</v>
      </c>
      <c r="H8" s="24" t="s">
        <v>817</v>
      </c>
      <c r="I8" s="16" t="s">
        <v>818</v>
      </c>
      <c r="J8" s="24" t="s">
        <v>819</v>
      </c>
      <c r="K8" s="24" t="s">
        <v>820</v>
      </c>
    </row>
    <row r="9">
      <c r="A9" s="11" t="s">
        <v>821</v>
      </c>
      <c r="B9" s="24" t="s">
        <v>822</v>
      </c>
      <c r="C9" s="24" t="s">
        <v>823</v>
      </c>
      <c r="D9" s="24" t="s">
        <v>824</v>
      </c>
      <c r="E9" s="24" t="s">
        <v>825</v>
      </c>
      <c r="F9" s="38" t="s">
        <v>768</v>
      </c>
      <c r="G9" s="26" t="s">
        <v>26</v>
      </c>
      <c r="H9" s="24" t="s">
        <v>826</v>
      </c>
      <c r="I9" s="16" t="s">
        <v>827</v>
      </c>
      <c r="J9" s="24" t="s">
        <v>828</v>
      </c>
      <c r="K9" s="24" t="s">
        <v>829</v>
      </c>
    </row>
    <row r="10">
      <c r="A10" s="11" t="s">
        <v>830</v>
      </c>
      <c r="B10" s="24" t="s">
        <v>831</v>
      </c>
      <c r="C10" s="24" t="s">
        <v>832</v>
      </c>
      <c r="D10" s="24" t="s">
        <v>833</v>
      </c>
      <c r="E10" s="24" t="s">
        <v>834</v>
      </c>
      <c r="F10" s="38" t="s">
        <v>768</v>
      </c>
      <c r="G10" s="26" t="s">
        <v>26</v>
      </c>
      <c r="H10" s="24" t="s">
        <v>835</v>
      </c>
      <c r="I10" s="16" t="s">
        <v>836</v>
      </c>
      <c r="J10" s="24" t="s">
        <v>837</v>
      </c>
      <c r="K10" s="24" t="s">
        <v>838</v>
      </c>
    </row>
    <row r="11">
      <c r="A11" s="2"/>
      <c r="B11" s="35"/>
      <c r="C11" s="35"/>
      <c r="D11" s="35"/>
      <c r="E11" s="35"/>
      <c r="F11" s="43"/>
      <c r="G11" s="43"/>
      <c r="H11" s="41"/>
      <c r="I11" s="41"/>
      <c r="J11" s="41"/>
    </row>
    <row r="12">
      <c r="A12" s="11"/>
      <c r="B12" s="24"/>
      <c r="C12" s="24"/>
      <c r="D12" s="24"/>
      <c r="E12" s="24"/>
      <c r="F12" s="45"/>
      <c r="G12" s="45"/>
      <c r="H12" s="46"/>
      <c r="I12" s="46"/>
      <c r="J12" s="46"/>
    </row>
    <row r="13">
      <c r="A13" s="39"/>
      <c r="B13" s="41"/>
      <c r="C13" s="41"/>
      <c r="D13" s="41"/>
      <c r="E13" s="41"/>
      <c r="F13" s="43"/>
      <c r="G13" s="43"/>
      <c r="H13" s="41"/>
      <c r="I13" s="41"/>
      <c r="J13" s="41"/>
    </row>
    <row r="14" ht="57.0" customHeight="1">
      <c r="A14" s="47"/>
      <c r="B14" s="46"/>
      <c r="C14" s="46"/>
      <c r="D14" s="46"/>
      <c r="E14" s="46"/>
      <c r="F14" s="45"/>
      <c r="G14" s="45"/>
      <c r="H14" s="46"/>
      <c r="I14" s="46"/>
      <c r="J14" s="46"/>
    </row>
    <row r="15">
      <c r="A15" s="39"/>
      <c r="B15" s="41"/>
      <c r="C15" s="41"/>
      <c r="D15" s="41"/>
      <c r="E15" s="41"/>
      <c r="F15" s="43"/>
      <c r="G15" s="43"/>
      <c r="H15" s="41"/>
      <c r="I15" s="41"/>
      <c r="J15" s="41"/>
    </row>
    <row r="16">
      <c r="A16" s="47"/>
      <c r="B16" s="46"/>
      <c r="C16" s="46"/>
      <c r="D16" s="46"/>
      <c r="E16" s="46"/>
      <c r="F16" s="45"/>
      <c r="G16" s="45"/>
      <c r="H16" s="46"/>
      <c r="I16" s="46"/>
      <c r="J16" s="46"/>
    </row>
    <row r="17">
      <c r="A17" s="31"/>
      <c r="B17" s="31"/>
      <c r="C17" s="31"/>
      <c r="D17" s="31"/>
      <c r="E17" s="31"/>
      <c r="F17" s="31"/>
      <c r="G17" s="31"/>
      <c r="H17" s="31"/>
      <c r="I17" s="31"/>
      <c r="J17" s="31"/>
    </row>
    <row r="18">
      <c r="A18" s="31"/>
      <c r="B18" s="31"/>
      <c r="C18" s="31"/>
      <c r="D18" s="31"/>
      <c r="E18" s="31"/>
      <c r="F18" s="31"/>
      <c r="G18" s="31"/>
      <c r="H18" s="31"/>
      <c r="I18" s="31"/>
      <c r="J18" s="31"/>
    </row>
    <row r="19">
      <c r="A19" s="31"/>
      <c r="B19" s="31"/>
      <c r="C19" s="31"/>
      <c r="D19" s="31"/>
      <c r="E19" s="31"/>
      <c r="F19" s="31"/>
      <c r="G19" s="31"/>
      <c r="H19" s="31"/>
      <c r="I19" s="31"/>
      <c r="J19" s="31"/>
    </row>
    <row r="20" ht="15.75" customHeight="1">
      <c r="A20" s="31"/>
      <c r="B20" s="31"/>
      <c r="C20" s="31"/>
      <c r="D20" s="31"/>
      <c r="E20" s="31"/>
      <c r="F20" s="31"/>
      <c r="G20" s="31"/>
      <c r="H20" s="31"/>
      <c r="I20" s="31"/>
      <c r="J20" s="31"/>
    </row>
    <row r="21" ht="15.75" customHeight="1">
      <c r="A21" s="31"/>
      <c r="B21" s="31"/>
      <c r="C21" s="31"/>
      <c r="D21" s="31"/>
      <c r="E21" s="31"/>
      <c r="F21" s="31"/>
      <c r="G21" s="31"/>
      <c r="H21" s="31"/>
      <c r="I21" s="31"/>
      <c r="J21" s="31"/>
    </row>
    <row r="22" ht="15.75" customHeight="1">
      <c r="A22" s="31"/>
      <c r="B22" s="31"/>
      <c r="C22" s="31"/>
      <c r="D22" s="31"/>
      <c r="E22" s="31"/>
      <c r="F22" s="31"/>
      <c r="G22" s="31"/>
      <c r="H22" s="31"/>
      <c r="I22" s="31"/>
      <c r="J22" s="31"/>
    </row>
    <row r="23" ht="15.75" customHeight="1">
      <c r="A23" s="31"/>
      <c r="B23" s="31"/>
      <c r="C23" s="31"/>
      <c r="D23" s="31"/>
      <c r="E23" s="31"/>
      <c r="F23" s="31"/>
      <c r="G23" s="31"/>
      <c r="H23" s="31"/>
      <c r="I23" s="31"/>
      <c r="J23" s="31"/>
    </row>
    <row r="24" ht="15.75" customHeight="1">
      <c r="A24" s="31"/>
      <c r="B24" s="31"/>
      <c r="C24" s="31"/>
      <c r="D24" s="31"/>
      <c r="E24" s="31"/>
      <c r="F24" s="31"/>
      <c r="G24" s="31"/>
      <c r="H24" s="31"/>
      <c r="I24" s="31"/>
      <c r="J24" s="31"/>
    </row>
    <row r="25" ht="15.75" customHeight="1">
      <c r="A25" s="31"/>
      <c r="B25" s="31"/>
      <c r="C25" s="31"/>
      <c r="D25" s="31"/>
      <c r="E25" s="31"/>
      <c r="F25" s="31"/>
      <c r="G25" s="31"/>
      <c r="H25" s="31"/>
      <c r="I25" s="31"/>
      <c r="J25" s="31"/>
    </row>
    <row r="26" ht="15.75" customHeight="1">
      <c r="A26" s="31"/>
      <c r="B26" s="31"/>
      <c r="C26" s="31"/>
      <c r="D26" s="31"/>
      <c r="E26" s="31"/>
      <c r="F26" s="31"/>
      <c r="G26" s="31"/>
      <c r="H26" s="31"/>
      <c r="I26" s="31"/>
      <c r="J26" s="31"/>
    </row>
    <row r="27" ht="15.75" customHeight="1">
      <c r="A27" s="31"/>
      <c r="B27" s="31"/>
      <c r="C27" s="31"/>
      <c r="D27" s="31"/>
      <c r="E27" s="31"/>
      <c r="F27" s="31"/>
      <c r="G27" s="31"/>
      <c r="H27" s="31"/>
      <c r="I27" s="31"/>
      <c r="J27" s="31"/>
    </row>
    <row r="28" ht="15.75" customHeight="1">
      <c r="A28" s="31"/>
      <c r="B28" s="31"/>
      <c r="C28" s="31"/>
      <c r="D28" s="31"/>
      <c r="E28" s="31"/>
      <c r="F28" s="31"/>
      <c r="G28" s="31"/>
      <c r="H28" s="31"/>
      <c r="I28" s="31"/>
      <c r="J28" s="31"/>
    </row>
    <row r="29" ht="15.75" customHeight="1">
      <c r="A29" s="31"/>
      <c r="B29" s="31"/>
      <c r="C29" s="31"/>
      <c r="D29" s="31"/>
      <c r="E29" s="31"/>
      <c r="F29" s="31"/>
      <c r="G29" s="31"/>
      <c r="H29" s="31"/>
      <c r="I29" s="31"/>
      <c r="J29" s="31"/>
    </row>
    <row r="30" ht="15.75" customHeight="1">
      <c r="A30" s="31"/>
      <c r="B30" s="31"/>
      <c r="C30" s="31"/>
      <c r="D30" s="31"/>
      <c r="E30" s="31"/>
      <c r="F30" s="31"/>
      <c r="G30" s="31"/>
      <c r="H30" s="31"/>
      <c r="I30" s="31"/>
      <c r="J30" s="31"/>
    </row>
    <row r="31" ht="15.75" customHeight="1">
      <c r="A31" s="31"/>
      <c r="B31" s="31"/>
      <c r="C31" s="31"/>
      <c r="D31" s="31"/>
      <c r="E31" s="31"/>
      <c r="F31" s="31"/>
      <c r="G31" s="31"/>
      <c r="H31" s="31"/>
      <c r="I31" s="31"/>
      <c r="J31" s="31"/>
    </row>
    <row r="32" ht="15.75" customHeight="1">
      <c r="A32" s="31"/>
      <c r="B32" s="31"/>
      <c r="C32" s="31"/>
      <c r="D32" s="31"/>
      <c r="E32" s="31"/>
      <c r="F32" s="31"/>
      <c r="G32" s="31"/>
      <c r="H32" s="31"/>
      <c r="I32" s="31"/>
      <c r="J32" s="31"/>
    </row>
    <row r="33" ht="15.75" customHeight="1">
      <c r="A33" s="31"/>
      <c r="B33" s="31"/>
      <c r="C33" s="31"/>
      <c r="D33" s="31"/>
      <c r="E33" s="31"/>
      <c r="F33" s="31"/>
      <c r="G33" s="31"/>
      <c r="H33" s="31"/>
      <c r="I33" s="31"/>
      <c r="J33" s="31"/>
    </row>
    <row r="34" ht="15.75" customHeight="1">
      <c r="A34" s="31"/>
      <c r="B34" s="31"/>
      <c r="C34" s="31"/>
      <c r="D34" s="31"/>
      <c r="E34" s="31"/>
      <c r="F34" s="31"/>
      <c r="G34" s="31"/>
      <c r="H34" s="31"/>
      <c r="I34" s="31"/>
      <c r="J34" s="31"/>
    </row>
    <row r="35" ht="15.75" customHeight="1">
      <c r="A35" s="31"/>
      <c r="B35" s="31"/>
      <c r="C35" s="31"/>
      <c r="D35" s="31"/>
      <c r="E35" s="31"/>
      <c r="F35" s="31"/>
      <c r="G35" s="31"/>
      <c r="H35" s="31"/>
      <c r="I35" s="31"/>
      <c r="J35" s="31"/>
    </row>
    <row r="36" ht="15.75" customHeight="1">
      <c r="A36" s="31"/>
      <c r="B36" s="31"/>
      <c r="C36" s="31"/>
      <c r="D36" s="31"/>
      <c r="E36" s="31"/>
      <c r="F36" s="31"/>
      <c r="G36" s="31"/>
      <c r="H36" s="31"/>
      <c r="I36" s="31"/>
      <c r="J36" s="31"/>
    </row>
    <row r="37" ht="15.75" customHeight="1">
      <c r="A37" s="31"/>
      <c r="B37" s="31"/>
      <c r="C37" s="31"/>
      <c r="D37" s="31"/>
      <c r="E37" s="31"/>
      <c r="F37" s="31"/>
      <c r="G37" s="31"/>
      <c r="H37" s="31"/>
      <c r="I37" s="31"/>
      <c r="J37" s="31"/>
    </row>
    <row r="38" ht="15.75" customHeight="1">
      <c r="A38" s="31"/>
      <c r="B38" s="31"/>
      <c r="C38" s="31"/>
      <c r="D38" s="31"/>
      <c r="E38" s="31"/>
      <c r="F38" s="31"/>
      <c r="G38" s="31"/>
      <c r="H38" s="31"/>
      <c r="I38" s="31"/>
      <c r="J38" s="31"/>
    </row>
    <row r="39" ht="15.75" customHeight="1">
      <c r="A39" s="31"/>
      <c r="B39" s="31"/>
      <c r="C39" s="31"/>
      <c r="D39" s="31"/>
      <c r="E39" s="31"/>
      <c r="F39" s="31"/>
      <c r="G39" s="31"/>
      <c r="H39" s="31"/>
      <c r="I39" s="31"/>
      <c r="J39" s="31"/>
    </row>
    <row r="40" ht="15.75" customHeight="1">
      <c r="A40" s="31"/>
      <c r="B40" s="31"/>
      <c r="C40" s="31"/>
      <c r="D40" s="31"/>
      <c r="E40" s="31"/>
      <c r="F40" s="31"/>
      <c r="G40" s="31"/>
      <c r="H40" s="31"/>
      <c r="I40" s="31"/>
      <c r="J40" s="31"/>
    </row>
    <row r="41" ht="15.75" customHeight="1">
      <c r="A41" s="31"/>
      <c r="B41" s="31"/>
      <c r="C41" s="31"/>
      <c r="D41" s="31"/>
      <c r="E41" s="31"/>
      <c r="F41" s="31"/>
      <c r="G41" s="31"/>
      <c r="H41" s="31"/>
      <c r="I41" s="31"/>
      <c r="J41" s="31"/>
    </row>
    <row r="42" ht="15.75" customHeight="1">
      <c r="A42" s="31"/>
      <c r="B42" s="31"/>
      <c r="C42" s="31"/>
      <c r="D42" s="31"/>
      <c r="E42" s="31"/>
      <c r="F42" s="31"/>
      <c r="G42" s="31"/>
      <c r="H42" s="31"/>
      <c r="I42" s="31"/>
      <c r="J42" s="31"/>
    </row>
    <row r="43" ht="15.75" customHeight="1">
      <c r="A43" s="31"/>
      <c r="B43" s="31"/>
      <c r="C43" s="31"/>
      <c r="D43" s="31"/>
      <c r="E43" s="31"/>
      <c r="F43" s="31"/>
      <c r="G43" s="31"/>
      <c r="H43" s="31"/>
      <c r="I43" s="31"/>
      <c r="J43" s="31"/>
    </row>
    <row r="44" ht="15.75" customHeight="1">
      <c r="A44" s="31"/>
      <c r="B44" s="31"/>
      <c r="C44" s="31"/>
      <c r="D44" s="31"/>
      <c r="E44" s="31"/>
      <c r="F44" s="31"/>
      <c r="G44" s="31"/>
      <c r="H44" s="31"/>
      <c r="I44" s="31"/>
      <c r="J44" s="31"/>
    </row>
    <row r="45" ht="15.75" customHeight="1">
      <c r="A45" s="31"/>
      <c r="B45" s="31"/>
      <c r="C45" s="31"/>
      <c r="D45" s="31"/>
      <c r="E45" s="31"/>
      <c r="F45" s="31"/>
      <c r="G45" s="31"/>
      <c r="H45" s="31"/>
      <c r="I45" s="31"/>
      <c r="J45" s="31"/>
    </row>
    <row r="46" ht="15.75" customHeight="1">
      <c r="A46" s="31"/>
      <c r="B46" s="31"/>
      <c r="C46" s="31"/>
      <c r="D46" s="31"/>
      <c r="E46" s="31"/>
      <c r="F46" s="31"/>
      <c r="G46" s="31"/>
      <c r="H46" s="31"/>
      <c r="I46" s="31"/>
      <c r="J46" s="31"/>
    </row>
    <row r="47" ht="15.75" customHeight="1">
      <c r="A47" s="31"/>
      <c r="B47" s="31"/>
      <c r="C47" s="31"/>
      <c r="D47" s="31"/>
      <c r="E47" s="31"/>
      <c r="F47" s="31"/>
      <c r="G47" s="31"/>
      <c r="H47" s="31"/>
      <c r="I47" s="31"/>
      <c r="J47" s="31"/>
    </row>
    <row r="48" ht="15.75" customHeight="1">
      <c r="A48" s="31"/>
      <c r="B48" s="31"/>
      <c r="C48" s="31"/>
      <c r="D48" s="31"/>
      <c r="E48" s="31"/>
      <c r="F48" s="31"/>
      <c r="G48" s="31"/>
      <c r="H48" s="31"/>
      <c r="I48" s="31"/>
      <c r="J48" s="31"/>
    </row>
    <row r="49" ht="15.75" customHeight="1">
      <c r="A49" s="31"/>
      <c r="B49" s="31"/>
      <c r="C49" s="31"/>
      <c r="D49" s="31"/>
      <c r="E49" s="31"/>
      <c r="F49" s="31"/>
      <c r="G49" s="31"/>
      <c r="H49" s="31"/>
      <c r="I49" s="31"/>
      <c r="J49" s="31"/>
    </row>
    <row r="50" ht="15.75" customHeight="1">
      <c r="A50" s="31"/>
      <c r="B50" s="31"/>
      <c r="C50" s="31"/>
      <c r="D50" s="31"/>
      <c r="E50" s="31"/>
      <c r="F50" s="31"/>
      <c r="G50" s="31"/>
      <c r="H50" s="31"/>
      <c r="I50" s="31"/>
      <c r="J50" s="31"/>
    </row>
    <row r="51" ht="15.75" customHeight="1">
      <c r="A51" s="31"/>
      <c r="B51" s="31"/>
      <c r="C51" s="31"/>
      <c r="D51" s="31"/>
      <c r="E51" s="31"/>
      <c r="F51" s="31"/>
      <c r="G51" s="31"/>
      <c r="H51" s="31"/>
      <c r="I51" s="31"/>
      <c r="J51" s="31"/>
    </row>
    <row r="52" ht="15.75" customHeight="1">
      <c r="A52" s="31"/>
      <c r="B52" s="31"/>
      <c r="C52" s="31"/>
      <c r="D52" s="31"/>
      <c r="E52" s="31"/>
      <c r="F52" s="31"/>
      <c r="G52" s="31"/>
      <c r="H52" s="31"/>
      <c r="I52" s="31"/>
      <c r="J52" s="31"/>
    </row>
    <row r="53" ht="15.75" customHeight="1">
      <c r="A53" s="31"/>
      <c r="B53" s="31"/>
      <c r="C53" s="31"/>
      <c r="D53" s="31"/>
      <c r="E53" s="31"/>
      <c r="F53" s="31"/>
      <c r="G53" s="31"/>
      <c r="H53" s="31"/>
      <c r="I53" s="31"/>
      <c r="J53" s="31"/>
    </row>
    <row r="54" ht="15.75" customHeight="1">
      <c r="A54" s="31"/>
      <c r="B54" s="31"/>
      <c r="C54" s="31"/>
      <c r="D54" s="31"/>
      <c r="E54" s="31"/>
      <c r="F54" s="31"/>
      <c r="G54" s="31"/>
      <c r="H54" s="31"/>
      <c r="I54" s="31"/>
      <c r="J54" s="31"/>
    </row>
    <row r="55" ht="15.75" customHeight="1">
      <c r="A55" s="31"/>
      <c r="B55" s="31"/>
      <c r="C55" s="31"/>
      <c r="D55" s="31"/>
      <c r="E55" s="31"/>
      <c r="F55" s="31"/>
      <c r="G55" s="31"/>
      <c r="H55" s="31"/>
      <c r="I55" s="31"/>
      <c r="J55" s="31"/>
    </row>
    <row r="56" ht="15.75" customHeight="1">
      <c r="A56" s="31"/>
      <c r="B56" s="31"/>
      <c r="C56" s="31"/>
      <c r="D56" s="31"/>
      <c r="E56" s="31"/>
      <c r="F56" s="31"/>
      <c r="G56" s="31"/>
      <c r="H56" s="31"/>
      <c r="I56" s="31"/>
      <c r="J56" s="31"/>
    </row>
    <row r="57" ht="15.75" customHeight="1">
      <c r="A57" s="31"/>
      <c r="B57" s="31"/>
      <c r="C57" s="31"/>
      <c r="D57" s="31"/>
      <c r="E57" s="31"/>
      <c r="F57" s="31"/>
      <c r="G57" s="31"/>
      <c r="H57" s="31"/>
      <c r="I57" s="31"/>
      <c r="J57" s="31"/>
    </row>
    <row r="58" ht="15.75" customHeight="1">
      <c r="A58" s="31"/>
      <c r="B58" s="31"/>
      <c r="C58" s="31"/>
      <c r="D58" s="31"/>
      <c r="E58" s="31"/>
      <c r="F58" s="31"/>
      <c r="G58" s="31"/>
      <c r="H58" s="31"/>
      <c r="I58" s="31"/>
      <c r="J58" s="31"/>
    </row>
    <row r="59" ht="15.75" customHeight="1">
      <c r="A59" s="31"/>
      <c r="B59" s="31"/>
      <c r="C59" s="31"/>
      <c r="D59" s="31"/>
      <c r="E59" s="31"/>
      <c r="F59" s="31"/>
      <c r="G59" s="31"/>
      <c r="H59" s="31"/>
      <c r="I59" s="31"/>
      <c r="J59" s="31"/>
    </row>
    <row r="60" ht="15.75" customHeight="1">
      <c r="A60" s="31"/>
      <c r="B60" s="31"/>
      <c r="C60" s="31"/>
      <c r="D60" s="31"/>
      <c r="E60" s="31"/>
      <c r="F60" s="31"/>
      <c r="G60" s="31"/>
      <c r="H60" s="31"/>
      <c r="I60" s="31"/>
      <c r="J60" s="31"/>
    </row>
    <row r="61" ht="15.75" customHeight="1">
      <c r="A61" s="31"/>
      <c r="B61" s="31"/>
      <c r="C61" s="31"/>
      <c r="D61" s="31"/>
      <c r="E61" s="31"/>
      <c r="F61" s="31"/>
      <c r="G61" s="31"/>
      <c r="H61" s="31"/>
      <c r="I61" s="31"/>
      <c r="J61" s="31"/>
    </row>
    <row r="62" ht="15.75" customHeight="1">
      <c r="A62" s="31"/>
      <c r="B62" s="31"/>
      <c r="C62" s="31"/>
      <c r="D62" s="31"/>
      <c r="E62" s="31"/>
      <c r="F62" s="31"/>
      <c r="G62" s="31"/>
      <c r="H62" s="31"/>
      <c r="I62" s="31"/>
      <c r="J62" s="31"/>
    </row>
    <row r="63" ht="15.75" customHeight="1">
      <c r="A63" s="31"/>
      <c r="B63" s="31"/>
      <c r="C63" s="31"/>
      <c r="D63" s="31"/>
      <c r="E63" s="31"/>
      <c r="F63" s="31"/>
      <c r="G63" s="31"/>
      <c r="H63" s="31"/>
      <c r="I63" s="31"/>
      <c r="J63" s="31"/>
    </row>
    <row r="64" ht="15.75" customHeight="1">
      <c r="A64" s="31"/>
      <c r="B64" s="31"/>
      <c r="C64" s="31"/>
      <c r="D64" s="31"/>
      <c r="E64" s="31"/>
      <c r="F64" s="31"/>
      <c r="G64" s="31"/>
      <c r="H64" s="31"/>
      <c r="I64" s="31"/>
      <c r="J64" s="31"/>
    </row>
    <row r="65" ht="15.75" customHeight="1">
      <c r="A65" s="31"/>
      <c r="B65" s="31"/>
      <c r="C65" s="31"/>
      <c r="D65" s="31"/>
      <c r="E65" s="31"/>
      <c r="F65" s="31"/>
      <c r="G65" s="31"/>
      <c r="H65" s="31"/>
      <c r="I65" s="31"/>
      <c r="J65" s="31"/>
    </row>
    <row r="66" ht="15.75" customHeight="1">
      <c r="A66" s="31"/>
      <c r="B66" s="31"/>
      <c r="C66" s="31"/>
      <c r="D66" s="31"/>
      <c r="E66" s="31"/>
      <c r="F66" s="31"/>
      <c r="G66" s="31"/>
      <c r="H66" s="31"/>
      <c r="I66" s="31"/>
      <c r="J66" s="31"/>
    </row>
    <row r="67" ht="15.75" customHeight="1">
      <c r="A67" s="31"/>
      <c r="B67" s="31"/>
      <c r="C67" s="31"/>
      <c r="D67" s="31"/>
      <c r="E67" s="31"/>
      <c r="F67" s="31"/>
      <c r="G67" s="31"/>
      <c r="H67" s="31"/>
      <c r="I67" s="31"/>
      <c r="J67" s="31"/>
    </row>
    <row r="68" ht="15.75" customHeight="1">
      <c r="A68" s="31"/>
      <c r="B68" s="31"/>
      <c r="C68" s="31"/>
      <c r="D68" s="31"/>
      <c r="E68" s="31"/>
      <c r="F68" s="31"/>
      <c r="G68" s="31"/>
      <c r="H68" s="31"/>
      <c r="I68" s="31"/>
      <c r="J68" s="31"/>
    </row>
    <row r="69" ht="15.75" customHeight="1">
      <c r="A69" s="31"/>
      <c r="B69" s="31"/>
      <c r="C69" s="31"/>
      <c r="D69" s="31"/>
      <c r="E69" s="31"/>
      <c r="F69" s="31"/>
      <c r="G69" s="31"/>
      <c r="H69" s="31"/>
      <c r="I69" s="31"/>
      <c r="J69" s="31"/>
    </row>
    <row r="70" ht="15.75" customHeight="1">
      <c r="A70" s="31"/>
      <c r="B70" s="31"/>
      <c r="C70" s="31"/>
      <c r="D70" s="31"/>
      <c r="E70" s="31"/>
      <c r="F70" s="31"/>
      <c r="G70" s="31"/>
      <c r="H70" s="31"/>
      <c r="I70" s="31"/>
      <c r="J70" s="31"/>
    </row>
    <row r="71" ht="15.75" customHeight="1">
      <c r="A71" s="31"/>
      <c r="B71" s="31"/>
      <c r="C71" s="31"/>
      <c r="D71" s="31"/>
      <c r="E71" s="31"/>
      <c r="F71" s="31"/>
      <c r="G71" s="31"/>
      <c r="H71" s="31"/>
      <c r="I71" s="31"/>
      <c r="J71" s="31"/>
    </row>
    <row r="72" ht="15.75" customHeight="1">
      <c r="A72" s="31"/>
      <c r="B72" s="31"/>
      <c r="C72" s="31"/>
      <c r="D72" s="31"/>
      <c r="E72" s="31"/>
      <c r="F72" s="31"/>
      <c r="G72" s="31"/>
      <c r="H72" s="31"/>
      <c r="I72" s="31"/>
      <c r="J72" s="31"/>
    </row>
    <row r="73" ht="15.75" customHeight="1">
      <c r="A73" s="31"/>
      <c r="B73" s="31"/>
      <c r="C73" s="31"/>
      <c r="D73" s="31"/>
      <c r="E73" s="31"/>
      <c r="F73" s="31"/>
      <c r="G73" s="31"/>
      <c r="H73" s="31"/>
      <c r="I73" s="31"/>
      <c r="J73" s="31"/>
    </row>
    <row r="74" ht="15.75" customHeight="1">
      <c r="A74" s="31"/>
      <c r="B74" s="31"/>
      <c r="C74" s="31"/>
      <c r="D74" s="31"/>
      <c r="E74" s="31"/>
      <c r="F74" s="31"/>
      <c r="G74" s="31"/>
      <c r="H74" s="31"/>
      <c r="I74" s="31"/>
      <c r="J74" s="31"/>
    </row>
    <row r="75" ht="15.75" customHeight="1">
      <c r="A75" s="31"/>
      <c r="B75" s="31"/>
      <c r="C75" s="31"/>
      <c r="D75" s="31"/>
      <c r="E75" s="31"/>
      <c r="F75" s="31"/>
      <c r="G75" s="31"/>
      <c r="H75" s="31"/>
      <c r="I75" s="31"/>
      <c r="J75" s="31"/>
    </row>
    <row r="76" ht="15.75" customHeight="1">
      <c r="A76" s="31"/>
      <c r="B76" s="31"/>
      <c r="C76" s="31"/>
      <c r="D76" s="31"/>
      <c r="E76" s="31"/>
      <c r="F76" s="31"/>
      <c r="G76" s="31"/>
      <c r="H76" s="31"/>
      <c r="I76" s="31"/>
      <c r="J76" s="31"/>
    </row>
    <row r="77" ht="15.75" customHeight="1">
      <c r="A77" s="31"/>
      <c r="B77" s="31"/>
      <c r="C77" s="31"/>
      <c r="D77" s="31"/>
      <c r="E77" s="31"/>
      <c r="F77" s="31"/>
      <c r="G77" s="31"/>
      <c r="H77" s="31"/>
      <c r="I77" s="31"/>
      <c r="J77" s="31"/>
    </row>
    <row r="78" ht="15.75" customHeight="1">
      <c r="A78" s="31"/>
      <c r="B78" s="31"/>
      <c r="C78" s="31"/>
      <c r="D78" s="31"/>
      <c r="E78" s="31"/>
      <c r="F78" s="31"/>
      <c r="G78" s="31"/>
      <c r="H78" s="31"/>
      <c r="I78" s="31"/>
      <c r="J78" s="31"/>
    </row>
    <row r="79" ht="15.75" customHeight="1">
      <c r="A79" s="31"/>
      <c r="B79" s="31"/>
      <c r="C79" s="31"/>
      <c r="D79" s="31"/>
      <c r="E79" s="31"/>
      <c r="F79" s="31"/>
      <c r="G79" s="31"/>
      <c r="H79" s="31"/>
      <c r="I79" s="31"/>
      <c r="J79" s="31"/>
    </row>
    <row r="80" ht="15.75" customHeight="1">
      <c r="A80" s="31"/>
      <c r="B80" s="31"/>
      <c r="C80" s="31"/>
      <c r="D80" s="31"/>
      <c r="E80" s="31"/>
      <c r="F80" s="31"/>
      <c r="G80" s="31"/>
      <c r="H80" s="31"/>
      <c r="I80" s="31"/>
      <c r="J80" s="31"/>
    </row>
    <row r="81" ht="15.75" customHeight="1">
      <c r="A81" s="31"/>
      <c r="B81" s="31"/>
      <c r="C81" s="31"/>
      <c r="D81" s="31"/>
      <c r="E81" s="31"/>
      <c r="F81" s="31"/>
      <c r="G81" s="31"/>
      <c r="H81" s="31"/>
      <c r="I81" s="31"/>
      <c r="J81" s="31"/>
    </row>
    <row r="82" ht="15.75" customHeight="1">
      <c r="A82" s="31"/>
      <c r="B82" s="31"/>
      <c r="C82" s="31"/>
      <c r="D82" s="31"/>
      <c r="E82" s="31"/>
      <c r="F82" s="31"/>
      <c r="G82" s="31"/>
      <c r="H82" s="31"/>
      <c r="I82" s="31"/>
      <c r="J82" s="31"/>
    </row>
    <row r="83" ht="15.75" customHeight="1">
      <c r="A83" s="31"/>
      <c r="B83" s="31"/>
      <c r="C83" s="31"/>
      <c r="D83" s="31"/>
      <c r="E83" s="31"/>
      <c r="F83" s="31"/>
      <c r="G83" s="31"/>
      <c r="H83" s="31"/>
      <c r="I83" s="31"/>
      <c r="J83" s="31"/>
    </row>
    <row r="84" ht="15.75" customHeight="1">
      <c r="A84" s="31"/>
      <c r="B84" s="31"/>
      <c r="C84" s="31"/>
      <c r="D84" s="31"/>
      <c r="E84" s="31"/>
      <c r="F84" s="31"/>
      <c r="G84" s="31"/>
      <c r="H84" s="31"/>
      <c r="I84" s="31"/>
      <c r="J84" s="31"/>
    </row>
    <row r="85" ht="15.75" customHeight="1">
      <c r="A85" s="31"/>
      <c r="B85" s="31"/>
      <c r="C85" s="31"/>
      <c r="D85" s="31"/>
      <c r="E85" s="31"/>
      <c r="F85" s="31"/>
      <c r="G85" s="31"/>
      <c r="H85" s="31"/>
      <c r="I85" s="31"/>
      <c r="J85" s="31"/>
    </row>
    <row r="86" ht="15.75" customHeight="1">
      <c r="A86" s="31"/>
      <c r="B86" s="31"/>
      <c r="C86" s="31"/>
      <c r="D86" s="31"/>
      <c r="E86" s="31"/>
      <c r="F86" s="31"/>
      <c r="G86" s="31"/>
      <c r="H86" s="31"/>
      <c r="I86" s="31"/>
      <c r="J86" s="31"/>
    </row>
    <row r="87" ht="15.75" customHeight="1">
      <c r="A87" s="31"/>
      <c r="B87" s="31"/>
      <c r="C87" s="31"/>
      <c r="D87" s="31"/>
      <c r="E87" s="31"/>
      <c r="F87" s="31"/>
      <c r="G87" s="31"/>
      <c r="H87" s="31"/>
      <c r="I87" s="31"/>
      <c r="J87" s="31"/>
    </row>
    <row r="88" ht="15.75" customHeight="1">
      <c r="A88" s="31"/>
      <c r="B88" s="31"/>
      <c r="C88" s="31"/>
      <c r="D88" s="31"/>
      <c r="E88" s="31"/>
      <c r="F88" s="31"/>
      <c r="G88" s="31"/>
      <c r="H88" s="31"/>
      <c r="I88" s="31"/>
      <c r="J88" s="31"/>
    </row>
    <row r="89" ht="15.75" customHeight="1">
      <c r="A89" s="31"/>
      <c r="B89" s="31"/>
      <c r="C89" s="31"/>
      <c r="D89" s="31"/>
      <c r="E89" s="31"/>
      <c r="F89" s="31"/>
      <c r="G89" s="31"/>
      <c r="H89" s="31"/>
      <c r="I89" s="31"/>
      <c r="J89" s="31"/>
    </row>
    <row r="90" ht="15.75" customHeight="1">
      <c r="A90" s="31"/>
      <c r="B90" s="31"/>
      <c r="C90" s="31"/>
      <c r="D90" s="31"/>
      <c r="E90" s="31"/>
      <c r="F90" s="31"/>
      <c r="G90" s="31"/>
      <c r="H90" s="31"/>
      <c r="I90" s="31"/>
      <c r="J90" s="31"/>
    </row>
    <row r="91" ht="15.75" customHeight="1">
      <c r="A91" s="31"/>
      <c r="B91" s="31"/>
      <c r="C91" s="31"/>
      <c r="D91" s="31"/>
      <c r="E91" s="31"/>
      <c r="F91" s="31"/>
      <c r="G91" s="31"/>
      <c r="H91" s="31"/>
      <c r="I91" s="31"/>
      <c r="J91" s="31"/>
    </row>
    <row r="92" ht="15.75" customHeight="1">
      <c r="A92" s="31"/>
      <c r="B92" s="31"/>
      <c r="C92" s="31"/>
      <c r="D92" s="31"/>
      <c r="E92" s="31"/>
      <c r="F92" s="31"/>
      <c r="G92" s="31"/>
      <c r="H92" s="31"/>
      <c r="I92" s="31"/>
      <c r="J92" s="31"/>
    </row>
    <row r="93" ht="15.75" customHeight="1">
      <c r="A93" s="31"/>
      <c r="B93" s="31"/>
      <c r="C93" s="31"/>
      <c r="D93" s="31"/>
      <c r="E93" s="31"/>
      <c r="F93" s="31"/>
      <c r="G93" s="31"/>
      <c r="H93" s="31"/>
      <c r="I93" s="31"/>
      <c r="J93" s="31"/>
    </row>
    <row r="94" ht="15.75" customHeight="1">
      <c r="A94" s="31"/>
      <c r="B94" s="31"/>
      <c r="C94" s="31"/>
      <c r="D94" s="31"/>
      <c r="E94" s="31"/>
      <c r="F94" s="31"/>
      <c r="G94" s="31"/>
      <c r="H94" s="31"/>
      <c r="I94" s="31"/>
      <c r="J94" s="31"/>
    </row>
    <row r="95" ht="15.75" customHeight="1">
      <c r="A95" s="31"/>
      <c r="B95" s="31"/>
      <c r="C95" s="31"/>
      <c r="D95" s="31"/>
      <c r="E95" s="31"/>
      <c r="F95" s="31"/>
      <c r="G95" s="31"/>
      <c r="H95" s="31"/>
      <c r="I95" s="31"/>
      <c r="J95" s="31"/>
    </row>
    <row r="96" ht="15.75" customHeight="1">
      <c r="A96" s="31"/>
      <c r="B96" s="31"/>
      <c r="C96" s="31"/>
      <c r="D96" s="31"/>
      <c r="E96" s="31"/>
      <c r="F96" s="31"/>
      <c r="G96" s="31"/>
      <c r="H96" s="31"/>
      <c r="I96" s="31"/>
      <c r="J96" s="31"/>
    </row>
    <row r="97" ht="15.75" customHeight="1">
      <c r="A97" s="31"/>
      <c r="B97" s="31"/>
      <c r="C97" s="31"/>
      <c r="D97" s="31"/>
      <c r="E97" s="31"/>
      <c r="F97" s="31"/>
      <c r="G97" s="31"/>
      <c r="H97" s="31"/>
      <c r="I97" s="31"/>
      <c r="J97" s="31"/>
    </row>
    <row r="98" ht="15.75" customHeight="1">
      <c r="A98" s="31"/>
      <c r="B98" s="31"/>
      <c r="C98" s="31"/>
      <c r="D98" s="31"/>
      <c r="E98" s="31"/>
      <c r="F98" s="31"/>
      <c r="G98" s="31"/>
      <c r="H98" s="31"/>
      <c r="I98" s="31"/>
      <c r="J98" s="31"/>
    </row>
    <row r="99" ht="15.75" customHeight="1">
      <c r="A99" s="31"/>
      <c r="B99" s="31"/>
      <c r="C99" s="31"/>
      <c r="D99" s="31"/>
      <c r="E99" s="31"/>
      <c r="F99" s="31"/>
      <c r="G99" s="31"/>
      <c r="H99" s="31"/>
      <c r="I99" s="31"/>
      <c r="J99" s="31"/>
    </row>
    <row r="100" ht="15.75" customHeight="1">
      <c r="A100" s="31"/>
      <c r="B100" s="31"/>
      <c r="C100" s="31"/>
      <c r="D100" s="31"/>
      <c r="E100" s="31"/>
      <c r="F100" s="31"/>
      <c r="G100" s="31"/>
      <c r="H100" s="31"/>
      <c r="I100" s="31"/>
      <c r="J100" s="31"/>
    </row>
    <row r="101" ht="15.75" customHeight="1">
      <c r="A101" s="31"/>
      <c r="B101" s="31"/>
      <c r="C101" s="31"/>
      <c r="D101" s="31"/>
      <c r="E101" s="31"/>
      <c r="F101" s="31"/>
      <c r="G101" s="31"/>
      <c r="H101" s="31"/>
      <c r="I101" s="31"/>
      <c r="J101" s="31"/>
    </row>
    <row r="102" ht="15.75" customHeight="1">
      <c r="A102" s="31"/>
      <c r="B102" s="31"/>
      <c r="C102" s="31"/>
      <c r="D102" s="31"/>
      <c r="E102" s="31"/>
      <c r="F102" s="31"/>
      <c r="G102" s="31"/>
      <c r="H102" s="31"/>
      <c r="I102" s="31"/>
      <c r="J102" s="31"/>
    </row>
    <row r="103" ht="15.75" customHeight="1">
      <c r="A103" s="31"/>
      <c r="B103" s="31"/>
      <c r="C103" s="31"/>
      <c r="D103" s="31"/>
      <c r="E103" s="31"/>
      <c r="F103" s="31"/>
      <c r="G103" s="31"/>
      <c r="H103" s="31"/>
      <c r="I103" s="31"/>
      <c r="J103" s="31"/>
    </row>
    <row r="104" ht="15.75" customHeight="1">
      <c r="A104" s="31"/>
      <c r="B104" s="31"/>
      <c r="C104" s="31"/>
      <c r="D104" s="31"/>
      <c r="E104" s="31"/>
      <c r="F104" s="31"/>
      <c r="G104" s="31"/>
      <c r="H104" s="31"/>
      <c r="I104" s="31"/>
      <c r="J104" s="31"/>
    </row>
    <row r="105" ht="15.75" customHeight="1">
      <c r="A105" s="31"/>
      <c r="B105" s="31"/>
      <c r="C105" s="31"/>
      <c r="D105" s="31"/>
      <c r="E105" s="31"/>
      <c r="F105" s="31"/>
      <c r="G105" s="31"/>
      <c r="H105" s="31"/>
      <c r="I105" s="31"/>
      <c r="J105" s="31"/>
    </row>
    <row r="106" ht="15.75" customHeight="1">
      <c r="A106" s="31"/>
      <c r="B106" s="31"/>
      <c r="C106" s="31"/>
      <c r="D106" s="31"/>
      <c r="E106" s="31"/>
      <c r="F106" s="31"/>
      <c r="G106" s="31"/>
      <c r="H106" s="31"/>
      <c r="I106" s="31"/>
      <c r="J106" s="31"/>
    </row>
    <row r="107" ht="15.75" customHeight="1">
      <c r="A107" s="31"/>
      <c r="B107" s="31"/>
      <c r="C107" s="31"/>
      <c r="D107" s="31"/>
      <c r="E107" s="31"/>
      <c r="F107" s="31"/>
      <c r="G107" s="31"/>
      <c r="H107" s="31"/>
      <c r="I107" s="31"/>
      <c r="J107" s="31"/>
    </row>
    <row r="108" ht="15.75" customHeight="1">
      <c r="A108" s="31"/>
      <c r="B108" s="31"/>
      <c r="C108" s="31"/>
      <c r="D108" s="31"/>
      <c r="E108" s="31"/>
      <c r="F108" s="31"/>
      <c r="G108" s="31"/>
      <c r="H108" s="31"/>
      <c r="I108" s="31"/>
      <c r="J108" s="31"/>
    </row>
    <row r="109" ht="15.75" customHeight="1">
      <c r="A109" s="31"/>
      <c r="B109" s="31"/>
      <c r="C109" s="31"/>
      <c r="D109" s="31"/>
      <c r="E109" s="31"/>
      <c r="F109" s="31"/>
      <c r="G109" s="31"/>
      <c r="H109" s="31"/>
      <c r="I109" s="31"/>
      <c r="J109" s="31"/>
    </row>
    <row r="110" ht="15.75" customHeight="1">
      <c r="A110" s="31"/>
      <c r="B110" s="31"/>
      <c r="C110" s="31"/>
      <c r="D110" s="31"/>
      <c r="E110" s="31"/>
      <c r="F110" s="31"/>
      <c r="G110" s="31"/>
      <c r="H110" s="31"/>
      <c r="I110" s="31"/>
      <c r="J110" s="31"/>
    </row>
    <row r="111" ht="15.75" customHeight="1">
      <c r="A111" s="31"/>
      <c r="B111" s="31"/>
      <c r="C111" s="31"/>
      <c r="D111" s="31"/>
      <c r="E111" s="31"/>
      <c r="F111" s="31"/>
      <c r="G111" s="31"/>
      <c r="H111" s="31"/>
      <c r="I111" s="31"/>
      <c r="J111" s="31"/>
    </row>
    <row r="112" ht="15.75" customHeight="1">
      <c r="A112" s="31"/>
      <c r="B112" s="31"/>
      <c r="C112" s="31"/>
      <c r="D112" s="31"/>
      <c r="E112" s="31"/>
      <c r="F112" s="31"/>
      <c r="G112" s="31"/>
      <c r="H112" s="31"/>
      <c r="I112" s="31"/>
      <c r="J112" s="31"/>
    </row>
    <row r="113" ht="15.75" customHeight="1">
      <c r="A113" s="31"/>
      <c r="B113" s="31"/>
      <c r="C113" s="31"/>
      <c r="D113" s="31"/>
      <c r="E113" s="31"/>
      <c r="F113" s="31"/>
      <c r="G113" s="31"/>
      <c r="H113" s="31"/>
      <c r="I113" s="31"/>
      <c r="J113" s="31"/>
    </row>
    <row r="114" ht="15.75" customHeight="1">
      <c r="A114" s="31"/>
      <c r="B114" s="31"/>
      <c r="C114" s="31"/>
      <c r="D114" s="31"/>
      <c r="E114" s="31"/>
      <c r="F114" s="31"/>
      <c r="G114" s="31"/>
      <c r="H114" s="31"/>
      <c r="I114" s="31"/>
      <c r="J114" s="31"/>
    </row>
    <row r="115" ht="15.75" customHeight="1">
      <c r="A115" s="31"/>
      <c r="B115" s="31"/>
      <c r="C115" s="31"/>
      <c r="D115" s="31"/>
      <c r="E115" s="31"/>
      <c r="F115" s="31"/>
      <c r="G115" s="31"/>
      <c r="H115" s="31"/>
      <c r="I115" s="31"/>
      <c r="J115" s="31"/>
    </row>
    <row r="116" ht="15.75" customHeight="1">
      <c r="A116" s="31"/>
      <c r="B116" s="31"/>
      <c r="C116" s="31"/>
      <c r="D116" s="31"/>
      <c r="E116" s="31"/>
      <c r="F116" s="31"/>
      <c r="G116" s="31"/>
      <c r="H116" s="31"/>
      <c r="I116" s="31"/>
      <c r="J116" s="31"/>
    </row>
    <row r="117" ht="15.75" customHeight="1">
      <c r="A117" s="31"/>
      <c r="B117" s="31"/>
      <c r="C117" s="31"/>
      <c r="D117" s="31"/>
      <c r="E117" s="31"/>
      <c r="F117" s="31"/>
      <c r="G117" s="31"/>
      <c r="H117" s="31"/>
      <c r="I117" s="31"/>
      <c r="J117" s="31"/>
    </row>
    <row r="118" ht="15.75" customHeight="1">
      <c r="A118" s="31"/>
      <c r="B118" s="31"/>
      <c r="C118" s="31"/>
      <c r="D118" s="31"/>
      <c r="E118" s="31"/>
      <c r="F118" s="31"/>
      <c r="G118" s="31"/>
      <c r="H118" s="31"/>
      <c r="I118" s="31"/>
      <c r="J118" s="31"/>
    </row>
    <row r="119" ht="15.75" customHeight="1">
      <c r="A119" s="31"/>
      <c r="B119" s="31"/>
      <c r="C119" s="31"/>
      <c r="D119" s="31"/>
      <c r="E119" s="31"/>
      <c r="F119" s="31"/>
      <c r="G119" s="31"/>
      <c r="H119" s="31"/>
      <c r="I119" s="31"/>
      <c r="J119" s="31"/>
    </row>
    <row r="120" ht="15.75" customHeight="1">
      <c r="A120" s="31"/>
      <c r="B120" s="31"/>
      <c r="C120" s="31"/>
      <c r="D120" s="31"/>
      <c r="E120" s="31"/>
      <c r="F120" s="31"/>
      <c r="G120" s="31"/>
      <c r="H120" s="31"/>
      <c r="I120" s="31"/>
      <c r="J120" s="31"/>
    </row>
    <row r="121" ht="15.75" customHeight="1">
      <c r="A121" s="31"/>
      <c r="B121" s="31"/>
      <c r="C121" s="31"/>
      <c r="D121" s="31"/>
      <c r="E121" s="31"/>
      <c r="F121" s="31"/>
      <c r="G121" s="31"/>
      <c r="H121" s="31"/>
      <c r="I121" s="31"/>
      <c r="J121" s="31"/>
    </row>
    <row r="122" ht="15.75" customHeight="1">
      <c r="A122" s="31"/>
      <c r="B122" s="31"/>
      <c r="C122" s="31"/>
      <c r="D122" s="31"/>
      <c r="E122" s="31"/>
      <c r="F122" s="31"/>
      <c r="G122" s="31"/>
      <c r="H122" s="31"/>
      <c r="I122" s="31"/>
      <c r="J122" s="31"/>
    </row>
    <row r="123" ht="15.75" customHeight="1">
      <c r="A123" s="31"/>
      <c r="B123" s="31"/>
      <c r="C123" s="31"/>
      <c r="D123" s="31"/>
      <c r="E123" s="31"/>
      <c r="F123" s="31"/>
      <c r="G123" s="31"/>
      <c r="H123" s="31"/>
      <c r="I123" s="31"/>
      <c r="J123" s="31"/>
    </row>
    <row r="124" ht="15.75" customHeight="1">
      <c r="A124" s="31"/>
      <c r="B124" s="31"/>
      <c r="C124" s="31"/>
      <c r="D124" s="31"/>
      <c r="E124" s="31"/>
      <c r="F124" s="31"/>
      <c r="G124" s="31"/>
      <c r="H124" s="31"/>
      <c r="I124" s="31"/>
      <c r="J124" s="31"/>
    </row>
    <row r="125" ht="15.75" customHeight="1">
      <c r="A125" s="31"/>
      <c r="B125" s="31"/>
      <c r="C125" s="31"/>
      <c r="D125" s="31"/>
      <c r="E125" s="31"/>
      <c r="F125" s="31"/>
      <c r="G125" s="31"/>
      <c r="H125" s="31"/>
      <c r="I125" s="31"/>
      <c r="J125" s="31"/>
    </row>
    <row r="126" ht="15.75" customHeight="1">
      <c r="A126" s="31"/>
      <c r="B126" s="31"/>
      <c r="C126" s="31"/>
      <c r="D126" s="31"/>
      <c r="E126" s="31"/>
      <c r="F126" s="31"/>
      <c r="G126" s="31"/>
      <c r="H126" s="31"/>
      <c r="I126" s="31"/>
      <c r="J126" s="31"/>
    </row>
    <row r="127" ht="15.75" customHeight="1">
      <c r="A127" s="31"/>
      <c r="B127" s="31"/>
      <c r="C127" s="31"/>
      <c r="D127" s="31"/>
      <c r="E127" s="31"/>
      <c r="F127" s="31"/>
      <c r="G127" s="31"/>
      <c r="H127" s="31"/>
      <c r="I127" s="31"/>
      <c r="J127" s="31"/>
    </row>
    <row r="128" ht="15.75" customHeight="1">
      <c r="A128" s="31"/>
      <c r="B128" s="31"/>
      <c r="C128" s="31"/>
      <c r="D128" s="31"/>
      <c r="E128" s="31"/>
      <c r="F128" s="31"/>
      <c r="G128" s="31"/>
      <c r="H128" s="31"/>
      <c r="I128" s="31"/>
      <c r="J128" s="31"/>
    </row>
    <row r="129" ht="15.75" customHeight="1">
      <c r="A129" s="31"/>
      <c r="B129" s="31"/>
      <c r="C129" s="31"/>
      <c r="D129" s="31"/>
      <c r="E129" s="31"/>
      <c r="F129" s="31"/>
      <c r="G129" s="31"/>
      <c r="H129" s="31"/>
      <c r="I129" s="31"/>
      <c r="J129" s="31"/>
    </row>
    <row r="130" ht="15.75" customHeight="1">
      <c r="A130" s="31"/>
      <c r="B130" s="31"/>
      <c r="C130" s="31"/>
      <c r="D130" s="31"/>
      <c r="E130" s="31"/>
      <c r="F130" s="31"/>
      <c r="G130" s="31"/>
      <c r="H130" s="31"/>
      <c r="I130" s="31"/>
      <c r="J130" s="31"/>
    </row>
    <row r="131" ht="15.75" customHeight="1">
      <c r="A131" s="31"/>
      <c r="B131" s="31"/>
      <c r="C131" s="31"/>
      <c r="D131" s="31"/>
      <c r="E131" s="31"/>
      <c r="F131" s="31"/>
      <c r="G131" s="31"/>
      <c r="H131" s="31"/>
      <c r="I131" s="31"/>
      <c r="J131" s="31"/>
    </row>
    <row r="132" ht="15.75" customHeight="1">
      <c r="A132" s="31"/>
      <c r="B132" s="31"/>
      <c r="C132" s="31"/>
      <c r="D132" s="31"/>
      <c r="E132" s="31"/>
      <c r="F132" s="31"/>
      <c r="G132" s="31"/>
      <c r="H132" s="31"/>
      <c r="I132" s="31"/>
      <c r="J132" s="31"/>
    </row>
    <row r="133" ht="15.75" customHeight="1">
      <c r="A133" s="31"/>
      <c r="B133" s="31"/>
      <c r="C133" s="31"/>
      <c r="D133" s="31"/>
      <c r="E133" s="31"/>
      <c r="F133" s="31"/>
      <c r="G133" s="31"/>
      <c r="H133" s="31"/>
      <c r="I133" s="31"/>
      <c r="J133" s="31"/>
    </row>
    <row r="134" ht="15.75" customHeight="1">
      <c r="A134" s="31"/>
      <c r="B134" s="31"/>
      <c r="C134" s="31"/>
      <c r="D134" s="31"/>
      <c r="E134" s="31"/>
      <c r="F134" s="31"/>
      <c r="G134" s="31"/>
      <c r="H134" s="31"/>
      <c r="I134" s="31"/>
      <c r="J134" s="31"/>
    </row>
    <row r="135" ht="15.75" customHeight="1">
      <c r="A135" s="31"/>
      <c r="B135" s="31"/>
      <c r="C135" s="31"/>
      <c r="D135" s="31"/>
      <c r="E135" s="31"/>
      <c r="F135" s="31"/>
      <c r="G135" s="31"/>
      <c r="H135" s="31"/>
      <c r="I135" s="31"/>
      <c r="J135" s="31"/>
    </row>
    <row r="136" ht="15.75" customHeight="1">
      <c r="A136" s="31"/>
      <c r="B136" s="31"/>
      <c r="C136" s="31"/>
      <c r="D136" s="31"/>
      <c r="E136" s="31"/>
      <c r="F136" s="31"/>
      <c r="G136" s="31"/>
      <c r="H136" s="31"/>
      <c r="I136" s="31"/>
      <c r="J136" s="31"/>
    </row>
    <row r="137" ht="15.75" customHeight="1">
      <c r="A137" s="31"/>
      <c r="B137" s="31"/>
      <c r="C137" s="31"/>
      <c r="D137" s="31"/>
      <c r="E137" s="31"/>
      <c r="F137" s="31"/>
      <c r="G137" s="31"/>
      <c r="H137" s="31"/>
      <c r="I137" s="31"/>
      <c r="J137" s="31"/>
    </row>
    <row r="138" ht="15.75" customHeight="1">
      <c r="A138" s="31"/>
      <c r="B138" s="31"/>
      <c r="C138" s="31"/>
      <c r="D138" s="31"/>
      <c r="E138" s="31"/>
      <c r="F138" s="31"/>
      <c r="G138" s="31"/>
      <c r="H138" s="31"/>
      <c r="I138" s="31"/>
      <c r="J138" s="31"/>
    </row>
    <row r="139" ht="15.75" customHeight="1">
      <c r="A139" s="31"/>
      <c r="B139" s="31"/>
      <c r="C139" s="31"/>
      <c r="D139" s="31"/>
      <c r="E139" s="31"/>
      <c r="F139" s="31"/>
      <c r="G139" s="31"/>
      <c r="H139" s="31"/>
      <c r="I139" s="31"/>
      <c r="J139" s="31"/>
    </row>
    <row r="140" ht="15.75" customHeight="1">
      <c r="A140" s="31"/>
      <c r="B140" s="31"/>
      <c r="C140" s="31"/>
      <c r="D140" s="31"/>
      <c r="E140" s="31"/>
      <c r="F140" s="31"/>
      <c r="G140" s="31"/>
      <c r="H140" s="31"/>
      <c r="I140" s="31"/>
      <c r="J140" s="31"/>
    </row>
    <row r="141" ht="15.75" customHeight="1">
      <c r="A141" s="31"/>
      <c r="B141" s="31"/>
      <c r="C141" s="31"/>
      <c r="D141" s="31"/>
      <c r="E141" s="31"/>
      <c r="F141" s="31"/>
      <c r="G141" s="31"/>
      <c r="H141" s="31"/>
      <c r="I141" s="31"/>
      <c r="J141" s="31"/>
    </row>
    <row r="142" ht="15.75" customHeight="1">
      <c r="A142" s="31"/>
      <c r="B142" s="31"/>
      <c r="C142" s="31"/>
      <c r="D142" s="31"/>
      <c r="E142" s="31"/>
      <c r="F142" s="31"/>
      <c r="G142" s="31"/>
      <c r="H142" s="31"/>
      <c r="I142" s="31"/>
      <c r="J142" s="31"/>
    </row>
    <row r="143" ht="15.75" customHeight="1">
      <c r="A143" s="31"/>
      <c r="B143" s="31"/>
      <c r="C143" s="31"/>
      <c r="D143" s="31"/>
      <c r="E143" s="31"/>
      <c r="F143" s="31"/>
      <c r="G143" s="31"/>
      <c r="H143" s="31"/>
      <c r="I143" s="31"/>
      <c r="J143" s="31"/>
    </row>
    <row r="144" ht="15.75" customHeight="1">
      <c r="A144" s="31"/>
      <c r="B144" s="31"/>
      <c r="C144" s="31"/>
      <c r="D144" s="31"/>
      <c r="E144" s="31"/>
      <c r="F144" s="31"/>
      <c r="G144" s="31"/>
      <c r="H144" s="31"/>
      <c r="I144" s="31"/>
      <c r="J144" s="31"/>
    </row>
    <row r="145" ht="15.75" customHeight="1">
      <c r="A145" s="31"/>
      <c r="B145" s="31"/>
      <c r="C145" s="31"/>
      <c r="D145" s="31"/>
      <c r="E145" s="31"/>
      <c r="F145" s="31"/>
      <c r="G145" s="31"/>
      <c r="H145" s="31"/>
      <c r="I145" s="31"/>
      <c r="J145" s="31"/>
    </row>
    <row r="146" ht="15.75" customHeight="1">
      <c r="A146" s="31"/>
      <c r="B146" s="31"/>
      <c r="C146" s="31"/>
      <c r="D146" s="31"/>
      <c r="E146" s="31"/>
      <c r="F146" s="31"/>
      <c r="G146" s="31"/>
      <c r="H146" s="31"/>
      <c r="I146" s="31"/>
      <c r="J146" s="31"/>
    </row>
    <row r="147" ht="15.75" customHeight="1">
      <c r="A147" s="31"/>
      <c r="B147" s="31"/>
      <c r="C147" s="31"/>
      <c r="D147" s="31"/>
      <c r="E147" s="31"/>
      <c r="F147" s="31"/>
      <c r="G147" s="31"/>
      <c r="H147" s="31"/>
      <c r="I147" s="31"/>
      <c r="J147" s="31"/>
    </row>
    <row r="148" ht="15.75" customHeight="1">
      <c r="A148" s="31"/>
      <c r="B148" s="31"/>
      <c r="C148" s="31"/>
      <c r="D148" s="31"/>
      <c r="E148" s="31"/>
      <c r="F148" s="31"/>
      <c r="G148" s="31"/>
      <c r="H148" s="31"/>
      <c r="I148" s="31"/>
      <c r="J148" s="31"/>
    </row>
    <row r="149" ht="15.75" customHeight="1">
      <c r="A149" s="31"/>
      <c r="B149" s="31"/>
      <c r="C149" s="31"/>
      <c r="D149" s="31"/>
      <c r="E149" s="31"/>
      <c r="F149" s="31"/>
      <c r="G149" s="31"/>
      <c r="H149" s="31"/>
      <c r="I149" s="31"/>
      <c r="J149" s="31"/>
    </row>
    <row r="150" ht="15.75" customHeight="1">
      <c r="A150" s="31"/>
      <c r="B150" s="31"/>
      <c r="C150" s="31"/>
      <c r="D150" s="31"/>
      <c r="E150" s="31"/>
      <c r="F150" s="31"/>
      <c r="G150" s="31"/>
      <c r="H150" s="31"/>
      <c r="I150" s="31"/>
      <c r="J150" s="31"/>
    </row>
    <row r="151" ht="15.75" customHeight="1">
      <c r="A151" s="31"/>
      <c r="B151" s="31"/>
      <c r="C151" s="31"/>
      <c r="D151" s="31"/>
      <c r="E151" s="31"/>
      <c r="F151" s="31"/>
      <c r="G151" s="31"/>
      <c r="H151" s="31"/>
      <c r="I151" s="31"/>
      <c r="J151" s="31"/>
    </row>
    <row r="152" ht="15.75" customHeight="1">
      <c r="A152" s="31"/>
      <c r="B152" s="31"/>
      <c r="C152" s="31"/>
      <c r="D152" s="31"/>
      <c r="E152" s="31"/>
      <c r="F152" s="31"/>
      <c r="G152" s="31"/>
      <c r="H152" s="31"/>
      <c r="I152" s="31"/>
      <c r="J152" s="31"/>
    </row>
    <row r="153" ht="15.75" customHeight="1">
      <c r="A153" s="31"/>
      <c r="B153" s="31"/>
      <c r="C153" s="31"/>
      <c r="D153" s="31"/>
      <c r="E153" s="31"/>
      <c r="F153" s="31"/>
      <c r="G153" s="31"/>
      <c r="H153" s="31"/>
      <c r="I153" s="31"/>
      <c r="J153" s="31"/>
    </row>
    <row r="154" ht="15.75" customHeight="1">
      <c r="A154" s="31"/>
      <c r="B154" s="31"/>
      <c r="C154" s="31"/>
      <c r="D154" s="31"/>
      <c r="E154" s="31"/>
      <c r="F154" s="31"/>
      <c r="G154" s="31"/>
      <c r="H154" s="31"/>
      <c r="I154" s="31"/>
      <c r="J154" s="31"/>
    </row>
    <row r="155" ht="15.75" customHeight="1">
      <c r="A155" s="31"/>
      <c r="B155" s="31"/>
      <c r="C155" s="31"/>
      <c r="D155" s="31"/>
      <c r="E155" s="31"/>
      <c r="F155" s="31"/>
      <c r="G155" s="31"/>
      <c r="H155" s="31"/>
      <c r="I155" s="31"/>
      <c r="J155" s="31"/>
    </row>
    <row r="156" ht="15.75" customHeight="1">
      <c r="A156" s="31"/>
      <c r="B156" s="31"/>
      <c r="C156" s="31"/>
      <c r="D156" s="31"/>
      <c r="E156" s="31"/>
      <c r="F156" s="31"/>
      <c r="G156" s="31"/>
      <c r="H156" s="31"/>
      <c r="I156" s="31"/>
      <c r="J156" s="31"/>
    </row>
    <row r="157" ht="15.75" customHeight="1">
      <c r="A157" s="31"/>
      <c r="B157" s="31"/>
      <c r="C157" s="31"/>
      <c r="D157" s="31"/>
      <c r="E157" s="31"/>
      <c r="F157" s="31"/>
      <c r="G157" s="31"/>
      <c r="H157" s="31"/>
      <c r="I157" s="31"/>
      <c r="J157" s="31"/>
    </row>
    <row r="158" ht="15.75" customHeight="1">
      <c r="A158" s="31"/>
      <c r="B158" s="31"/>
      <c r="C158" s="31"/>
      <c r="D158" s="31"/>
      <c r="E158" s="31"/>
      <c r="F158" s="31"/>
      <c r="G158" s="31"/>
      <c r="H158" s="31"/>
      <c r="I158" s="31"/>
      <c r="J158" s="31"/>
    </row>
    <row r="159" ht="15.75" customHeight="1">
      <c r="A159" s="31"/>
      <c r="B159" s="31"/>
      <c r="C159" s="31"/>
      <c r="D159" s="31"/>
      <c r="E159" s="31"/>
      <c r="F159" s="31"/>
      <c r="G159" s="31"/>
      <c r="H159" s="31"/>
      <c r="I159" s="31"/>
      <c r="J159" s="31"/>
    </row>
    <row r="160" ht="15.75" customHeight="1">
      <c r="A160" s="31"/>
      <c r="B160" s="31"/>
      <c r="C160" s="31"/>
      <c r="D160" s="31"/>
      <c r="E160" s="31"/>
      <c r="F160" s="31"/>
      <c r="G160" s="31"/>
      <c r="H160" s="31"/>
      <c r="I160" s="31"/>
      <c r="J160" s="31"/>
    </row>
    <row r="161" ht="15.75" customHeight="1">
      <c r="A161" s="31"/>
      <c r="B161" s="31"/>
      <c r="C161" s="31"/>
      <c r="D161" s="31"/>
      <c r="E161" s="31"/>
      <c r="F161" s="31"/>
      <c r="G161" s="31"/>
      <c r="H161" s="31"/>
      <c r="I161" s="31"/>
      <c r="J161" s="31"/>
    </row>
    <row r="162" ht="15.75" customHeight="1">
      <c r="A162" s="31"/>
      <c r="B162" s="31"/>
      <c r="C162" s="31"/>
      <c r="D162" s="31"/>
      <c r="E162" s="31"/>
      <c r="F162" s="31"/>
      <c r="G162" s="31"/>
      <c r="H162" s="31"/>
      <c r="I162" s="31"/>
      <c r="J162" s="31"/>
    </row>
    <row r="163" ht="15.75" customHeight="1">
      <c r="A163" s="31"/>
      <c r="B163" s="31"/>
      <c r="C163" s="31"/>
      <c r="D163" s="31"/>
      <c r="E163" s="31"/>
      <c r="F163" s="31"/>
      <c r="G163" s="31"/>
      <c r="H163" s="31"/>
      <c r="I163" s="31"/>
      <c r="J163" s="31"/>
    </row>
    <row r="164" ht="15.75" customHeight="1">
      <c r="A164" s="31"/>
      <c r="B164" s="31"/>
      <c r="C164" s="31"/>
      <c r="D164" s="31"/>
      <c r="E164" s="31"/>
      <c r="F164" s="31"/>
      <c r="G164" s="31"/>
      <c r="H164" s="31"/>
      <c r="I164" s="31"/>
      <c r="J164" s="31"/>
    </row>
    <row r="165" ht="15.75" customHeight="1">
      <c r="A165" s="31"/>
      <c r="B165" s="31"/>
      <c r="C165" s="31"/>
      <c r="D165" s="31"/>
      <c r="E165" s="31"/>
      <c r="F165" s="31"/>
      <c r="G165" s="31"/>
      <c r="H165" s="31"/>
      <c r="I165" s="31"/>
      <c r="J165" s="31"/>
    </row>
    <row r="166" ht="15.75" customHeight="1">
      <c r="A166" s="31"/>
      <c r="B166" s="31"/>
      <c r="C166" s="31"/>
      <c r="D166" s="31"/>
      <c r="E166" s="31"/>
      <c r="F166" s="31"/>
      <c r="G166" s="31"/>
      <c r="H166" s="31"/>
      <c r="I166" s="31"/>
      <c r="J166" s="31"/>
    </row>
    <row r="167" ht="15.75" customHeight="1">
      <c r="A167" s="31"/>
      <c r="B167" s="31"/>
      <c r="C167" s="31"/>
      <c r="D167" s="31"/>
      <c r="E167" s="31"/>
      <c r="F167" s="31"/>
      <c r="G167" s="31"/>
      <c r="H167" s="31"/>
      <c r="I167" s="31"/>
      <c r="J167" s="31"/>
    </row>
    <row r="168" ht="15.75" customHeight="1">
      <c r="A168" s="31"/>
      <c r="B168" s="31"/>
      <c r="C168" s="31"/>
      <c r="D168" s="31"/>
      <c r="E168" s="31"/>
      <c r="F168" s="31"/>
      <c r="G168" s="31"/>
      <c r="H168" s="31"/>
      <c r="I168" s="31"/>
      <c r="J168" s="31"/>
    </row>
    <row r="169" ht="15.75" customHeight="1">
      <c r="A169" s="31"/>
      <c r="B169" s="31"/>
      <c r="C169" s="31"/>
      <c r="D169" s="31"/>
      <c r="E169" s="31"/>
      <c r="F169" s="31"/>
      <c r="G169" s="31"/>
      <c r="H169" s="31"/>
      <c r="I169" s="31"/>
      <c r="J169" s="31"/>
    </row>
    <row r="170" ht="15.75" customHeight="1">
      <c r="A170" s="31"/>
      <c r="B170" s="31"/>
      <c r="C170" s="31"/>
      <c r="D170" s="31"/>
      <c r="E170" s="31"/>
      <c r="F170" s="31"/>
      <c r="G170" s="31"/>
      <c r="H170" s="31"/>
      <c r="I170" s="31"/>
      <c r="J170" s="31"/>
    </row>
    <row r="171" ht="15.75" customHeight="1">
      <c r="A171" s="31"/>
      <c r="B171" s="31"/>
      <c r="C171" s="31"/>
      <c r="D171" s="31"/>
      <c r="E171" s="31"/>
      <c r="F171" s="31"/>
      <c r="G171" s="31"/>
      <c r="H171" s="31"/>
      <c r="I171" s="31"/>
      <c r="J171" s="31"/>
    </row>
    <row r="172" ht="15.75" customHeight="1">
      <c r="A172" s="31"/>
      <c r="B172" s="31"/>
      <c r="C172" s="31"/>
      <c r="D172" s="31"/>
      <c r="E172" s="31"/>
      <c r="F172" s="31"/>
      <c r="G172" s="31"/>
      <c r="H172" s="31"/>
      <c r="I172" s="31"/>
      <c r="J172" s="31"/>
    </row>
    <row r="173" ht="15.75" customHeight="1">
      <c r="A173" s="31"/>
      <c r="B173" s="31"/>
      <c r="C173" s="31"/>
      <c r="D173" s="31"/>
      <c r="E173" s="31"/>
      <c r="F173" s="31"/>
      <c r="G173" s="31"/>
      <c r="H173" s="31"/>
      <c r="I173" s="31"/>
      <c r="J173" s="31"/>
    </row>
    <row r="174" ht="15.75" customHeight="1">
      <c r="A174" s="31"/>
      <c r="B174" s="31"/>
      <c r="C174" s="31"/>
      <c r="D174" s="31"/>
      <c r="E174" s="31"/>
      <c r="F174" s="31"/>
      <c r="G174" s="31"/>
      <c r="H174" s="31"/>
      <c r="I174" s="31"/>
      <c r="J174" s="31"/>
    </row>
    <row r="175" ht="15.75" customHeight="1">
      <c r="A175" s="31"/>
      <c r="B175" s="31"/>
      <c r="C175" s="31"/>
      <c r="D175" s="31"/>
      <c r="E175" s="31"/>
      <c r="F175" s="31"/>
      <c r="G175" s="31"/>
      <c r="H175" s="31"/>
      <c r="I175" s="31"/>
      <c r="J175" s="31"/>
    </row>
    <row r="176" ht="15.75" customHeight="1">
      <c r="A176" s="31"/>
      <c r="B176" s="31"/>
      <c r="C176" s="31"/>
      <c r="D176" s="31"/>
      <c r="E176" s="31"/>
      <c r="F176" s="31"/>
      <c r="G176" s="31"/>
      <c r="H176" s="31"/>
      <c r="I176" s="31"/>
      <c r="J176" s="31"/>
    </row>
    <row r="177" ht="15.75" customHeight="1">
      <c r="A177" s="31"/>
      <c r="B177" s="31"/>
      <c r="C177" s="31"/>
      <c r="D177" s="31"/>
      <c r="E177" s="31"/>
      <c r="F177" s="31"/>
      <c r="G177" s="31"/>
      <c r="H177" s="31"/>
      <c r="I177" s="31"/>
      <c r="J177" s="31"/>
    </row>
    <row r="178" ht="15.75" customHeight="1">
      <c r="A178" s="31"/>
      <c r="B178" s="31"/>
      <c r="C178" s="31"/>
      <c r="D178" s="31"/>
      <c r="E178" s="31"/>
      <c r="F178" s="31"/>
      <c r="G178" s="31"/>
      <c r="H178" s="31"/>
      <c r="I178" s="31"/>
      <c r="J178" s="31"/>
    </row>
    <row r="179" ht="15.75" customHeight="1">
      <c r="A179" s="31"/>
      <c r="B179" s="31"/>
      <c r="C179" s="31"/>
      <c r="D179" s="31"/>
      <c r="E179" s="31"/>
      <c r="F179" s="31"/>
      <c r="G179" s="31"/>
      <c r="H179" s="31"/>
      <c r="I179" s="31"/>
      <c r="J179" s="31"/>
    </row>
    <row r="180" ht="15.75" customHeight="1">
      <c r="A180" s="31"/>
      <c r="B180" s="31"/>
      <c r="C180" s="31"/>
      <c r="D180" s="31"/>
      <c r="E180" s="31"/>
      <c r="F180" s="31"/>
      <c r="G180" s="31"/>
      <c r="H180" s="31"/>
      <c r="I180" s="31"/>
      <c r="J180" s="31"/>
    </row>
    <row r="181" ht="15.75" customHeight="1">
      <c r="A181" s="31"/>
      <c r="B181" s="31"/>
      <c r="C181" s="31"/>
      <c r="D181" s="31"/>
      <c r="E181" s="31"/>
      <c r="F181" s="31"/>
      <c r="G181" s="31"/>
      <c r="H181" s="31"/>
      <c r="I181" s="31"/>
      <c r="J181" s="31"/>
    </row>
    <row r="182" ht="15.75" customHeight="1">
      <c r="A182" s="31"/>
      <c r="B182" s="31"/>
      <c r="C182" s="31"/>
      <c r="D182" s="31"/>
      <c r="E182" s="31"/>
      <c r="F182" s="31"/>
      <c r="G182" s="31"/>
      <c r="H182" s="31"/>
      <c r="I182" s="31"/>
      <c r="J182" s="31"/>
    </row>
    <row r="183" ht="15.75" customHeight="1">
      <c r="A183" s="31"/>
      <c r="B183" s="31"/>
      <c r="C183" s="31"/>
      <c r="D183" s="31"/>
      <c r="E183" s="31"/>
      <c r="F183" s="31"/>
      <c r="G183" s="31"/>
      <c r="H183" s="31"/>
      <c r="I183" s="31"/>
      <c r="J183" s="31"/>
    </row>
    <row r="184" ht="15.75" customHeight="1">
      <c r="A184" s="31"/>
      <c r="B184" s="31"/>
      <c r="C184" s="31"/>
      <c r="D184" s="31"/>
      <c r="E184" s="31"/>
      <c r="F184" s="31"/>
      <c r="G184" s="31"/>
      <c r="H184" s="31"/>
      <c r="I184" s="31"/>
      <c r="J184" s="31"/>
    </row>
    <row r="185" ht="15.75" customHeight="1">
      <c r="A185" s="31"/>
      <c r="B185" s="31"/>
      <c r="C185" s="31"/>
      <c r="D185" s="31"/>
      <c r="E185" s="31"/>
      <c r="F185" s="31"/>
      <c r="G185" s="31"/>
      <c r="H185" s="31"/>
      <c r="I185" s="31"/>
      <c r="J185" s="31"/>
    </row>
    <row r="186" ht="15.75" customHeight="1">
      <c r="A186" s="31"/>
      <c r="B186" s="31"/>
      <c r="C186" s="31"/>
      <c r="D186" s="31"/>
      <c r="E186" s="31"/>
      <c r="F186" s="31"/>
      <c r="G186" s="31"/>
      <c r="H186" s="31"/>
      <c r="I186" s="31"/>
      <c r="J186" s="31"/>
    </row>
    <row r="187" ht="15.75" customHeight="1">
      <c r="A187" s="31"/>
      <c r="B187" s="31"/>
      <c r="C187" s="31"/>
      <c r="D187" s="31"/>
      <c r="E187" s="31"/>
      <c r="F187" s="31"/>
      <c r="G187" s="31"/>
      <c r="H187" s="31"/>
      <c r="I187" s="31"/>
      <c r="J187" s="31"/>
    </row>
    <row r="188" ht="15.75" customHeight="1">
      <c r="A188" s="31"/>
      <c r="B188" s="31"/>
      <c r="C188" s="31"/>
      <c r="D188" s="31"/>
      <c r="E188" s="31"/>
      <c r="F188" s="31"/>
      <c r="G188" s="31"/>
      <c r="H188" s="31"/>
      <c r="I188" s="31"/>
      <c r="J188" s="31"/>
    </row>
    <row r="189" ht="15.75" customHeight="1">
      <c r="A189" s="31"/>
      <c r="B189" s="31"/>
      <c r="C189" s="31"/>
      <c r="D189" s="31"/>
      <c r="E189" s="31"/>
      <c r="F189" s="31"/>
      <c r="G189" s="31"/>
      <c r="H189" s="31"/>
      <c r="I189" s="31"/>
      <c r="J189" s="31"/>
    </row>
    <row r="190" ht="15.75" customHeight="1">
      <c r="A190" s="31"/>
      <c r="B190" s="31"/>
      <c r="C190" s="31"/>
      <c r="D190" s="31"/>
      <c r="E190" s="31"/>
      <c r="F190" s="31"/>
      <c r="G190" s="31"/>
      <c r="H190" s="31"/>
      <c r="I190" s="31"/>
      <c r="J190" s="31"/>
    </row>
    <row r="191" ht="15.75" customHeight="1">
      <c r="A191" s="31"/>
      <c r="B191" s="31"/>
      <c r="C191" s="31"/>
      <c r="D191" s="31"/>
      <c r="E191" s="31"/>
      <c r="F191" s="31"/>
      <c r="G191" s="31"/>
      <c r="H191" s="31"/>
      <c r="I191" s="31"/>
      <c r="J191" s="31"/>
    </row>
    <row r="192" ht="15.75" customHeight="1">
      <c r="A192" s="31"/>
      <c r="B192" s="31"/>
      <c r="C192" s="31"/>
      <c r="D192" s="31"/>
      <c r="E192" s="31"/>
      <c r="F192" s="31"/>
      <c r="G192" s="31"/>
      <c r="H192" s="31"/>
      <c r="I192" s="31"/>
      <c r="J192" s="31"/>
    </row>
    <row r="193" ht="15.75" customHeight="1">
      <c r="A193" s="31"/>
      <c r="B193" s="31"/>
      <c r="C193" s="31"/>
      <c r="D193" s="31"/>
      <c r="E193" s="31"/>
      <c r="F193" s="31"/>
      <c r="G193" s="31"/>
      <c r="H193" s="31"/>
      <c r="I193" s="31"/>
      <c r="J193" s="31"/>
    </row>
    <row r="194" ht="15.75" customHeight="1">
      <c r="A194" s="31"/>
      <c r="B194" s="31"/>
      <c r="C194" s="31"/>
      <c r="D194" s="31"/>
      <c r="E194" s="31"/>
      <c r="F194" s="31"/>
      <c r="G194" s="31"/>
      <c r="H194" s="31"/>
      <c r="I194" s="31"/>
      <c r="J194" s="31"/>
    </row>
    <row r="195" ht="15.75" customHeight="1">
      <c r="A195" s="31"/>
      <c r="B195" s="31"/>
      <c r="C195" s="31"/>
      <c r="D195" s="31"/>
      <c r="E195" s="31"/>
      <c r="F195" s="31"/>
      <c r="G195" s="31"/>
      <c r="H195" s="31"/>
      <c r="I195" s="31"/>
      <c r="J195" s="31"/>
    </row>
    <row r="196" ht="15.75" customHeight="1">
      <c r="A196" s="31"/>
      <c r="B196" s="31"/>
      <c r="C196" s="31"/>
      <c r="D196" s="31"/>
      <c r="E196" s="31"/>
      <c r="F196" s="31"/>
      <c r="G196" s="31"/>
      <c r="H196" s="31"/>
      <c r="I196" s="31"/>
      <c r="J196" s="31"/>
    </row>
    <row r="197" ht="15.75" customHeight="1">
      <c r="A197" s="31"/>
      <c r="B197" s="31"/>
      <c r="C197" s="31"/>
      <c r="D197" s="31"/>
      <c r="E197" s="31"/>
      <c r="F197" s="31"/>
      <c r="G197" s="31"/>
      <c r="H197" s="31"/>
      <c r="I197" s="31"/>
      <c r="J197" s="31"/>
    </row>
    <row r="198" ht="15.75" customHeight="1">
      <c r="A198" s="31"/>
      <c r="B198" s="31"/>
      <c r="C198" s="31"/>
      <c r="D198" s="31"/>
      <c r="E198" s="31"/>
      <c r="F198" s="31"/>
      <c r="G198" s="31"/>
      <c r="H198" s="31"/>
      <c r="I198" s="31"/>
      <c r="J198" s="31"/>
    </row>
    <row r="199" ht="15.75" customHeight="1">
      <c r="A199" s="31"/>
      <c r="B199" s="31"/>
      <c r="C199" s="31"/>
      <c r="D199" s="31"/>
      <c r="E199" s="31"/>
      <c r="F199" s="31"/>
      <c r="G199" s="31"/>
      <c r="H199" s="31"/>
      <c r="I199" s="31"/>
      <c r="J199" s="31"/>
    </row>
    <row r="200" ht="15.75" customHeight="1">
      <c r="A200" s="31"/>
      <c r="B200" s="31"/>
      <c r="C200" s="31"/>
      <c r="D200" s="31"/>
      <c r="E200" s="31"/>
      <c r="F200" s="31"/>
      <c r="G200" s="31"/>
      <c r="H200" s="31"/>
      <c r="I200" s="31"/>
      <c r="J200" s="31"/>
    </row>
    <row r="201" ht="15.75" customHeight="1">
      <c r="A201" s="31"/>
      <c r="B201" s="31"/>
      <c r="C201" s="31"/>
      <c r="D201" s="31"/>
      <c r="E201" s="31"/>
      <c r="F201" s="31"/>
      <c r="G201" s="31"/>
      <c r="H201" s="31"/>
      <c r="I201" s="31"/>
      <c r="J201" s="31"/>
    </row>
    <row r="202" ht="15.75" customHeight="1">
      <c r="A202" s="31"/>
      <c r="B202" s="31"/>
      <c r="C202" s="31"/>
      <c r="D202" s="31"/>
      <c r="E202" s="31"/>
      <c r="F202" s="31"/>
      <c r="G202" s="31"/>
      <c r="H202" s="31"/>
      <c r="I202" s="31"/>
      <c r="J202" s="31"/>
    </row>
    <row r="203" ht="15.75" customHeight="1">
      <c r="A203" s="31"/>
      <c r="B203" s="31"/>
      <c r="C203" s="31"/>
      <c r="D203" s="31"/>
      <c r="E203" s="31"/>
      <c r="F203" s="31"/>
      <c r="G203" s="31"/>
      <c r="H203" s="31"/>
      <c r="I203" s="31"/>
      <c r="J203" s="31"/>
    </row>
    <row r="204" ht="15.75" customHeight="1">
      <c r="A204" s="31"/>
      <c r="B204" s="31"/>
      <c r="C204" s="31"/>
      <c r="D204" s="31"/>
      <c r="E204" s="31"/>
      <c r="F204" s="31"/>
      <c r="G204" s="31"/>
      <c r="H204" s="31"/>
      <c r="I204" s="31"/>
      <c r="J204" s="31"/>
    </row>
    <row r="205" ht="15.75" customHeight="1">
      <c r="A205" s="31"/>
      <c r="B205" s="31"/>
      <c r="C205" s="31"/>
      <c r="D205" s="31"/>
      <c r="E205" s="31"/>
      <c r="F205" s="31"/>
      <c r="G205" s="31"/>
      <c r="H205" s="31"/>
      <c r="I205" s="31"/>
      <c r="J205" s="31"/>
    </row>
    <row r="206" ht="15.75" customHeight="1">
      <c r="A206" s="31"/>
      <c r="B206" s="31"/>
      <c r="C206" s="31"/>
      <c r="D206" s="31"/>
      <c r="E206" s="31"/>
      <c r="F206" s="31"/>
      <c r="G206" s="31"/>
      <c r="H206" s="31"/>
      <c r="I206" s="31"/>
      <c r="J206" s="31"/>
    </row>
    <row r="207" ht="15.75" customHeight="1">
      <c r="A207" s="31"/>
      <c r="B207" s="31"/>
      <c r="C207" s="31"/>
      <c r="D207" s="31"/>
      <c r="E207" s="31"/>
      <c r="F207" s="31"/>
      <c r="G207" s="31"/>
      <c r="H207" s="31"/>
      <c r="I207" s="31"/>
      <c r="J207" s="31"/>
    </row>
    <row r="208" ht="15.75" customHeight="1">
      <c r="A208" s="31"/>
      <c r="B208" s="31"/>
      <c r="C208" s="31"/>
      <c r="D208" s="31"/>
      <c r="E208" s="31"/>
      <c r="F208" s="31"/>
      <c r="G208" s="31"/>
      <c r="H208" s="31"/>
      <c r="I208" s="31"/>
      <c r="J208" s="31"/>
    </row>
    <row r="209" ht="15.75" customHeight="1">
      <c r="A209" s="31"/>
      <c r="B209" s="31"/>
      <c r="C209" s="31"/>
      <c r="D209" s="31"/>
      <c r="E209" s="31"/>
      <c r="F209" s="31"/>
      <c r="G209" s="31"/>
      <c r="H209" s="31"/>
      <c r="I209" s="31"/>
      <c r="J209" s="31"/>
    </row>
    <row r="210" ht="15.75" customHeight="1">
      <c r="A210" s="31"/>
      <c r="B210" s="31"/>
      <c r="C210" s="31"/>
      <c r="D210" s="31"/>
      <c r="E210" s="31"/>
      <c r="F210" s="31"/>
      <c r="G210" s="31"/>
      <c r="H210" s="31"/>
      <c r="I210" s="31"/>
      <c r="J210" s="31"/>
    </row>
    <row r="211" ht="15.75" customHeight="1">
      <c r="A211" s="31"/>
      <c r="B211" s="31"/>
      <c r="C211" s="31"/>
      <c r="D211" s="31"/>
      <c r="E211" s="31"/>
      <c r="F211" s="31"/>
      <c r="G211" s="31"/>
      <c r="H211" s="31"/>
      <c r="I211" s="31"/>
      <c r="J211" s="31"/>
    </row>
    <row r="212" ht="15.75" customHeight="1">
      <c r="A212" s="31"/>
      <c r="B212" s="31"/>
      <c r="C212" s="31"/>
      <c r="D212" s="31"/>
      <c r="E212" s="31"/>
      <c r="F212" s="31"/>
      <c r="G212" s="31"/>
      <c r="H212" s="31"/>
      <c r="I212" s="31"/>
      <c r="J212" s="31"/>
    </row>
    <row r="213" ht="15.75" customHeight="1">
      <c r="A213" s="31"/>
      <c r="B213" s="31"/>
      <c r="C213" s="31"/>
      <c r="D213" s="31"/>
      <c r="E213" s="31"/>
      <c r="F213" s="31"/>
      <c r="G213" s="31"/>
      <c r="H213" s="31"/>
      <c r="I213" s="31"/>
      <c r="J213" s="31"/>
    </row>
    <row r="214" ht="15.75" customHeight="1">
      <c r="A214" s="31"/>
      <c r="B214" s="31"/>
      <c r="C214" s="31"/>
      <c r="D214" s="31"/>
      <c r="E214" s="31"/>
      <c r="F214" s="31"/>
      <c r="G214" s="31"/>
      <c r="H214" s="31"/>
      <c r="I214" s="31"/>
      <c r="J214" s="31"/>
    </row>
    <row r="215" ht="15.75" customHeight="1">
      <c r="A215" s="31"/>
      <c r="B215" s="31"/>
      <c r="C215" s="31"/>
      <c r="D215" s="31"/>
      <c r="E215" s="31"/>
      <c r="F215" s="31"/>
      <c r="G215" s="31"/>
      <c r="H215" s="31"/>
      <c r="I215" s="31"/>
      <c r="J215" s="31"/>
    </row>
    <row r="216" ht="15.75" customHeight="1">
      <c r="A216" s="31"/>
      <c r="B216" s="31"/>
      <c r="C216" s="31"/>
      <c r="D216" s="31"/>
      <c r="E216" s="31"/>
      <c r="F216" s="31"/>
      <c r="G216" s="31"/>
      <c r="H216" s="31"/>
      <c r="I216" s="31"/>
      <c r="J216" s="31"/>
    </row>
    <row r="217" ht="15.75" customHeight="1">
      <c r="A217" s="31"/>
      <c r="B217" s="31"/>
      <c r="C217" s="31"/>
      <c r="D217" s="31"/>
      <c r="E217" s="31"/>
      <c r="F217" s="31"/>
      <c r="G217" s="31"/>
      <c r="H217" s="31"/>
      <c r="I217" s="31"/>
      <c r="J217" s="31"/>
    </row>
    <row r="218" ht="15.75" customHeight="1">
      <c r="A218" s="31"/>
      <c r="B218" s="31"/>
      <c r="C218" s="31"/>
      <c r="D218" s="31"/>
      <c r="E218" s="31"/>
      <c r="F218" s="31"/>
      <c r="G218" s="31"/>
      <c r="H218" s="31"/>
      <c r="I218" s="31"/>
      <c r="J218" s="31"/>
    </row>
    <row r="219" ht="15.75" customHeight="1">
      <c r="A219" s="31"/>
      <c r="B219" s="31"/>
      <c r="C219" s="31"/>
      <c r="D219" s="31"/>
      <c r="E219" s="31"/>
      <c r="F219" s="31"/>
      <c r="G219" s="31"/>
      <c r="H219" s="31"/>
      <c r="I219" s="31"/>
      <c r="J219" s="31"/>
    </row>
    <row r="220" ht="15.75" customHeight="1">
      <c r="A220" s="31"/>
      <c r="B220" s="31"/>
      <c r="C220" s="31"/>
      <c r="D220" s="31"/>
      <c r="E220" s="31"/>
      <c r="F220" s="31"/>
      <c r="G220" s="31"/>
      <c r="H220" s="31"/>
      <c r="I220" s="31"/>
      <c r="J220" s="3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sheetData>
  <autoFilter ref="$A$1:$K$16"/>
  <conditionalFormatting sqref="G2:G16">
    <cfRule type="cellIs" dxfId="0" priority="1" operator="equal">
      <formula>"Pass"</formula>
    </cfRule>
  </conditionalFormatting>
  <conditionalFormatting sqref="G2:G16">
    <cfRule type="cellIs" dxfId="1" priority="2" operator="equal">
      <formula>"Fail"</formula>
    </cfRule>
  </conditionalFormatting>
  <conditionalFormatting sqref="G2:G16">
    <cfRule type="cellIs" dxfId="2" priority="3" operator="equal">
      <formula>"Blocked"</formula>
    </cfRule>
  </conditionalFormatting>
  <conditionalFormatting sqref="G2:G16">
    <cfRule type="cellIs" dxfId="3" priority="4" operator="equal">
      <formula>"Retest"</formula>
    </cfRule>
  </conditionalFormatting>
  <conditionalFormatting sqref="G2:G16">
    <cfRule type="cellIs" dxfId="4" priority="5" operator="equal">
      <formula>"Not Run"</formula>
    </cfRule>
  </conditionalFormatting>
  <dataValidations>
    <dataValidation type="list" allowBlank="1" showErrorMessage="1" sqref="G2:G8 G11:G399">
      <formula1>"Pass,Fail,Blocked,Not Run,Retest"</formula1>
    </dataValidation>
    <dataValidation type="list" allowBlank="1" showErrorMessage="1" sqref="G9:G1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8:J8" ref="I8"/>
    <hyperlink r:id="rId8" location="gid=0&amp;range=A9:J9" ref="I9"/>
    <hyperlink r:id="rId9" location="gid=0&amp;range=A10:J10" ref="I10"/>
  </hyperlinks>
  <printOptions/>
  <pageMargins bottom="1.0" footer="0.0" header="0.0" left="0.75" right="0.75" top="1.0"/>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1" t="s">
        <v>0</v>
      </c>
      <c r="B1" s="1" t="s">
        <v>2</v>
      </c>
      <c r="C1" s="1" t="s">
        <v>3</v>
      </c>
      <c r="D1" s="1" t="s">
        <v>4</v>
      </c>
      <c r="E1" s="1" t="s">
        <v>5</v>
      </c>
      <c r="F1" s="1" t="s">
        <v>6</v>
      </c>
      <c r="G1" s="1" t="s">
        <v>7</v>
      </c>
      <c r="H1" s="1" t="s">
        <v>8</v>
      </c>
      <c r="I1" s="1" t="s">
        <v>9</v>
      </c>
      <c r="J1" s="1" t="s">
        <v>10</v>
      </c>
    </row>
    <row r="2" ht="45.75" customHeight="1">
      <c r="A2" s="2" t="s">
        <v>779</v>
      </c>
      <c r="B2" s="3" t="s">
        <v>781</v>
      </c>
      <c r="C2" s="3" t="s">
        <v>783</v>
      </c>
      <c r="D2" s="3" t="s">
        <v>802</v>
      </c>
      <c r="E2" s="3" t="s">
        <v>804</v>
      </c>
      <c r="F2" s="4">
        <v>46263.0</v>
      </c>
      <c r="G2" s="6" t="s">
        <v>26</v>
      </c>
      <c r="H2" s="42" t="s">
        <v>812</v>
      </c>
      <c r="I2" s="10" t="s">
        <v>842</v>
      </c>
      <c r="J2" s="44" t="s">
        <v>845</v>
      </c>
    </row>
    <row r="3" ht="57.0" customHeight="1">
      <c r="A3" s="11" t="s">
        <v>846</v>
      </c>
      <c r="B3" s="13" t="s">
        <v>847</v>
      </c>
      <c r="C3" s="13" t="s">
        <v>848</v>
      </c>
      <c r="D3" s="13" t="s">
        <v>849</v>
      </c>
      <c r="E3" s="13" t="s">
        <v>850</v>
      </c>
      <c r="F3" s="14">
        <v>46263.0</v>
      </c>
      <c r="G3" s="15" t="s">
        <v>26</v>
      </c>
      <c r="H3" s="13" t="s">
        <v>851</v>
      </c>
      <c r="I3" s="13" t="s">
        <v>852</v>
      </c>
      <c r="J3" s="13" t="s">
        <v>853</v>
      </c>
    </row>
    <row r="4" ht="45.75" customHeight="1">
      <c r="A4" s="2" t="s">
        <v>854</v>
      </c>
      <c r="B4" s="3" t="s">
        <v>855</v>
      </c>
      <c r="C4" s="3" t="s">
        <v>856</v>
      </c>
      <c r="D4" s="3" t="s">
        <v>857</v>
      </c>
      <c r="E4" s="3" t="s">
        <v>858</v>
      </c>
      <c r="F4" s="4">
        <v>46263.0</v>
      </c>
      <c r="G4" s="6" t="s">
        <v>26</v>
      </c>
      <c r="H4" s="3" t="s">
        <v>860</v>
      </c>
      <c r="I4" s="10" t="s">
        <v>861</v>
      </c>
      <c r="J4" s="3" t="s">
        <v>862</v>
      </c>
    </row>
    <row r="5" ht="45.75" customHeight="1">
      <c r="A5" s="11" t="s">
        <v>863</v>
      </c>
      <c r="B5" s="13" t="s">
        <v>865</v>
      </c>
      <c r="C5" s="13" t="s">
        <v>866</v>
      </c>
      <c r="D5" s="13" t="s">
        <v>867</v>
      </c>
      <c r="E5" s="13" t="s">
        <v>868</v>
      </c>
      <c r="F5" s="14">
        <v>46263.0</v>
      </c>
      <c r="G5" s="15" t="s">
        <v>26</v>
      </c>
      <c r="H5" s="13" t="s">
        <v>869</v>
      </c>
      <c r="I5" s="16" t="s">
        <v>870</v>
      </c>
      <c r="J5" s="13" t="s">
        <v>36</v>
      </c>
    </row>
    <row r="6" ht="57.0" customHeight="1">
      <c r="A6" s="2" t="s">
        <v>871</v>
      </c>
      <c r="B6" s="3" t="s">
        <v>688</v>
      </c>
      <c r="C6" s="3" t="s">
        <v>872</v>
      </c>
      <c r="D6" s="3" t="s">
        <v>873</v>
      </c>
      <c r="E6" s="3" t="s">
        <v>874</v>
      </c>
      <c r="F6" s="4">
        <v>46263.0</v>
      </c>
      <c r="G6" s="6" t="s">
        <v>26</v>
      </c>
      <c r="H6" s="44" t="s">
        <v>875</v>
      </c>
      <c r="I6" s="10" t="s">
        <v>876</v>
      </c>
      <c r="J6" s="3" t="s">
        <v>36</v>
      </c>
    </row>
    <row r="7" ht="68.25" customHeight="1">
      <c r="A7" s="11" t="s">
        <v>878</v>
      </c>
      <c r="B7" s="13" t="s">
        <v>688</v>
      </c>
      <c r="C7" s="13" t="s">
        <v>879</v>
      </c>
      <c r="D7" s="13" t="s">
        <v>881</v>
      </c>
      <c r="E7" s="13" t="s">
        <v>883</v>
      </c>
      <c r="F7" s="14">
        <v>46263.0</v>
      </c>
      <c r="G7" s="15" t="s">
        <v>26</v>
      </c>
      <c r="H7" s="13" t="s">
        <v>884</v>
      </c>
      <c r="I7" s="16" t="s">
        <v>885</v>
      </c>
      <c r="J7" s="13" t="s">
        <v>36</v>
      </c>
    </row>
    <row r="8" ht="57.0" customHeight="1">
      <c r="A8" s="2" t="s">
        <v>886</v>
      </c>
      <c r="B8" s="3" t="s">
        <v>887</v>
      </c>
      <c r="C8" s="3" t="s">
        <v>888</v>
      </c>
      <c r="D8" s="3" t="s">
        <v>889</v>
      </c>
      <c r="E8" s="3" t="s">
        <v>890</v>
      </c>
      <c r="F8" s="4">
        <v>46263.0</v>
      </c>
      <c r="G8" s="6" t="s">
        <v>26</v>
      </c>
      <c r="H8" s="3" t="s">
        <v>891</v>
      </c>
      <c r="I8" s="10" t="s">
        <v>892</v>
      </c>
      <c r="J8" s="3" t="s">
        <v>36</v>
      </c>
    </row>
    <row r="9" ht="68.25" customHeight="1">
      <c r="A9" s="11" t="s">
        <v>893</v>
      </c>
      <c r="B9" s="13" t="s">
        <v>887</v>
      </c>
      <c r="C9" s="13" t="s">
        <v>895</v>
      </c>
      <c r="D9" s="13" t="s">
        <v>896</v>
      </c>
      <c r="E9" s="13" t="s">
        <v>897</v>
      </c>
      <c r="F9" s="14">
        <v>46263.0</v>
      </c>
      <c r="G9" s="15" t="s">
        <v>26</v>
      </c>
      <c r="H9" s="13" t="s">
        <v>899</v>
      </c>
      <c r="I9" s="16" t="s">
        <v>900</v>
      </c>
      <c r="J9" s="13" t="s">
        <v>36</v>
      </c>
    </row>
    <row r="10" ht="45.75" customHeight="1">
      <c r="A10" s="2" t="s">
        <v>901</v>
      </c>
      <c r="B10" s="3" t="s">
        <v>903</v>
      </c>
      <c r="C10" s="3" t="s">
        <v>904</v>
      </c>
      <c r="D10" s="3" t="s">
        <v>905</v>
      </c>
      <c r="E10" s="3" t="s">
        <v>907</v>
      </c>
      <c r="F10" s="4">
        <v>46263.0</v>
      </c>
      <c r="G10" s="6" t="s">
        <v>26</v>
      </c>
      <c r="H10" s="3" t="s">
        <v>908</v>
      </c>
      <c r="I10" s="10" t="s">
        <v>910</v>
      </c>
      <c r="J10" s="3" t="s">
        <v>913</v>
      </c>
    </row>
    <row r="11" ht="57.0" customHeight="1">
      <c r="A11" s="11" t="s">
        <v>914</v>
      </c>
      <c r="B11" s="13" t="s">
        <v>903</v>
      </c>
      <c r="C11" s="13" t="s">
        <v>915</v>
      </c>
      <c r="D11" s="13" t="s">
        <v>916</v>
      </c>
      <c r="E11" s="13" t="s">
        <v>917</v>
      </c>
      <c r="F11" s="14">
        <v>46263.0</v>
      </c>
      <c r="G11" s="15" t="s">
        <v>26</v>
      </c>
      <c r="H11" s="13" t="s">
        <v>919</v>
      </c>
      <c r="I11" s="16" t="s">
        <v>921</v>
      </c>
      <c r="J11" s="13" t="s">
        <v>36</v>
      </c>
    </row>
    <row r="12" ht="68.25" customHeight="1">
      <c r="A12" s="2" t="s">
        <v>922</v>
      </c>
      <c r="B12" s="3" t="s">
        <v>923</v>
      </c>
      <c r="C12" s="3" t="s">
        <v>924</v>
      </c>
      <c r="D12" s="3" t="s">
        <v>926</v>
      </c>
      <c r="E12" s="3" t="s">
        <v>927</v>
      </c>
      <c r="F12" s="4">
        <v>46263.0</v>
      </c>
      <c r="G12" s="6" t="s">
        <v>26</v>
      </c>
      <c r="H12" s="3" t="s">
        <v>929</v>
      </c>
      <c r="I12" s="10" t="s">
        <v>930</v>
      </c>
      <c r="J12" s="3" t="s">
        <v>36</v>
      </c>
    </row>
    <row r="13">
      <c r="A13" s="11" t="s">
        <v>933</v>
      </c>
      <c r="B13" s="13" t="s">
        <v>923</v>
      </c>
      <c r="C13" s="13" t="s">
        <v>934</v>
      </c>
      <c r="D13" s="13" t="s">
        <v>935</v>
      </c>
      <c r="E13" s="13" t="s">
        <v>937</v>
      </c>
      <c r="F13" s="14">
        <v>46263.0</v>
      </c>
      <c r="G13" s="15" t="s">
        <v>26</v>
      </c>
      <c r="H13" s="13" t="s">
        <v>939</v>
      </c>
      <c r="I13" s="13" t="s">
        <v>940</v>
      </c>
      <c r="J13" s="13"/>
    </row>
    <row r="14" ht="79.5" customHeight="1">
      <c r="A14" s="2" t="s">
        <v>941</v>
      </c>
      <c r="B14" s="3" t="s">
        <v>923</v>
      </c>
      <c r="C14" s="3" t="s">
        <v>942</v>
      </c>
      <c r="D14" s="3" t="s">
        <v>944</v>
      </c>
      <c r="E14" s="3" t="s">
        <v>945</v>
      </c>
      <c r="F14" s="4">
        <v>46263.0</v>
      </c>
      <c r="G14" s="6" t="s">
        <v>26</v>
      </c>
      <c r="H14" s="3" t="s">
        <v>946</v>
      </c>
      <c r="I14" s="10" t="s">
        <v>947</v>
      </c>
      <c r="J14" s="3" t="s">
        <v>36</v>
      </c>
    </row>
    <row r="15" ht="68.25" customHeight="1">
      <c r="A15" s="11" t="s">
        <v>948</v>
      </c>
      <c r="B15" s="3" t="s">
        <v>949</v>
      </c>
      <c r="C15" s="3" t="s">
        <v>950</v>
      </c>
      <c r="D15" s="3" t="s">
        <v>951</v>
      </c>
      <c r="E15" s="3" t="s">
        <v>952</v>
      </c>
      <c r="F15" s="4">
        <v>46263.0</v>
      </c>
      <c r="G15" s="6" t="s">
        <v>26</v>
      </c>
      <c r="H15" s="3" t="s">
        <v>953</v>
      </c>
      <c r="I15" s="10" t="s">
        <v>954</v>
      </c>
      <c r="J15" s="3" t="s">
        <v>36</v>
      </c>
    </row>
    <row r="16" ht="68.25" customHeight="1">
      <c r="A16" s="2" t="s">
        <v>955</v>
      </c>
      <c r="B16" s="13" t="s">
        <v>956</v>
      </c>
      <c r="C16" s="13" t="s">
        <v>957</v>
      </c>
      <c r="D16" s="13" t="s">
        <v>958</v>
      </c>
      <c r="E16" s="13" t="s">
        <v>959</v>
      </c>
      <c r="F16" s="14">
        <v>46263.0</v>
      </c>
      <c r="G16" s="15" t="s">
        <v>26</v>
      </c>
      <c r="H16" s="13" t="s">
        <v>960</v>
      </c>
      <c r="I16" s="16" t="s">
        <v>961</v>
      </c>
      <c r="J16" s="13" t="s">
        <v>962</v>
      </c>
    </row>
    <row r="17">
      <c r="A17" s="31"/>
      <c r="B17" s="31"/>
      <c r="C17" s="31"/>
      <c r="D17" s="31"/>
      <c r="E17" s="31"/>
      <c r="F17" s="31"/>
      <c r="G17" s="31"/>
      <c r="H17" s="31"/>
      <c r="I17" s="31"/>
      <c r="J17" s="31"/>
    </row>
    <row r="18">
      <c r="A18" s="31"/>
      <c r="B18" s="31"/>
      <c r="C18" s="31"/>
      <c r="D18" s="31"/>
      <c r="E18" s="31"/>
      <c r="F18" s="31"/>
      <c r="G18" s="31"/>
      <c r="H18" s="31"/>
      <c r="I18" s="31"/>
      <c r="J18" s="31"/>
    </row>
    <row r="19">
      <c r="A19" s="31"/>
      <c r="B19" s="31"/>
      <c r="C19" s="31"/>
      <c r="D19" s="31"/>
      <c r="E19" s="31"/>
      <c r="F19" s="31"/>
      <c r="G19" s="31"/>
      <c r="H19" s="31"/>
      <c r="I19" s="31"/>
      <c r="J19" s="31"/>
    </row>
    <row r="20" ht="15.75" customHeight="1">
      <c r="A20" s="31"/>
      <c r="B20" s="31"/>
      <c r="C20" s="31"/>
      <c r="D20" s="31"/>
      <c r="E20" s="31"/>
      <c r="F20" s="31"/>
      <c r="G20" s="31"/>
      <c r="H20" s="31"/>
      <c r="I20" s="31"/>
      <c r="J20" s="31"/>
    </row>
    <row r="21" ht="15.75" customHeight="1">
      <c r="A21" s="31"/>
      <c r="B21" s="31"/>
      <c r="C21" s="31"/>
      <c r="D21" s="31"/>
      <c r="E21" s="31"/>
      <c r="F21" s="31"/>
      <c r="G21" s="31"/>
      <c r="H21" s="31"/>
      <c r="I21" s="31"/>
      <c r="J21" s="31"/>
    </row>
    <row r="22" ht="15.75" customHeight="1">
      <c r="A22" s="31"/>
      <c r="B22" s="31"/>
      <c r="C22" s="31"/>
      <c r="D22" s="31"/>
      <c r="E22" s="31"/>
      <c r="F22" s="31"/>
      <c r="G22" s="31"/>
      <c r="H22" s="31"/>
      <c r="I22" s="31"/>
      <c r="J22" s="31"/>
    </row>
    <row r="23" ht="15.75" customHeight="1">
      <c r="A23" s="31"/>
      <c r="B23" s="31"/>
      <c r="C23" s="31"/>
      <c r="D23" s="31"/>
      <c r="E23" s="31"/>
      <c r="F23" s="31"/>
      <c r="G23" s="31"/>
      <c r="H23" s="31"/>
      <c r="I23" s="31"/>
      <c r="J23" s="31"/>
    </row>
    <row r="24" ht="15.75" customHeight="1">
      <c r="A24" s="31"/>
      <c r="B24" s="31"/>
      <c r="C24" s="31"/>
      <c r="D24" s="31"/>
      <c r="E24" s="31"/>
      <c r="F24" s="31"/>
      <c r="G24" s="31"/>
      <c r="H24" s="31"/>
      <c r="I24" s="31"/>
      <c r="J24" s="31"/>
    </row>
    <row r="25" ht="15.75" customHeight="1">
      <c r="A25" s="31"/>
      <c r="B25" s="31"/>
      <c r="C25" s="31"/>
      <c r="D25" s="31"/>
      <c r="E25" s="31"/>
      <c r="F25" s="31"/>
      <c r="G25" s="31"/>
      <c r="H25" s="31"/>
      <c r="I25" s="31"/>
      <c r="J25" s="31"/>
    </row>
    <row r="26" ht="15.75" customHeight="1">
      <c r="A26" s="31"/>
      <c r="B26" s="31"/>
      <c r="C26" s="31"/>
      <c r="D26" s="31"/>
      <c r="E26" s="31"/>
      <c r="F26" s="31"/>
      <c r="G26" s="31"/>
      <c r="H26" s="31"/>
      <c r="I26" s="31"/>
      <c r="J26" s="31"/>
    </row>
    <row r="27" ht="15.75" customHeight="1">
      <c r="A27" s="31"/>
      <c r="B27" s="31"/>
      <c r="C27" s="31"/>
      <c r="D27" s="31"/>
      <c r="E27" s="31"/>
      <c r="F27" s="31"/>
      <c r="G27" s="31"/>
      <c r="H27" s="31"/>
      <c r="I27" s="31"/>
      <c r="J27" s="31"/>
    </row>
    <row r="28" ht="15.75" customHeight="1">
      <c r="A28" s="31"/>
      <c r="B28" s="31"/>
      <c r="C28" s="31"/>
      <c r="D28" s="31"/>
      <c r="E28" s="31"/>
      <c r="F28" s="31"/>
      <c r="G28" s="31"/>
      <c r="H28" s="31"/>
      <c r="I28" s="31"/>
      <c r="J28" s="31"/>
    </row>
    <row r="29" ht="15.75" customHeight="1">
      <c r="A29" s="31"/>
      <c r="B29" s="31"/>
      <c r="C29" s="31"/>
      <c r="D29" s="31"/>
      <c r="E29" s="31"/>
      <c r="F29" s="31"/>
      <c r="G29" s="31"/>
      <c r="H29" s="31"/>
      <c r="I29" s="31"/>
      <c r="J29" s="31"/>
    </row>
    <row r="30" ht="15.75" customHeight="1">
      <c r="A30" s="31"/>
      <c r="B30" s="31"/>
      <c r="C30" s="31"/>
      <c r="D30" s="31"/>
      <c r="E30" s="31"/>
      <c r="F30" s="31"/>
      <c r="G30" s="31"/>
      <c r="H30" s="31"/>
      <c r="I30" s="31"/>
      <c r="J30" s="31"/>
    </row>
    <row r="31" ht="15.75" customHeight="1">
      <c r="A31" s="31"/>
      <c r="B31" s="31"/>
      <c r="C31" s="31"/>
      <c r="D31" s="31"/>
      <c r="E31" s="31"/>
      <c r="F31" s="31"/>
      <c r="G31" s="31"/>
      <c r="H31" s="31"/>
      <c r="I31" s="31"/>
      <c r="J31" s="31"/>
    </row>
    <row r="32" ht="15.75" customHeight="1">
      <c r="A32" s="31"/>
      <c r="B32" s="31"/>
      <c r="C32" s="31"/>
      <c r="D32" s="31"/>
      <c r="E32" s="31"/>
      <c r="F32" s="31"/>
      <c r="G32" s="31"/>
      <c r="H32" s="31"/>
      <c r="I32" s="31"/>
      <c r="J32" s="31"/>
    </row>
    <row r="33" ht="15.75" customHeight="1">
      <c r="A33" s="31"/>
      <c r="B33" s="31"/>
      <c r="C33" s="31"/>
      <c r="D33" s="31"/>
      <c r="E33" s="31"/>
      <c r="F33" s="31"/>
      <c r="G33" s="31"/>
      <c r="H33" s="31"/>
      <c r="I33" s="31"/>
      <c r="J33" s="31"/>
    </row>
    <row r="34" ht="15.75" customHeight="1">
      <c r="A34" s="31"/>
      <c r="B34" s="31"/>
      <c r="C34" s="31"/>
      <c r="D34" s="31"/>
      <c r="E34" s="31"/>
      <c r="F34" s="31"/>
      <c r="G34" s="31"/>
      <c r="H34" s="31"/>
      <c r="I34" s="31"/>
      <c r="J34" s="31"/>
    </row>
    <row r="35" ht="15.75" customHeight="1">
      <c r="A35" s="31"/>
      <c r="B35" s="31"/>
      <c r="C35" s="31"/>
      <c r="D35" s="31"/>
      <c r="E35" s="31"/>
      <c r="F35" s="31"/>
      <c r="G35" s="31"/>
      <c r="H35" s="31"/>
      <c r="I35" s="31"/>
      <c r="J35" s="31"/>
    </row>
    <row r="36" ht="15.75" customHeight="1">
      <c r="A36" s="31"/>
      <c r="B36" s="31"/>
      <c r="C36" s="31"/>
      <c r="D36" s="31"/>
      <c r="E36" s="31"/>
      <c r="F36" s="31"/>
      <c r="G36" s="31"/>
      <c r="H36" s="31"/>
      <c r="I36" s="31"/>
      <c r="J36" s="31"/>
    </row>
    <row r="37" ht="15.75" customHeight="1">
      <c r="A37" s="31"/>
      <c r="B37" s="31"/>
      <c r="C37" s="31"/>
      <c r="D37" s="31"/>
      <c r="E37" s="31"/>
      <c r="F37" s="31"/>
      <c r="G37" s="31"/>
      <c r="H37" s="31"/>
      <c r="I37" s="31"/>
      <c r="J37" s="31"/>
    </row>
    <row r="38" ht="15.75" customHeight="1">
      <c r="A38" s="31"/>
      <c r="B38" s="31"/>
      <c r="C38" s="31"/>
      <c r="D38" s="31"/>
      <c r="E38" s="31"/>
      <c r="F38" s="31"/>
      <c r="G38" s="31"/>
      <c r="H38" s="31"/>
      <c r="I38" s="31"/>
      <c r="J38" s="31"/>
    </row>
    <row r="39" ht="15.75" customHeight="1">
      <c r="A39" s="31"/>
      <c r="B39" s="31"/>
      <c r="C39" s="31"/>
      <c r="D39" s="31"/>
      <c r="E39" s="31"/>
      <c r="F39" s="31"/>
      <c r="G39" s="31"/>
      <c r="H39" s="31"/>
      <c r="I39" s="31"/>
      <c r="J39" s="31"/>
    </row>
    <row r="40" ht="15.75" customHeight="1">
      <c r="A40" s="31"/>
      <c r="B40" s="31"/>
      <c r="C40" s="31"/>
      <c r="D40" s="31"/>
      <c r="E40" s="31"/>
      <c r="F40" s="31"/>
      <c r="G40" s="31"/>
      <c r="H40" s="31"/>
      <c r="I40" s="31"/>
      <c r="J40" s="31"/>
    </row>
    <row r="41" ht="15.75" customHeight="1">
      <c r="A41" s="31"/>
      <c r="B41" s="31"/>
      <c r="C41" s="31"/>
      <c r="D41" s="31"/>
      <c r="E41" s="31"/>
      <c r="F41" s="31"/>
      <c r="G41" s="31"/>
      <c r="H41" s="31"/>
      <c r="I41" s="31"/>
      <c r="J41" s="31"/>
    </row>
    <row r="42" ht="15.75" customHeight="1">
      <c r="A42" s="31"/>
      <c r="B42" s="31"/>
      <c r="C42" s="31"/>
      <c r="D42" s="31"/>
      <c r="E42" s="31"/>
      <c r="F42" s="31"/>
      <c r="G42" s="31"/>
      <c r="H42" s="31"/>
      <c r="I42" s="31"/>
      <c r="J42" s="31"/>
    </row>
    <row r="43" ht="15.75" customHeight="1">
      <c r="A43" s="31"/>
      <c r="B43" s="31"/>
      <c r="C43" s="31"/>
      <c r="D43" s="31"/>
      <c r="E43" s="31"/>
      <c r="F43" s="31"/>
      <c r="G43" s="31"/>
      <c r="H43" s="31"/>
      <c r="I43" s="31"/>
      <c r="J43" s="31"/>
    </row>
    <row r="44" ht="15.75" customHeight="1">
      <c r="A44" s="31"/>
      <c r="B44" s="31"/>
      <c r="C44" s="31"/>
      <c r="D44" s="31"/>
      <c r="E44" s="31"/>
      <c r="F44" s="31"/>
      <c r="G44" s="31"/>
      <c r="H44" s="31"/>
      <c r="I44" s="31"/>
      <c r="J44" s="31"/>
    </row>
    <row r="45" ht="15.75" customHeight="1">
      <c r="A45" s="31"/>
      <c r="B45" s="31"/>
      <c r="C45" s="31"/>
      <c r="D45" s="31"/>
      <c r="E45" s="31"/>
      <c r="F45" s="31"/>
      <c r="G45" s="31"/>
      <c r="H45" s="31"/>
      <c r="I45" s="31"/>
      <c r="J45" s="31"/>
    </row>
    <row r="46" ht="15.75" customHeight="1">
      <c r="A46" s="31"/>
      <c r="B46" s="31"/>
      <c r="C46" s="31"/>
      <c r="D46" s="31"/>
      <c r="E46" s="31"/>
      <c r="F46" s="31"/>
      <c r="G46" s="31"/>
      <c r="H46" s="31"/>
      <c r="I46" s="31"/>
      <c r="J46" s="31"/>
    </row>
    <row r="47" ht="15.75" customHeight="1">
      <c r="A47" s="31"/>
      <c r="B47" s="31"/>
      <c r="C47" s="31"/>
      <c r="D47" s="31"/>
      <c r="E47" s="31"/>
      <c r="F47" s="31"/>
      <c r="G47" s="31"/>
      <c r="H47" s="31"/>
      <c r="I47" s="31"/>
      <c r="J47" s="31"/>
    </row>
    <row r="48" ht="15.75" customHeight="1">
      <c r="A48" s="31"/>
      <c r="B48" s="31"/>
      <c r="C48" s="31"/>
      <c r="D48" s="31"/>
      <c r="E48" s="31"/>
      <c r="F48" s="31"/>
      <c r="G48" s="31"/>
      <c r="H48" s="31"/>
      <c r="I48" s="31"/>
      <c r="J48" s="31"/>
    </row>
    <row r="49" ht="15.75" customHeight="1">
      <c r="A49" s="31"/>
      <c r="B49" s="31"/>
      <c r="C49" s="31"/>
      <c r="D49" s="31"/>
      <c r="E49" s="31"/>
      <c r="F49" s="31"/>
      <c r="G49" s="31"/>
      <c r="H49" s="31"/>
      <c r="I49" s="31"/>
      <c r="J49" s="31"/>
    </row>
    <row r="50" ht="15.75" customHeight="1">
      <c r="A50" s="31"/>
      <c r="B50" s="31"/>
      <c r="C50" s="31"/>
      <c r="D50" s="31"/>
      <c r="E50" s="31"/>
      <c r="F50" s="31"/>
      <c r="G50" s="31"/>
      <c r="H50" s="31"/>
      <c r="I50" s="31"/>
      <c r="J50" s="31"/>
    </row>
    <row r="51" ht="15.75" customHeight="1">
      <c r="A51" s="31"/>
      <c r="B51" s="31"/>
      <c r="C51" s="31"/>
      <c r="D51" s="31"/>
      <c r="E51" s="31"/>
      <c r="F51" s="31"/>
      <c r="G51" s="31"/>
      <c r="H51" s="31"/>
      <c r="I51" s="31"/>
      <c r="J51" s="31"/>
    </row>
    <row r="52" ht="15.75" customHeight="1">
      <c r="A52" s="31"/>
      <c r="B52" s="31"/>
      <c r="C52" s="31"/>
      <c r="D52" s="31"/>
      <c r="E52" s="31"/>
      <c r="F52" s="31"/>
      <c r="G52" s="31"/>
      <c r="H52" s="31"/>
      <c r="I52" s="31"/>
      <c r="J52" s="31"/>
    </row>
    <row r="53" ht="15.75" customHeight="1">
      <c r="A53" s="31"/>
      <c r="B53" s="31"/>
      <c r="C53" s="31"/>
      <c r="D53" s="31"/>
      <c r="E53" s="31"/>
      <c r="F53" s="31"/>
      <c r="G53" s="31"/>
      <c r="H53" s="31"/>
      <c r="I53" s="31"/>
      <c r="J53" s="31"/>
    </row>
    <row r="54" ht="15.75" customHeight="1">
      <c r="A54" s="31"/>
      <c r="B54" s="31"/>
      <c r="C54" s="31"/>
      <c r="D54" s="31"/>
      <c r="E54" s="31"/>
      <c r="F54" s="31"/>
      <c r="G54" s="31"/>
      <c r="H54" s="31"/>
      <c r="I54" s="31"/>
      <c r="J54" s="31"/>
    </row>
    <row r="55" ht="15.75" customHeight="1">
      <c r="A55" s="31"/>
      <c r="B55" s="31"/>
      <c r="C55" s="31"/>
      <c r="D55" s="31"/>
      <c r="E55" s="31"/>
      <c r="F55" s="31"/>
      <c r="G55" s="31"/>
      <c r="H55" s="31"/>
      <c r="I55" s="31"/>
      <c r="J55" s="31"/>
    </row>
    <row r="56" ht="15.75" customHeight="1">
      <c r="A56" s="31"/>
      <c r="B56" s="31"/>
      <c r="C56" s="31"/>
      <c r="D56" s="31"/>
      <c r="E56" s="31"/>
      <c r="F56" s="31"/>
      <c r="G56" s="31"/>
      <c r="H56" s="31"/>
      <c r="I56" s="31"/>
      <c r="J56" s="31"/>
    </row>
    <row r="57" ht="15.75" customHeight="1">
      <c r="A57" s="31"/>
      <c r="B57" s="31"/>
      <c r="C57" s="31"/>
      <c r="D57" s="31"/>
      <c r="E57" s="31"/>
      <c r="F57" s="31"/>
      <c r="G57" s="31"/>
      <c r="H57" s="31"/>
      <c r="I57" s="31"/>
      <c r="J57" s="31"/>
    </row>
    <row r="58" ht="15.75" customHeight="1">
      <c r="A58" s="31"/>
      <c r="B58" s="31"/>
      <c r="C58" s="31"/>
      <c r="D58" s="31"/>
      <c r="E58" s="31"/>
      <c r="F58" s="31"/>
      <c r="G58" s="31"/>
      <c r="H58" s="31"/>
      <c r="I58" s="31"/>
      <c r="J58" s="31"/>
    </row>
    <row r="59" ht="15.75" customHeight="1">
      <c r="A59" s="31"/>
      <c r="B59" s="31"/>
      <c r="C59" s="31"/>
      <c r="D59" s="31"/>
      <c r="E59" s="31"/>
      <c r="F59" s="31"/>
      <c r="G59" s="31"/>
      <c r="H59" s="31"/>
      <c r="I59" s="31"/>
      <c r="J59" s="31"/>
    </row>
    <row r="60" ht="15.75" customHeight="1">
      <c r="A60" s="31"/>
      <c r="B60" s="31"/>
      <c r="C60" s="31"/>
      <c r="D60" s="31"/>
      <c r="E60" s="31"/>
      <c r="F60" s="31"/>
      <c r="G60" s="31"/>
      <c r="H60" s="31"/>
      <c r="I60" s="31"/>
      <c r="J60" s="31"/>
    </row>
    <row r="61" ht="15.75" customHeight="1">
      <c r="A61" s="31"/>
      <c r="B61" s="31"/>
      <c r="C61" s="31"/>
      <c r="D61" s="31"/>
      <c r="E61" s="31"/>
      <c r="F61" s="31"/>
      <c r="G61" s="31"/>
      <c r="H61" s="31"/>
      <c r="I61" s="31"/>
      <c r="J61" s="31"/>
    </row>
    <row r="62" ht="15.75" customHeight="1">
      <c r="A62" s="31"/>
      <c r="B62" s="31"/>
      <c r="C62" s="31"/>
      <c r="D62" s="31"/>
      <c r="E62" s="31"/>
      <c r="F62" s="31"/>
      <c r="G62" s="31"/>
      <c r="H62" s="31"/>
      <c r="I62" s="31"/>
      <c r="J62" s="31"/>
    </row>
    <row r="63" ht="15.75" customHeight="1">
      <c r="A63" s="31"/>
      <c r="B63" s="31"/>
      <c r="C63" s="31"/>
      <c r="D63" s="31"/>
      <c r="E63" s="31"/>
      <c r="F63" s="31"/>
      <c r="G63" s="31"/>
      <c r="H63" s="31"/>
      <c r="I63" s="31"/>
      <c r="J63" s="31"/>
    </row>
    <row r="64" ht="15.75" customHeight="1">
      <c r="A64" s="31"/>
      <c r="B64" s="31"/>
      <c r="C64" s="31"/>
      <c r="D64" s="31"/>
      <c r="E64" s="31"/>
      <c r="F64" s="31"/>
      <c r="G64" s="31"/>
      <c r="H64" s="31"/>
      <c r="I64" s="31"/>
      <c r="J64" s="31"/>
    </row>
    <row r="65" ht="15.75" customHeight="1">
      <c r="A65" s="31"/>
      <c r="B65" s="31"/>
      <c r="C65" s="31"/>
      <c r="D65" s="31"/>
      <c r="E65" s="31"/>
      <c r="F65" s="31"/>
      <c r="G65" s="31"/>
      <c r="H65" s="31"/>
      <c r="I65" s="31"/>
      <c r="J65" s="31"/>
    </row>
    <row r="66" ht="15.75" customHeight="1">
      <c r="A66" s="31"/>
      <c r="B66" s="31"/>
      <c r="C66" s="31"/>
      <c r="D66" s="31"/>
      <c r="E66" s="31"/>
      <c r="F66" s="31"/>
      <c r="G66" s="31"/>
      <c r="H66" s="31"/>
      <c r="I66" s="31"/>
      <c r="J66" s="31"/>
    </row>
    <row r="67" ht="15.75" customHeight="1">
      <c r="A67" s="31"/>
      <c r="B67" s="31"/>
      <c r="C67" s="31"/>
      <c r="D67" s="31"/>
      <c r="E67" s="31"/>
      <c r="F67" s="31"/>
      <c r="G67" s="31"/>
      <c r="H67" s="31"/>
      <c r="I67" s="31"/>
      <c r="J67" s="31"/>
    </row>
    <row r="68" ht="15.75" customHeight="1">
      <c r="A68" s="31"/>
      <c r="B68" s="31"/>
      <c r="C68" s="31"/>
      <c r="D68" s="31"/>
      <c r="E68" s="31"/>
      <c r="F68" s="31"/>
      <c r="G68" s="31"/>
      <c r="H68" s="31"/>
      <c r="I68" s="31"/>
      <c r="J68" s="31"/>
    </row>
    <row r="69" ht="15.75" customHeight="1">
      <c r="A69" s="31"/>
      <c r="B69" s="31"/>
      <c r="C69" s="31"/>
      <c r="D69" s="31"/>
      <c r="E69" s="31"/>
      <c r="F69" s="31"/>
      <c r="G69" s="31"/>
      <c r="H69" s="31"/>
      <c r="I69" s="31"/>
      <c r="J69" s="31"/>
    </row>
    <row r="70" ht="15.75" customHeight="1">
      <c r="A70" s="31"/>
      <c r="B70" s="31"/>
      <c r="C70" s="31"/>
      <c r="D70" s="31"/>
      <c r="E70" s="31"/>
      <c r="F70" s="31"/>
      <c r="G70" s="31"/>
      <c r="H70" s="31"/>
      <c r="I70" s="31"/>
      <c r="J70" s="31"/>
    </row>
    <row r="71" ht="15.75" customHeight="1">
      <c r="A71" s="31"/>
      <c r="B71" s="31"/>
      <c r="C71" s="31"/>
      <c r="D71" s="31"/>
      <c r="E71" s="31"/>
      <c r="F71" s="31"/>
      <c r="G71" s="31"/>
      <c r="H71" s="31"/>
      <c r="I71" s="31"/>
      <c r="J71" s="31"/>
    </row>
    <row r="72" ht="15.75" customHeight="1">
      <c r="A72" s="31"/>
      <c r="B72" s="31"/>
      <c r="C72" s="31"/>
      <c r="D72" s="31"/>
      <c r="E72" s="31"/>
      <c r="F72" s="31"/>
      <c r="G72" s="31"/>
      <c r="H72" s="31"/>
      <c r="I72" s="31"/>
      <c r="J72" s="31"/>
    </row>
    <row r="73" ht="15.75" customHeight="1">
      <c r="A73" s="31"/>
      <c r="B73" s="31"/>
      <c r="C73" s="31"/>
      <c r="D73" s="31"/>
      <c r="E73" s="31"/>
      <c r="F73" s="31"/>
      <c r="G73" s="31"/>
      <c r="H73" s="31"/>
      <c r="I73" s="31"/>
      <c r="J73" s="31"/>
    </row>
    <row r="74" ht="15.75" customHeight="1">
      <c r="A74" s="31"/>
      <c r="B74" s="31"/>
      <c r="C74" s="31"/>
      <c r="D74" s="31"/>
      <c r="E74" s="31"/>
      <c r="F74" s="31"/>
      <c r="G74" s="31"/>
      <c r="H74" s="31"/>
      <c r="I74" s="31"/>
      <c r="J74" s="31"/>
    </row>
    <row r="75" ht="15.75" customHeight="1">
      <c r="A75" s="31"/>
      <c r="B75" s="31"/>
      <c r="C75" s="31"/>
      <c r="D75" s="31"/>
      <c r="E75" s="31"/>
      <c r="F75" s="31"/>
      <c r="G75" s="31"/>
      <c r="H75" s="31"/>
      <c r="I75" s="31"/>
      <c r="J75" s="31"/>
    </row>
    <row r="76" ht="15.75" customHeight="1">
      <c r="A76" s="31"/>
      <c r="B76" s="31"/>
      <c r="C76" s="31"/>
      <c r="D76" s="31"/>
      <c r="E76" s="31"/>
      <c r="F76" s="31"/>
      <c r="G76" s="31"/>
      <c r="H76" s="31"/>
      <c r="I76" s="31"/>
      <c r="J76" s="31"/>
    </row>
    <row r="77" ht="15.75" customHeight="1">
      <c r="A77" s="31"/>
      <c r="B77" s="31"/>
      <c r="C77" s="31"/>
      <c r="D77" s="31"/>
      <c r="E77" s="31"/>
      <c r="F77" s="31"/>
      <c r="G77" s="31"/>
      <c r="H77" s="31"/>
      <c r="I77" s="31"/>
      <c r="J77" s="31"/>
    </row>
    <row r="78" ht="15.75" customHeight="1">
      <c r="A78" s="31"/>
      <c r="B78" s="31"/>
      <c r="C78" s="31"/>
      <c r="D78" s="31"/>
      <c r="E78" s="31"/>
      <c r="F78" s="31"/>
      <c r="G78" s="31"/>
      <c r="H78" s="31"/>
      <c r="I78" s="31"/>
      <c r="J78" s="31"/>
    </row>
    <row r="79" ht="15.75" customHeight="1">
      <c r="A79" s="31"/>
      <c r="B79" s="31"/>
      <c r="C79" s="31"/>
      <c r="D79" s="31"/>
      <c r="E79" s="31"/>
      <c r="F79" s="31"/>
      <c r="G79" s="31"/>
      <c r="H79" s="31"/>
      <c r="I79" s="31"/>
      <c r="J79" s="31"/>
    </row>
    <row r="80" ht="15.75" customHeight="1">
      <c r="A80" s="31"/>
      <c r="B80" s="31"/>
      <c r="C80" s="31"/>
      <c r="D80" s="31"/>
      <c r="E80" s="31"/>
      <c r="F80" s="31"/>
      <c r="G80" s="31"/>
      <c r="H80" s="31"/>
      <c r="I80" s="31"/>
      <c r="J80" s="31"/>
    </row>
    <row r="81" ht="15.75" customHeight="1">
      <c r="A81" s="31"/>
      <c r="B81" s="31"/>
      <c r="C81" s="31"/>
      <c r="D81" s="31"/>
      <c r="E81" s="31"/>
      <c r="F81" s="31"/>
      <c r="G81" s="31"/>
      <c r="H81" s="31"/>
      <c r="I81" s="31"/>
      <c r="J81" s="31"/>
    </row>
    <row r="82" ht="15.75" customHeight="1">
      <c r="A82" s="31"/>
      <c r="B82" s="31"/>
      <c r="C82" s="31"/>
      <c r="D82" s="31"/>
      <c r="E82" s="31"/>
      <c r="F82" s="31"/>
      <c r="G82" s="31"/>
      <c r="H82" s="31"/>
      <c r="I82" s="31"/>
      <c r="J82" s="31"/>
    </row>
    <row r="83" ht="15.75" customHeight="1">
      <c r="A83" s="31"/>
      <c r="B83" s="31"/>
      <c r="C83" s="31"/>
      <c r="D83" s="31"/>
      <c r="E83" s="31"/>
      <c r="F83" s="31"/>
      <c r="G83" s="31"/>
      <c r="H83" s="31"/>
      <c r="I83" s="31"/>
      <c r="J83" s="31"/>
    </row>
    <row r="84" ht="15.75" customHeight="1">
      <c r="A84" s="31"/>
      <c r="B84" s="31"/>
      <c r="C84" s="31"/>
      <c r="D84" s="31"/>
      <c r="E84" s="31"/>
      <c r="F84" s="31"/>
      <c r="G84" s="31"/>
      <c r="H84" s="31"/>
      <c r="I84" s="31"/>
      <c r="J84" s="31"/>
    </row>
    <row r="85" ht="15.75" customHeight="1">
      <c r="A85" s="31"/>
      <c r="B85" s="31"/>
      <c r="C85" s="31"/>
      <c r="D85" s="31"/>
      <c r="E85" s="31"/>
      <c r="F85" s="31"/>
      <c r="G85" s="31"/>
      <c r="H85" s="31"/>
      <c r="I85" s="31"/>
      <c r="J85" s="31"/>
    </row>
    <row r="86" ht="15.75" customHeight="1">
      <c r="A86" s="31"/>
      <c r="B86" s="31"/>
      <c r="C86" s="31"/>
      <c r="D86" s="31"/>
      <c r="E86" s="31"/>
      <c r="F86" s="31"/>
      <c r="G86" s="31"/>
      <c r="H86" s="31"/>
      <c r="I86" s="31"/>
      <c r="J86" s="31"/>
    </row>
    <row r="87" ht="15.75" customHeight="1">
      <c r="A87" s="31"/>
      <c r="B87" s="31"/>
      <c r="C87" s="31"/>
      <c r="D87" s="31"/>
      <c r="E87" s="31"/>
      <c r="F87" s="31"/>
      <c r="G87" s="31"/>
      <c r="H87" s="31"/>
      <c r="I87" s="31"/>
      <c r="J87" s="31"/>
    </row>
    <row r="88" ht="15.75" customHeight="1">
      <c r="A88" s="31"/>
      <c r="B88" s="31"/>
      <c r="C88" s="31"/>
      <c r="D88" s="31"/>
      <c r="E88" s="31"/>
      <c r="F88" s="31"/>
      <c r="G88" s="31"/>
      <c r="H88" s="31"/>
      <c r="I88" s="31"/>
      <c r="J88" s="31"/>
    </row>
    <row r="89" ht="15.75" customHeight="1">
      <c r="A89" s="31"/>
      <c r="B89" s="31"/>
      <c r="C89" s="31"/>
      <c r="D89" s="31"/>
      <c r="E89" s="31"/>
      <c r="F89" s="31"/>
      <c r="G89" s="31"/>
      <c r="H89" s="31"/>
      <c r="I89" s="31"/>
      <c r="J89" s="31"/>
    </row>
    <row r="90" ht="15.75" customHeight="1">
      <c r="A90" s="31"/>
      <c r="B90" s="31"/>
      <c r="C90" s="31"/>
      <c r="D90" s="31"/>
      <c r="E90" s="31"/>
      <c r="F90" s="31"/>
      <c r="G90" s="31"/>
      <c r="H90" s="31"/>
      <c r="I90" s="31"/>
      <c r="J90" s="31"/>
    </row>
    <row r="91" ht="15.75" customHeight="1">
      <c r="A91" s="31"/>
      <c r="B91" s="31"/>
      <c r="C91" s="31"/>
      <c r="D91" s="31"/>
      <c r="E91" s="31"/>
      <c r="F91" s="31"/>
      <c r="G91" s="31"/>
      <c r="H91" s="31"/>
      <c r="I91" s="31"/>
      <c r="J91" s="31"/>
    </row>
    <row r="92" ht="15.75" customHeight="1">
      <c r="A92" s="31"/>
      <c r="B92" s="31"/>
      <c r="C92" s="31"/>
      <c r="D92" s="31"/>
      <c r="E92" s="31"/>
      <c r="F92" s="31"/>
      <c r="G92" s="31"/>
      <c r="H92" s="31"/>
      <c r="I92" s="31"/>
      <c r="J92" s="31"/>
    </row>
    <row r="93" ht="15.75" customHeight="1">
      <c r="A93" s="31"/>
      <c r="B93" s="31"/>
      <c r="C93" s="31"/>
      <c r="D93" s="31"/>
      <c r="E93" s="31"/>
      <c r="F93" s="31"/>
      <c r="G93" s="31"/>
      <c r="H93" s="31"/>
      <c r="I93" s="31"/>
      <c r="J93" s="31"/>
    </row>
    <row r="94" ht="15.75" customHeight="1">
      <c r="A94" s="31"/>
      <c r="B94" s="31"/>
      <c r="C94" s="31"/>
      <c r="D94" s="31"/>
      <c r="E94" s="31"/>
      <c r="F94" s="31"/>
      <c r="G94" s="31"/>
      <c r="H94" s="31"/>
      <c r="I94" s="31"/>
      <c r="J94" s="31"/>
    </row>
    <row r="95" ht="15.75" customHeight="1">
      <c r="A95" s="31"/>
      <c r="B95" s="31"/>
      <c r="C95" s="31"/>
      <c r="D95" s="31"/>
      <c r="E95" s="31"/>
      <c r="F95" s="31"/>
      <c r="G95" s="31"/>
      <c r="H95" s="31"/>
      <c r="I95" s="31"/>
      <c r="J95" s="31"/>
    </row>
    <row r="96" ht="15.75" customHeight="1">
      <c r="A96" s="31"/>
      <c r="B96" s="31"/>
      <c r="C96" s="31"/>
      <c r="D96" s="31"/>
      <c r="E96" s="31"/>
      <c r="F96" s="31"/>
      <c r="G96" s="31"/>
      <c r="H96" s="31"/>
      <c r="I96" s="31"/>
      <c r="J96" s="31"/>
    </row>
    <row r="97" ht="15.75" customHeight="1">
      <c r="A97" s="31"/>
      <c r="B97" s="31"/>
      <c r="C97" s="31"/>
      <c r="D97" s="31"/>
      <c r="E97" s="31"/>
      <c r="F97" s="31"/>
      <c r="G97" s="31"/>
      <c r="H97" s="31"/>
      <c r="I97" s="31"/>
      <c r="J97" s="31"/>
    </row>
    <row r="98" ht="15.75" customHeight="1">
      <c r="A98" s="31"/>
      <c r="B98" s="31"/>
      <c r="C98" s="31"/>
      <c r="D98" s="31"/>
      <c r="E98" s="31"/>
      <c r="F98" s="31"/>
      <c r="G98" s="31"/>
      <c r="H98" s="31"/>
      <c r="I98" s="31"/>
      <c r="J98" s="31"/>
    </row>
    <row r="99" ht="15.75" customHeight="1">
      <c r="A99" s="31"/>
      <c r="B99" s="31"/>
      <c r="C99" s="31"/>
      <c r="D99" s="31"/>
      <c r="E99" s="31"/>
      <c r="F99" s="31"/>
      <c r="G99" s="31"/>
      <c r="H99" s="31"/>
      <c r="I99" s="31"/>
      <c r="J99" s="31"/>
    </row>
    <row r="100" ht="15.75" customHeight="1">
      <c r="A100" s="31"/>
      <c r="B100" s="31"/>
      <c r="C100" s="31"/>
      <c r="D100" s="31"/>
      <c r="E100" s="31"/>
      <c r="F100" s="31"/>
      <c r="G100" s="31"/>
      <c r="H100" s="31"/>
      <c r="I100" s="31"/>
      <c r="J100" s="31"/>
    </row>
    <row r="101" ht="15.75" customHeight="1">
      <c r="A101" s="31"/>
      <c r="B101" s="31"/>
      <c r="C101" s="31"/>
      <c r="D101" s="31"/>
      <c r="E101" s="31"/>
      <c r="F101" s="31"/>
      <c r="G101" s="31"/>
      <c r="H101" s="31"/>
      <c r="I101" s="31"/>
      <c r="J101" s="31"/>
    </row>
    <row r="102" ht="15.75" customHeight="1">
      <c r="A102" s="31"/>
      <c r="B102" s="31"/>
      <c r="C102" s="31"/>
      <c r="D102" s="31"/>
      <c r="E102" s="31"/>
      <c r="F102" s="31"/>
      <c r="G102" s="31"/>
      <c r="H102" s="31"/>
      <c r="I102" s="31"/>
      <c r="J102" s="31"/>
    </row>
    <row r="103" ht="15.75" customHeight="1">
      <c r="A103" s="31"/>
      <c r="B103" s="31"/>
      <c r="C103" s="31"/>
      <c r="D103" s="31"/>
      <c r="E103" s="31"/>
      <c r="F103" s="31"/>
      <c r="G103" s="31"/>
      <c r="H103" s="31"/>
      <c r="I103" s="31"/>
      <c r="J103" s="31"/>
    </row>
    <row r="104" ht="15.75" customHeight="1">
      <c r="A104" s="31"/>
      <c r="B104" s="31"/>
      <c r="C104" s="31"/>
      <c r="D104" s="31"/>
      <c r="E104" s="31"/>
      <c r="F104" s="31"/>
      <c r="G104" s="31"/>
      <c r="H104" s="31"/>
      <c r="I104" s="31"/>
      <c r="J104" s="31"/>
    </row>
    <row r="105" ht="15.75" customHeight="1">
      <c r="A105" s="31"/>
      <c r="B105" s="31"/>
      <c r="C105" s="31"/>
      <c r="D105" s="31"/>
      <c r="E105" s="31"/>
      <c r="F105" s="31"/>
      <c r="G105" s="31"/>
      <c r="H105" s="31"/>
      <c r="I105" s="31"/>
      <c r="J105" s="31"/>
    </row>
    <row r="106" ht="15.75" customHeight="1">
      <c r="A106" s="31"/>
      <c r="B106" s="31"/>
      <c r="C106" s="31"/>
      <c r="D106" s="31"/>
      <c r="E106" s="31"/>
      <c r="F106" s="31"/>
      <c r="G106" s="31"/>
      <c r="H106" s="31"/>
      <c r="I106" s="31"/>
      <c r="J106" s="31"/>
    </row>
    <row r="107" ht="15.75" customHeight="1">
      <c r="A107" s="31"/>
      <c r="B107" s="31"/>
      <c r="C107" s="31"/>
      <c r="D107" s="31"/>
      <c r="E107" s="31"/>
      <c r="F107" s="31"/>
      <c r="G107" s="31"/>
      <c r="H107" s="31"/>
      <c r="I107" s="31"/>
      <c r="J107" s="31"/>
    </row>
    <row r="108" ht="15.75" customHeight="1">
      <c r="A108" s="31"/>
      <c r="B108" s="31"/>
      <c r="C108" s="31"/>
      <c r="D108" s="31"/>
      <c r="E108" s="31"/>
      <c r="F108" s="31"/>
      <c r="G108" s="31"/>
      <c r="H108" s="31"/>
      <c r="I108" s="31"/>
      <c r="J108" s="31"/>
    </row>
    <row r="109" ht="15.75" customHeight="1">
      <c r="A109" s="31"/>
      <c r="B109" s="31"/>
      <c r="C109" s="31"/>
      <c r="D109" s="31"/>
      <c r="E109" s="31"/>
      <c r="F109" s="31"/>
      <c r="G109" s="31"/>
      <c r="H109" s="31"/>
      <c r="I109" s="31"/>
      <c r="J109" s="31"/>
    </row>
    <row r="110" ht="15.75" customHeight="1">
      <c r="A110" s="31"/>
      <c r="B110" s="31"/>
      <c r="C110" s="31"/>
      <c r="D110" s="31"/>
      <c r="E110" s="31"/>
      <c r="F110" s="31"/>
      <c r="G110" s="31"/>
      <c r="H110" s="31"/>
      <c r="I110" s="31"/>
      <c r="J110" s="31"/>
    </row>
    <row r="111" ht="15.75" customHeight="1">
      <c r="A111" s="31"/>
      <c r="B111" s="31"/>
      <c r="C111" s="31"/>
      <c r="D111" s="31"/>
      <c r="E111" s="31"/>
      <c r="F111" s="31"/>
      <c r="G111" s="31"/>
      <c r="H111" s="31"/>
      <c r="I111" s="31"/>
      <c r="J111" s="31"/>
    </row>
    <row r="112" ht="15.75" customHeight="1">
      <c r="A112" s="31"/>
      <c r="B112" s="31"/>
      <c r="C112" s="31"/>
      <c r="D112" s="31"/>
      <c r="E112" s="31"/>
      <c r="F112" s="31"/>
      <c r="G112" s="31"/>
      <c r="H112" s="31"/>
      <c r="I112" s="31"/>
      <c r="J112" s="31"/>
    </row>
    <row r="113" ht="15.75" customHeight="1">
      <c r="A113" s="31"/>
      <c r="B113" s="31"/>
      <c r="C113" s="31"/>
      <c r="D113" s="31"/>
      <c r="E113" s="31"/>
      <c r="F113" s="31"/>
      <c r="G113" s="31"/>
      <c r="H113" s="31"/>
      <c r="I113" s="31"/>
      <c r="J113" s="31"/>
    </row>
    <row r="114" ht="15.75" customHeight="1">
      <c r="A114" s="31"/>
      <c r="B114" s="31"/>
      <c r="C114" s="31"/>
      <c r="D114" s="31"/>
      <c r="E114" s="31"/>
      <c r="F114" s="31"/>
      <c r="G114" s="31"/>
      <c r="H114" s="31"/>
      <c r="I114" s="31"/>
      <c r="J114" s="31"/>
    </row>
    <row r="115" ht="15.75" customHeight="1">
      <c r="A115" s="31"/>
      <c r="B115" s="31"/>
      <c r="C115" s="31"/>
      <c r="D115" s="31"/>
      <c r="E115" s="31"/>
      <c r="F115" s="31"/>
      <c r="G115" s="31"/>
      <c r="H115" s="31"/>
      <c r="I115" s="31"/>
      <c r="J115" s="31"/>
    </row>
    <row r="116" ht="15.75" customHeight="1">
      <c r="A116" s="31"/>
      <c r="B116" s="31"/>
      <c r="C116" s="31"/>
      <c r="D116" s="31"/>
      <c r="E116" s="31"/>
      <c r="F116" s="31"/>
      <c r="G116" s="31"/>
      <c r="H116" s="31"/>
      <c r="I116" s="31"/>
      <c r="J116" s="31"/>
    </row>
    <row r="117" ht="15.75" customHeight="1">
      <c r="A117" s="31"/>
      <c r="B117" s="31"/>
      <c r="C117" s="31"/>
      <c r="D117" s="31"/>
      <c r="E117" s="31"/>
      <c r="F117" s="31"/>
      <c r="G117" s="31"/>
      <c r="H117" s="31"/>
      <c r="I117" s="31"/>
      <c r="J117" s="31"/>
    </row>
    <row r="118" ht="15.75" customHeight="1">
      <c r="A118" s="31"/>
      <c r="B118" s="31"/>
      <c r="C118" s="31"/>
      <c r="D118" s="31"/>
      <c r="E118" s="31"/>
      <c r="F118" s="31"/>
      <c r="G118" s="31"/>
      <c r="H118" s="31"/>
      <c r="I118" s="31"/>
      <c r="J118" s="31"/>
    </row>
    <row r="119" ht="15.75" customHeight="1">
      <c r="A119" s="31"/>
      <c r="B119" s="31"/>
      <c r="C119" s="31"/>
      <c r="D119" s="31"/>
      <c r="E119" s="31"/>
      <c r="F119" s="31"/>
      <c r="G119" s="31"/>
      <c r="H119" s="31"/>
      <c r="I119" s="31"/>
      <c r="J119" s="31"/>
    </row>
    <row r="120" ht="15.75" customHeight="1">
      <c r="A120" s="31"/>
      <c r="B120" s="31"/>
      <c r="C120" s="31"/>
      <c r="D120" s="31"/>
      <c r="E120" s="31"/>
      <c r="F120" s="31"/>
      <c r="G120" s="31"/>
      <c r="H120" s="31"/>
      <c r="I120" s="31"/>
      <c r="J120" s="31"/>
    </row>
    <row r="121" ht="15.75" customHeight="1">
      <c r="A121" s="31"/>
      <c r="B121" s="31"/>
      <c r="C121" s="31"/>
      <c r="D121" s="31"/>
      <c r="E121" s="31"/>
      <c r="F121" s="31"/>
      <c r="G121" s="31"/>
      <c r="H121" s="31"/>
      <c r="I121" s="31"/>
      <c r="J121" s="31"/>
    </row>
    <row r="122" ht="15.75" customHeight="1">
      <c r="A122" s="31"/>
      <c r="B122" s="31"/>
      <c r="C122" s="31"/>
      <c r="D122" s="31"/>
      <c r="E122" s="31"/>
      <c r="F122" s="31"/>
      <c r="G122" s="31"/>
      <c r="H122" s="31"/>
      <c r="I122" s="31"/>
      <c r="J122" s="31"/>
    </row>
    <row r="123" ht="15.75" customHeight="1">
      <c r="A123" s="31"/>
      <c r="B123" s="31"/>
      <c r="C123" s="31"/>
      <c r="D123" s="31"/>
      <c r="E123" s="31"/>
      <c r="F123" s="31"/>
      <c r="G123" s="31"/>
      <c r="H123" s="31"/>
      <c r="I123" s="31"/>
      <c r="J123" s="31"/>
    </row>
    <row r="124" ht="15.75" customHeight="1">
      <c r="A124" s="31"/>
      <c r="B124" s="31"/>
      <c r="C124" s="31"/>
      <c r="D124" s="31"/>
      <c r="E124" s="31"/>
      <c r="F124" s="31"/>
      <c r="G124" s="31"/>
      <c r="H124" s="31"/>
      <c r="I124" s="31"/>
      <c r="J124" s="31"/>
    </row>
    <row r="125" ht="15.75" customHeight="1">
      <c r="A125" s="31"/>
      <c r="B125" s="31"/>
      <c r="C125" s="31"/>
      <c r="D125" s="31"/>
      <c r="E125" s="31"/>
      <c r="F125" s="31"/>
      <c r="G125" s="31"/>
      <c r="H125" s="31"/>
      <c r="I125" s="31"/>
      <c r="J125" s="31"/>
    </row>
    <row r="126" ht="15.75" customHeight="1">
      <c r="A126" s="31"/>
      <c r="B126" s="31"/>
      <c r="C126" s="31"/>
      <c r="D126" s="31"/>
      <c r="E126" s="31"/>
      <c r="F126" s="31"/>
      <c r="G126" s="31"/>
      <c r="H126" s="31"/>
      <c r="I126" s="31"/>
      <c r="J126" s="31"/>
    </row>
    <row r="127" ht="15.75" customHeight="1">
      <c r="A127" s="31"/>
      <c r="B127" s="31"/>
      <c r="C127" s="31"/>
      <c r="D127" s="31"/>
      <c r="E127" s="31"/>
      <c r="F127" s="31"/>
      <c r="G127" s="31"/>
      <c r="H127" s="31"/>
      <c r="I127" s="31"/>
      <c r="J127" s="31"/>
    </row>
    <row r="128" ht="15.75" customHeight="1">
      <c r="A128" s="31"/>
      <c r="B128" s="31"/>
      <c r="C128" s="31"/>
      <c r="D128" s="31"/>
      <c r="E128" s="31"/>
      <c r="F128" s="31"/>
      <c r="G128" s="31"/>
      <c r="H128" s="31"/>
      <c r="I128" s="31"/>
      <c r="J128" s="31"/>
    </row>
    <row r="129" ht="15.75" customHeight="1">
      <c r="A129" s="31"/>
      <c r="B129" s="31"/>
      <c r="C129" s="31"/>
      <c r="D129" s="31"/>
      <c r="E129" s="31"/>
      <c r="F129" s="31"/>
      <c r="G129" s="31"/>
      <c r="H129" s="31"/>
      <c r="I129" s="31"/>
      <c r="J129" s="31"/>
    </row>
    <row r="130" ht="15.75" customHeight="1">
      <c r="A130" s="31"/>
      <c r="B130" s="31"/>
      <c r="C130" s="31"/>
      <c r="D130" s="31"/>
      <c r="E130" s="31"/>
      <c r="F130" s="31"/>
      <c r="G130" s="31"/>
      <c r="H130" s="31"/>
      <c r="I130" s="31"/>
      <c r="J130" s="31"/>
    </row>
    <row r="131" ht="15.75" customHeight="1">
      <c r="A131" s="31"/>
      <c r="B131" s="31"/>
      <c r="C131" s="31"/>
      <c r="D131" s="31"/>
      <c r="E131" s="31"/>
      <c r="F131" s="31"/>
      <c r="G131" s="31"/>
      <c r="H131" s="31"/>
      <c r="I131" s="31"/>
      <c r="J131" s="31"/>
    </row>
    <row r="132" ht="15.75" customHeight="1">
      <c r="A132" s="31"/>
      <c r="B132" s="31"/>
      <c r="C132" s="31"/>
      <c r="D132" s="31"/>
      <c r="E132" s="31"/>
      <c r="F132" s="31"/>
      <c r="G132" s="31"/>
      <c r="H132" s="31"/>
      <c r="I132" s="31"/>
      <c r="J132" s="31"/>
    </row>
    <row r="133" ht="15.75" customHeight="1">
      <c r="A133" s="31"/>
      <c r="B133" s="31"/>
      <c r="C133" s="31"/>
      <c r="D133" s="31"/>
      <c r="E133" s="31"/>
      <c r="F133" s="31"/>
      <c r="G133" s="31"/>
      <c r="H133" s="31"/>
      <c r="I133" s="31"/>
      <c r="J133" s="31"/>
    </row>
    <row r="134" ht="15.75" customHeight="1">
      <c r="A134" s="31"/>
      <c r="B134" s="31"/>
      <c r="C134" s="31"/>
      <c r="D134" s="31"/>
      <c r="E134" s="31"/>
      <c r="F134" s="31"/>
      <c r="G134" s="31"/>
      <c r="H134" s="31"/>
      <c r="I134" s="31"/>
      <c r="J134" s="31"/>
    </row>
    <row r="135" ht="15.75" customHeight="1">
      <c r="A135" s="31"/>
      <c r="B135" s="31"/>
      <c r="C135" s="31"/>
      <c r="D135" s="31"/>
      <c r="E135" s="31"/>
      <c r="F135" s="31"/>
      <c r="G135" s="31"/>
      <c r="H135" s="31"/>
      <c r="I135" s="31"/>
      <c r="J135" s="31"/>
    </row>
    <row r="136" ht="15.75" customHeight="1">
      <c r="A136" s="31"/>
      <c r="B136" s="31"/>
      <c r="C136" s="31"/>
      <c r="D136" s="31"/>
      <c r="E136" s="31"/>
      <c r="F136" s="31"/>
      <c r="G136" s="31"/>
      <c r="H136" s="31"/>
      <c r="I136" s="31"/>
      <c r="J136" s="31"/>
    </row>
    <row r="137" ht="15.75" customHeight="1">
      <c r="A137" s="31"/>
      <c r="B137" s="31"/>
      <c r="C137" s="31"/>
      <c r="D137" s="31"/>
      <c r="E137" s="31"/>
      <c r="F137" s="31"/>
      <c r="G137" s="31"/>
      <c r="H137" s="31"/>
      <c r="I137" s="31"/>
      <c r="J137" s="31"/>
    </row>
    <row r="138" ht="15.75" customHeight="1">
      <c r="A138" s="31"/>
      <c r="B138" s="31"/>
      <c r="C138" s="31"/>
      <c r="D138" s="31"/>
      <c r="E138" s="31"/>
      <c r="F138" s="31"/>
      <c r="G138" s="31"/>
      <c r="H138" s="31"/>
      <c r="I138" s="31"/>
      <c r="J138" s="31"/>
    </row>
    <row r="139" ht="15.75" customHeight="1">
      <c r="A139" s="31"/>
      <c r="B139" s="31"/>
      <c r="C139" s="31"/>
      <c r="D139" s="31"/>
      <c r="E139" s="31"/>
      <c r="F139" s="31"/>
      <c r="G139" s="31"/>
      <c r="H139" s="31"/>
      <c r="I139" s="31"/>
      <c r="J139" s="31"/>
    </row>
    <row r="140" ht="15.75" customHeight="1">
      <c r="A140" s="31"/>
      <c r="B140" s="31"/>
      <c r="C140" s="31"/>
      <c r="D140" s="31"/>
      <c r="E140" s="31"/>
      <c r="F140" s="31"/>
      <c r="G140" s="31"/>
      <c r="H140" s="31"/>
      <c r="I140" s="31"/>
      <c r="J140" s="31"/>
    </row>
    <row r="141" ht="15.75" customHeight="1">
      <c r="A141" s="31"/>
      <c r="B141" s="31"/>
      <c r="C141" s="31"/>
      <c r="D141" s="31"/>
      <c r="E141" s="31"/>
      <c r="F141" s="31"/>
      <c r="G141" s="31"/>
      <c r="H141" s="31"/>
      <c r="I141" s="31"/>
      <c r="J141" s="31"/>
    </row>
    <row r="142" ht="15.75" customHeight="1">
      <c r="A142" s="31"/>
      <c r="B142" s="31"/>
      <c r="C142" s="31"/>
      <c r="D142" s="31"/>
      <c r="E142" s="31"/>
      <c r="F142" s="31"/>
      <c r="G142" s="31"/>
      <c r="H142" s="31"/>
      <c r="I142" s="31"/>
      <c r="J142" s="31"/>
    </row>
    <row r="143" ht="15.75" customHeight="1">
      <c r="A143" s="31"/>
      <c r="B143" s="31"/>
      <c r="C143" s="31"/>
      <c r="D143" s="31"/>
      <c r="E143" s="31"/>
      <c r="F143" s="31"/>
      <c r="G143" s="31"/>
      <c r="H143" s="31"/>
      <c r="I143" s="31"/>
      <c r="J143" s="31"/>
    </row>
    <row r="144" ht="15.75" customHeight="1">
      <c r="A144" s="31"/>
      <c r="B144" s="31"/>
      <c r="C144" s="31"/>
      <c r="D144" s="31"/>
      <c r="E144" s="31"/>
      <c r="F144" s="31"/>
      <c r="G144" s="31"/>
      <c r="H144" s="31"/>
      <c r="I144" s="31"/>
      <c r="J144" s="31"/>
    </row>
    <row r="145" ht="15.75" customHeight="1">
      <c r="A145" s="31"/>
      <c r="B145" s="31"/>
      <c r="C145" s="31"/>
      <c r="D145" s="31"/>
      <c r="E145" s="31"/>
      <c r="F145" s="31"/>
      <c r="G145" s="31"/>
      <c r="H145" s="31"/>
      <c r="I145" s="31"/>
      <c r="J145" s="31"/>
    </row>
    <row r="146" ht="15.75" customHeight="1">
      <c r="A146" s="31"/>
      <c r="B146" s="31"/>
      <c r="C146" s="31"/>
      <c r="D146" s="31"/>
      <c r="E146" s="31"/>
      <c r="F146" s="31"/>
      <c r="G146" s="31"/>
      <c r="H146" s="31"/>
      <c r="I146" s="31"/>
      <c r="J146" s="31"/>
    </row>
    <row r="147" ht="15.75" customHeight="1">
      <c r="A147" s="31"/>
      <c r="B147" s="31"/>
      <c r="C147" s="31"/>
      <c r="D147" s="31"/>
      <c r="E147" s="31"/>
      <c r="F147" s="31"/>
      <c r="G147" s="31"/>
      <c r="H147" s="31"/>
      <c r="I147" s="31"/>
      <c r="J147" s="31"/>
    </row>
    <row r="148" ht="15.75" customHeight="1">
      <c r="A148" s="31"/>
      <c r="B148" s="31"/>
      <c r="C148" s="31"/>
      <c r="D148" s="31"/>
      <c r="E148" s="31"/>
      <c r="F148" s="31"/>
      <c r="G148" s="31"/>
      <c r="H148" s="31"/>
      <c r="I148" s="31"/>
      <c r="J148" s="31"/>
    </row>
    <row r="149" ht="15.75" customHeight="1">
      <c r="A149" s="31"/>
      <c r="B149" s="31"/>
      <c r="C149" s="31"/>
      <c r="D149" s="31"/>
      <c r="E149" s="31"/>
      <c r="F149" s="31"/>
      <c r="G149" s="31"/>
      <c r="H149" s="31"/>
      <c r="I149" s="31"/>
      <c r="J149" s="31"/>
    </row>
    <row r="150" ht="15.75" customHeight="1">
      <c r="A150" s="31"/>
      <c r="B150" s="31"/>
      <c r="C150" s="31"/>
      <c r="D150" s="31"/>
      <c r="E150" s="31"/>
      <c r="F150" s="31"/>
      <c r="G150" s="31"/>
      <c r="H150" s="31"/>
      <c r="I150" s="31"/>
      <c r="J150" s="31"/>
    </row>
    <row r="151" ht="15.75" customHeight="1">
      <c r="A151" s="31"/>
      <c r="B151" s="31"/>
      <c r="C151" s="31"/>
      <c r="D151" s="31"/>
      <c r="E151" s="31"/>
      <c r="F151" s="31"/>
      <c r="G151" s="31"/>
      <c r="H151" s="31"/>
      <c r="I151" s="31"/>
      <c r="J151" s="31"/>
    </row>
    <row r="152" ht="15.75" customHeight="1">
      <c r="A152" s="31"/>
      <c r="B152" s="31"/>
      <c r="C152" s="31"/>
      <c r="D152" s="31"/>
      <c r="E152" s="31"/>
      <c r="F152" s="31"/>
      <c r="G152" s="31"/>
      <c r="H152" s="31"/>
      <c r="I152" s="31"/>
      <c r="J152" s="31"/>
    </row>
    <row r="153" ht="15.75" customHeight="1">
      <c r="A153" s="31"/>
      <c r="B153" s="31"/>
      <c r="C153" s="31"/>
      <c r="D153" s="31"/>
      <c r="E153" s="31"/>
      <c r="F153" s="31"/>
      <c r="G153" s="31"/>
      <c r="H153" s="31"/>
      <c r="I153" s="31"/>
      <c r="J153" s="31"/>
    </row>
    <row r="154" ht="15.75" customHeight="1">
      <c r="A154" s="31"/>
      <c r="B154" s="31"/>
      <c r="C154" s="31"/>
      <c r="D154" s="31"/>
      <c r="E154" s="31"/>
      <c r="F154" s="31"/>
      <c r="G154" s="31"/>
      <c r="H154" s="31"/>
      <c r="I154" s="31"/>
      <c r="J154" s="31"/>
    </row>
    <row r="155" ht="15.75" customHeight="1">
      <c r="A155" s="31"/>
      <c r="B155" s="31"/>
      <c r="C155" s="31"/>
      <c r="D155" s="31"/>
      <c r="E155" s="31"/>
      <c r="F155" s="31"/>
      <c r="G155" s="31"/>
      <c r="H155" s="31"/>
      <c r="I155" s="31"/>
      <c r="J155" s="31"/>
    </row>
    <row r="156" ht="15.75" customHeight="1">
      <c r="A156" s="31"/>
      <c r="B156" s="31"/>
      <c r="C156" s="31"/>
      <c r="D156" s="31"/>
      <c r="E156" s="31"/>
      <c r="F156" s="31"/>
      <c r="G156" s="31"/>
      <c r="H156" s="31"/>
      <c r="I156" s="31"/>
      <c r="J156" s="31"/>
    </row>
    <row r="157" ht="15.75" customHeight="1">
      <c r="A157" s="31"/>
      <c r="B157" s="31"/>
      <c r="C157" s="31"/>
      <c r="D157" s="31"/>
      <c r="E157" s="31"/>
      <c r="F157" s="31"/>
      <c r="G157" s="31"/>
      <c r="H157" s="31"/>
      <c r="I157" s="31"/>
      <c r="J157" s="31"/>
    </row>
    <row r="158" ht="15.75" customHeight="1">
      <c r="A158" s="31"/>
      <c r="B158" s="31"/>
      <c r="C158" s="31"/>
      <c r="D158" s="31"/>
      <c r="E158" s="31"/>
      <c r="F158" s="31"/>
      <c r="G158" s="31"/>
      <c r="H158" s="31"/>
      <c r="I158" s="31"/>
      <c r="J158" s="31"/>
    </row>
    <row r="159" ht="15.75" customHeight="1">
      <c r="A159" s="31"/>
      <c r="B159" s="31"/>
      <c r="C159" s="31"/>
      <c r="D159" s="31"/>
      <c r="E159" s="31"/>
      <c r="F159" s="31"/>
      <c r="G159" s="31"/>
      <c r="H159" s="31"/>
      <c r="I159" s="31"/>
      <c r="J159" s="31"/>
    </row>
    <row r="160" ht="15.75" customHeight="1">
      <c r="A160" s="31"/>
      <c r="B160" s="31"/>
      <c r="C160" s="31"/>
      <c r="D160" s="31"/>
      <c r="E160" s="31"/>
      <c r="F160" s="31"/>
      <c r="G160" s="31"/>
      <c r="H160" s="31"/>
      <c r="I160" s="31"/>
      <c r="J160" s="31"/>
    </row>
    <row r="161" ht="15.75" customHeight="1">
      <c r="A161" s="31"/>
      <c r="B161" s="31"/>
      <c r="C161" s="31"/>
      <c r="D161" s="31"/>
      <c r="E161" s="31"/>
      <c r="F161" s="31"/>
      <c r="G161" s="31"/>
      <c r="H161" s="31"/>
      <c r="I161" s="31"/>
      <c r="J161" s="31"/>
    </row>
    <row r="162" ht="15.75" customHeight="1">
      <c r="A162" s="31"/>
      <c r="B162" s="31"/>
      <c r="C162" s="31"/>
      <c r="D162" s="31"/>
      <c r="E162" s="31"/>
      <c r="F162" s="31"/>
      <c r="G162" s="31"/>
      <c r="H162" s="31"/>
      <c r="I162" s="31"/>
      <c r="J162" s="31"/>
    </row>
    <row r="163" ht="15.75" customHeight="1">
      <c r="A163" s="31"/>
      <c r="B163" s="31"/>
      <c r="C163" s="31"/>
      <c r="D163" s="31"/>
      <c r="E163" s="31"/>
      <c r="F163" s="31"/>
      <c r="G163" s="31"/>
      <c r="H163" s="31"/>
      <c r="I163" s="31"/>
      <c r="J163" s="31"/>
    </row>
    <row r="164" ht="15.75" customHeight="1">
      <c r="A164" s="31"/>
      <c r="B164" s="31"/>
      <c r="C164" s="31"/>
      <c r="D164" s="31"/>
      <c r="E164" s="31"/>
      <c r="F164" s="31"/>
      <c r="G164" s="31"/>
      <c r="H164" s="31"/>
      <c r="I164" s="31"/>
      <c r="J164" s="31"/>
    </row>
    <row r="165" ht="15.75" customHeight="1">
      <c r="A165" s="31"/>
      <c r="B165" s="31"/>
      <c r="C165" s="31"/>
      <c r="D165" s="31"/>
      <c r="E165" s="31"/>
      <c r="F165" s="31"/>
      <c r="G165" s="31"/>
      <c r="H165" s="31"/>
      <c r="I165" s="31"/>
      <c r="J165" s="31"/>
    </row>
    <row r="166" ht="15.75" customHeight="1">
      <c r="A166" s="31"/>
      <c r="B166" s="31"/>
      <c r="C166" s="31"/>
      <c r="D166" s="31"/>
      <c r="E166" s="31"/>
      <c r="F166" s="31"/>
      <c r="G166" s="31"/>
      <c r="H166" s="31"/>
      <c r="I166" s="31"/>
      <c r="J166" s="31"/>
    </row>
    <row r="167" ht="15.75" customHeight="1">
      <c r="A167" s="31"/>
      <c r="B167" s="31"/>
      <c r="C167" s="31"/>
      <c r="D167" s="31"/>
      <c r="E167" s="31"/>
      <c r="F167" s="31"/>
      <c r="G167" s="31"/>
      <c r="H167" s="31"/>
      <c r="I167" s="31"/>
      <c r="J167" s="31"/>
    </row>
    <row r="168" ht="15.75" customHeight="1">
      <c r="A168" s="31"/>
      <c r="B168" s="31"/>
      <c r="C168" s="31"/>
      <c r="D168" s="31"/>
      <c r="E168" s="31"/>
      <c r="F168" s="31"/>
      <c r="G168" s="31"/>
      <c r="H168" s="31"/>
      <c r="I168" s="31"/>
      <c r="J168" s="31"/>
    </row>
    <row r="169" ht="15.75" customHeight="1">
      <c r="A169" s="31"/>
      <c r="B169" s="31"/>
      <c r="C169" s="31"/>
      <c r="D169" s="31"/>
      <c r="E169" s="31"/>
      <c r="F169" s="31"/>
      <c r="G169" s="31"/>
      <c r="H169" s="31"/>
      <c r="I169" s="31"/>
      <c r="J169" s="31"/>
    </row>
    <row r="170" ht="15.75" customHeight="1">
      <c r="A170" s="31"/>
      <c r="B170" s="31"/>
      <c r="C170" s="31"/>
      <c r="D170" s="31"/>
      <c r="E170" s="31"/>
      <c r="F170" s="31"/>
      <c r="G170" s="31"/>
      <c r="H170" s="31"/>
      <c r="I170" s="31"/>
      <c r="J170" s="31"/>
    </row>
    <row r="171" ht="15.75" customHeight="1">
      <c r="A171" s="31"/>
      <c r="B171" s="31"/>
      <c r="C171" s="31"/>
      <c r="D171" s="31"/>
      <c r="E171" s="31"/>
      <c r="F171" s="31"/>
      <c r="G171" s="31"/>
      <c r="H171" s="31"/>
      <c r="I171" s="31"/>
      <c r="J171" s="31"/>
    </row>
    <row r="172" ht="15.75" customHeight="1">
      <c r="A172" s="31"/>
      <c r="B172" s="31"/>
      <c r="C172" s="31"/>
      <c r="D172" s="31"/>
      <c r="E172" s="31"/>
      <c r="F172" s="31"/>
      <c r="G172" s="31"/>
      <c r="H172" s="31"/>
      <c r="I172" s="31"/>
      <c r="J172" s="31"/>
    </row>
    <row r="173" ht="15.75" customHeight="1">
      <c r="A173" s="31"/>
      <c r="B173" s="31"/>
      <c r="C173" s="31"/>
      <c r="D173" s="31"/>
      <c r="E173" s="31"/>
      <c r="F173" s="31"/>
      <c r="G173" s="31"/>
      <c r="H173" s="31"/>
      <c r="I173" s="31"/>
      <c r="J173" s="31"/>
    </row>
    <row r="174" ht="15.75" customHeight="1">
      <c r="A174" s="31"/>
      <c r="B174" s="31"/>
      <c r="C174" s="31"/>
      <c r="D174" s="31"/>
      <c r="E174" s="31"/>
      <c r="F174" s="31"/>
      <c r="G174" s="31"/>
      <c r="H174" s="31"/>
      <c r="I174" s="31"/>
      <c r="J174" s="31"/>
    </row>
    <row r="175" ht="15.75" customHeight="1">
      <c r="A175" s="31"/>
      <c r="B175" s="31"/>
      <c r="C175" s="31"/>
      <c r="D175" s="31"/>
      <c r="E175" s="31"/>
      <c r="F175" s="31"/>
      <c r="G175" s="31"/>
      <c r="H175" s="31"/>
      <c r="I175" s="31"/>
      <c r="J175" s="31"/>
    </row>
    <row r="176" ht="15.75" customHeight="1">
      <c r="A176" s="31"/>
      <c r="B176" s="31"/>
      <c r="C176" s="31"/>
      <c r="D176" s="31"/>
      <c r="E176" s="31"/>
      <c r="F176" s="31"/>
      <c r="G176" s="31"/>
      <c r="H176" s="31"/>
      <c r="I176" s="31"/>
      <c r="J176" s="31"/>
    </row>
    <row r="177" ht="15.75" customHeight="1">
      <c r="A177" s="31"/>
      <c r="B177" s="31"/>
      <c r="C177" s="31"/>
      <c r="D177" s="31"/>
      <c r="E177" s="31"/>
      <c r="F177" s="31"/>
      <c r="G177" s="31"/>
      <c r="H177" s="31"/>
      <c r="I177" s="31"/>
      <c r="J177" s="31"/>
    </row>
    <row r="178" ht="15.75" customHeight="1">
      <c r="A178" s="31"/>
      <c r="B178" s="31"/>
      <c r="C178" s="31"/>
      <c r="D178" s="31"/>
      <c r="E178" s="31"/>
      <c r="F178" s="31"/>
      <c r="G178" s="31"/>
      <c r="H178" s="31"/>
      <c r="I178" s="31"/>
      <c r="J178" s="31"/>
    </row>
    <row r="179" ht="15.75" customHeight="1">
      <c r="A179" s="31"/>
      <c r="B179" s="31"/>
      <c r="C179" s="31"/>
      <c r="D179" s="31"/>
      <c r="E179" s="31"/>
      <c r="F179" s="31"/>
      <c r="G179" s="31"/>
      <c r="H179" s="31"/>
      <c r="I179" s="31"/>
      <c r="J179" s="31"/>
    </row>
    <row r="180" ht="15.75" customHeight="1">
      <c r="A180" s="31"/>
      <c r="B180" s="31"/>
      <c r="C180" s="31"/>
      <c r="D180" s="31"/>
      <c r="E180" s="31"/>
      <c r="F180" s="31"/>
      <c r="G180" s="31"/>
      <c r="H180" s="31"/>
      <c r="I180" s="31"/>
      <c r="J180" s="31"/>
    </row>
    <row r="181" ht="15.75" customHeight="1">
      <c r="A181" s="31"/>
      <c r="B181" s="31"/>
      <c r="C181" s="31"/>
      <c r="D181" s="31"/>
      <c r="E181" s="31"/>
      <c r="F181" s="31"/>
      <c r="G181" s="31"/>
      <c r="H181" s="31"/>
      <c r="I181" s="31"/>
      <c r="J181" s="31"/>
    </row>
    <row r="182" ht="15.75" customHeight="1">
      <c r="A182" s="31"/>
      <c r="B182" s="31"/>
      <c r="C182" s="31"/>
      <c r="D182" s="31"/>
      <c r="E182" s="31"/>
      <c r="F182" s="31"/>
      <c r="G182" s="31"/>
      <c r="H182" s="31"/>
      <c r="I182" s="31"/>
      <c r="J182" s="31"/>
    </row>
    <row r="183" ht="15.75" customHeight="1">
      <c r="A183" s="31"/>
      <c r="B183" s="31"/>
      <c r="C183" s="31"/>
      <c r="D183" s="31"/>
      <c r="E183" s="31"/>
      <c r="F183" s="31"/>
      <c r="G183" s="31"/>
      <c r="H183" s="31"/>
      <c r="I183" s="31"/>
      <c r="J183" s="31"/>
    </row>
    <row r="184" ht="15.75" customHeight="1">
      <c r="A184" s="31"/>
      <c r="B184" s="31"/>
      <c r="C184" s="31"/>
      <c r="D184" s="31"/>
      <c r="E184" s="31"/>
      <c r="F184" s="31"/>
      <c r="G184" s="31"/>
      <c r="H184" s="31"/>
      <c r="I184" s="31"/>
      <c r="J184" s="31"/>
    </row>
    <row r="185" ht="15.75" customHeight="1">
      <c r="A185" s="31"/>
      <c r="B185" s="31"/>
      <c r="C185" s="31"/>
      <c r="D185" s="31"/>
      <c r="E185" s="31"/>
      <c r="F185" s="31"/>
      <c r="G185" s="31"/>
      <c r="H185" s="31"/>
      <c r="I185" s="31"/>
      <c r="J185" s="31"/>
    </row>
    <row r="186" ht="15.75" customHeight="1">
      <c r="A186" s="31"/>
      <c r="B186" s="31"/>
      <c r="C186" s="31"/>
      <c r="D186" s="31"/>
      <c r="E186" s="31"/>
      <c r="F186" s="31"/>
      <c r="G186" s="31"/>
      <c r="H186" s="31"/>
      <c r="I186" s="31"/>
      <c r="J186" s="31"/>
    </row>
    <row r="187" ht="15.75" customHeight="1">
      <c r="A187" s="31"/>
      <c r="B187" s="31"/>
      <c r="C187" s="31"/>
      <c r="D187" s="31"/>
      <c r="E187" s="31"/>
      <c r="F187" s="31"/>
      <c r="G187" s="31"/>
      <c r="H187" s="31"/>
      <c r="I187" s="31"/>
      <c r="J187" s="31"/>
    </row>
    <row r="188" ht="15.75" customHeight="1">
      <c r="A188" s="31"/>
      <c r="B188" s="31"/>
      <c r="C188" s="31"/>
      <c r="D188" s="31"/>
      <c r="E188" s="31"/>
      <c r="F188" s="31"/>
      <c r="G188" s="31"/>
      <c r="H188" s="31"/>
      <c r="I188" s="31"/>
      <c r="J188" s="31"/>
    </row>
    <row r="189" ht="15.75" customHeight="1">
      <c r="A189" s="31"/>
      <c r="B189" s="31"/>
      <c r="C189" s="31"/>
      <c r="D189" s="31"/>
      <c r="E189" s="31"/>
      <c r="F189" s="31"/>
      <c r="G189" s="31"/>
      <c r="H189" s="31"/>
      <c r="I189" s="31"/>
      <c r="J189" s="31"/>
    </row>
    <row r="190" ht="15.75" customHeight="1">
      <c r="A190" s="31"/>
      <c r="B190" s="31"/>
      <c r="C190" s="31"/>
      <c r="D190" s="31"/>
      <c r="E190" s="31"/>
      <c r="F190" s="31"/>
      <c r="G190" s="31"/>
      <c r="H190" s="31"/>
      <c r="I190" s="31"/>
      <c r="J190" s="31"/>
    </row>
    <row r="191" ht="15.75" customHeight="1">
      <c r="A191" s="31"/>
      <c r="B191" s="31"/>
      <c r="C191" s="31"/>
      <c r="D191" s="31"/>
      <c r="E191" s="31"/>
      <c r="F191" s="31"/>
      <c r="G191" s="31"/>
      <c r="H191" s="31"/>
      <c r="I191" s="31"/>
      <c r="J191" s="31"/>
    </row>
    <row r="192" ht="15.75" customHeight="1">
      <c r="A192" s="31"/>
      <c r="B192" s="31"/>
      <c r="C192" s="31"/>
      <c r="D192" s="31"/>
      <c r="E192" s="31"/>
      <c r="F192" s="31"/>
      <c r="G192" s="31"/>
      <c r="H192" s="31"/>
      <c r="I192" s="31"/>
      <c r="J192" s="31"/>
    </row>
    <row r="193" ht="15.75" customHeight="1">
      <c r="A193" s="31"/>
      <c r="B193" s="31"/>
      <c r="C193" s="31"/>
      <c r="D193" s="31"/>
      <c r="E193" s="31"/>
      <c r="F193" s="31"/>
      <c r="G193" s="31"/>
      <c r="H193" s="31"/>
      <c r="I193" s="31"/>
      <c r="J193" s="31"/>
    </row>
    <row r="194" ht="15.75" customHeight="1">
      <c r="A194" s="31"/>
      <c r="B194" s="31"/>
      <c r="C194" s="31"/>
      <c r="D194" s="31"/>
      <c r="E194" s="31"/>
      <c r="F194" s="31"/>
      <c r="G194" s="31"/>
      <c r="H194" s="31"/>
      <c r="I194" s="31"/>
      <c r="J194" s="31"/>
    </row>
    <row r="195" ht="15.75" customHeight="1">
      <c r="A195" s="31"/>
      <c r="B195" s="31"/>
      <c r="C195" s="31"/>
      <c r="D195" s="31"/>
      <c r="E195" s="31"/>
      <c r="F195" s="31"/>
      <c r="G195" s="31"/>
      <c r="H195" s="31"/>
      <c r="I195" s="31"/>
      <c r="J195" s="31"/>
    </row>
    <row r="196" ht="15.75" customHeight="1">
      <c r="A196" s="31"/>
      <c r="B196" s="31"/>
      <c r="C196" s="31"/>
      <c r="D196" s="31"/>
      <c r="E196" s="31"/>
      <c r="F196" s="31"/>
      <c r="G196" s="31"/>
      <c r="H196" s="31"/>
      <c r="I196" s="31"/>
      <c r="J196" s="31"/>
    </row>
    <row r="197" ht="15.75" customHeight="1">
      <c r="A197" s="31"/>
      <c r="B197" s="31"/>
      <c r="C197" s="31"/>
      <c r="D197" s="31"/>
      <c r="E197" s="31"/>
      <c r="F197" s="31"/>
      <c r="G197" s="31"/>
      <c r="H197" s="31"/>
      <c r="I197" s="31"/>
      <c r="J197" s="31"/>
    </row>
    <row r="198" ht="15.75" customHeight="1">
      <c r="A198" s="31"/>
      <c r="B198" s="31"/>
      <c r="C198" s="31"/>
      <c r="D198" s="31"/>
      <c r="E198" s="31"/>
      <c r="F198" s="31"/>
      <c r="G198" s="31"/>
      <c r="H198" s="31"/>
      <c r="I198" s="31"/>
      <c r="J198" s="31"/>
    </row>
    <row r="199" ht="15.75" customHeight="1">
      <c r="A199" s="31"/>
      <c r="B199" s="31"/>
      <c r="C199" s="31"/>
      <c r="D199" s="31"/>
      <c r="E199" s="31"/>
      <c r="F199" s="31"/>
      <c r="G199" s="31"/>
      <c r="H199" s="31"/>
      <c r="I199" s="31"/>
      <c r="J199" s="31"/>
    </row>
    <row r="200" ht="15.75" customHeight="1">
      <c r="A200" s="31"/>
      <c r="B200" s="31"/>
      <c r="C200" s="31"/>
      <c r="D200" s="31"/>
      <c r="E200" s="31"/>
      <c r="F200" s="31"/>
      <c r="G200" s="31"/>
      <c r="H200" s="31"/>
      <c r="I200" s="31"/>
      <c r="J200" s="31"/>
    </row>
    <row r="201" ht="15.75" customHeight="1">
      <c r="A201" s="31"/>
      <c r="B201" s="31"/>
      <c r="C201" s="31"/>
      <c r="D201" s="31"/>
      <c r="E201" s="31"/>
      <c r="F201" s="31"/>
      <c r="G201" s="31"/>
      <c r="H201" s="31"/>
      <c r="I201" s="31"/>
      <c r="J201" s="31"/>
    </row>
    <row r="202" ht="15.75" customHeight="1">
      <c r="A202" s="31"/>
      <c r="B202" s="31"/>
      <c r="C202" s="31"/>
      <c r="D202" s="31"/>
      <c r="E202" s="31"/>
      <c r="F202" s="31"/>
      <c r="G202" s="31"/>
      <c r="H202" s="31"/>
      <c r="I202" s="31"/>
      <c r="J202" s="31"/>
    </row>
    <row r="203" ht="15.75" customHeight="1">
      <c r="A203" s="31"/>
      <c r="B203" s="31"/>
      <c r="C203" s="31"/>
      <c r="D203" s="31"/>
      <c r="E203" s="31"/>
      <c r="F203" s="31"/>
      <c r="G203" s="31"/>
      <c r="H203" s="31"/>
      <c r="I203" s="31"/>
      <c r="J203" s="31"/>
    </row>
    <row r="204" ht="15.75" customHeight="1">
      <c r="A204" s="31"/>
      <c r="B204" s="31"/>
      <c r="C204" s="31"/>
      <c r="D204" s="31"/>
      <c r="E204" s="31"/>
      <c r="F204" s="31"/>
      <c r="G204" s="31"/>
      <c r="H204" s="31"/>
      <c r="I204" s="31"/>
      <c r="J204" s="31"/>
    </row>
    <row r="205" ht="15.75" customHeight="1">
      <c r="A205" s="31"/>
      <c r="B205" s="31"/>
      <c r="C205" s="31"/>
      <c r="D205" s="31"/>
      <c r="E205" s="31"/>
      <c r="F205" s="31"/>
      <c r="G205" s="31"/>
      <c r="H205" s="31"/>
      <c r="I205" s="31"/>
      <c r="J205" s="31"/>
    </row>
    <row r="206" ht="15.75" customHeight="1">
      <c r="A206" s="31"/>
      <c r="B206" s="31"/>
      <c r="C206" s="31"/>
      <c r="D206" s="31"/>
      <c r="E206" s="31"/>
      <c r="F206" s="31"/>
      <c r="G206" s="31"/>
      <c r="H206" s="31"/>
      <c r="I206" s="31"/>
      <c r="J206" s="31"/>
    </row>
    <row r="207" ht="15.75" customHeight="1">
      <c r="A207" s="31"/>
      <c r="B207" s="31"/>
      <c r="C207" s="31"/>
      <c r="D207" s="31"/>
      <c r="E207" s="31"/>
      <c r="F207" s="31"/>
      <c r="G207" s="31"/>
      <c r="H207" s="31"/>
      <c r="I207" s="31"/>
      <c r="J207" s="31"/>
    </row>
    <row r="208" ht="15.75" customHeight="1">
      <c r="A208" s="31"/>
      <c r="B208" s="31"/>
      <c r="C208" s="31"/>
      <c r="D208" s="31"/>
      <c r="E208" s="31"/>
      <c r="F208" s="31"/>
      <c r="G208" s="31"/>
      <c r="H208" s="31"/>
      <c r="I208" s="31"/>
      <c r="J208" s="31"/>
    </row>
    <row r="209" ht="15.75" customHeight="1">
      <c r="A209" s="31"/>
      <c r="B209" s="31"/>
      <c r="C209" s="31"/>
      <c r="D209" s="31"/>
      <c r="E209" s="31"/>
      <c r="F209" s="31"/>
      <c r="G209" s="31"/>
      <c r="H209" s="31"/>
      <c r="I209" s="31"/>
      <c r="J209" s="31"/>
    </row>
    <row r="210" ht="15.75" customHeight="1">
      <c r="A210" s="31"/>
      <c r="B210" s="31"/>
      <c r="C210" s="31"/>
      <c r="D210" s="31"/>
      <c r="E210" s="31"/>
      <c r="F210" s="31"/>
      <c r="G210" s="31"/>
      <c r="H210" s="31"/>
      <c r="I210" s="31"/>
      <c r="J210" s="31"/>
    </row>
    <row r="211" ht="15.75" customHeight="1">
      <c r="A211" s="31"/>
      <c r="B211" s="31"/>
      <c r="C211" s="31"/>
      <c r="D211" s="31"/>
      <c r="E211" s="31"/>
      <c r="F211" s="31"/>
      <c r="G211" s="31"/>
      <c r="H211" s="31"/>
      <c r="I211" s="31"/>
      <c r="J211" s="31"/>
    </row>
    <row r="212" ht="15.75" customHeight="1">
      <c r="A212" s="31"/>
      <c r="B212" s="31"/>
      <c r="C212" s="31"/>
      <c r="D212" s="31"/>
      <c r="E212" s="31"/>
      <c r="F212" s="31"/>
      <c r="G212" s="31"/>
      <c r="H212" s="31"/>
      <c r="I212" s="31"/>
      <c r="J212" s="31"/>
    </row>
    <row r="213" ht="15.75" customHeight="1">
      <c r="A213" s="31"/>
      <c r="B213" s="31"/>
      <c r="C213" s="31"/>
      <c r="D213" s="31"/>
      <c r="E213" s="31"/>
      <c r="F213" s="31"/>
      <c r="G213" s="31"/>
      <c r="H213" s="31"/>
      <c r="I213" s="31"/>
      <c r="J213" s="31"/>
    </row>
    <row r="214" ht="15.75" customHeight="1">
      <c r="A214" s="31"/>
      <c r="B214" s="31"/>
      <c r="C214" s="31"/>
      <c r="D214" s="31"/>
      <c r="E214" s="31"/>
      <c r="F214" s="31"/>
      <c r="G214" s="31"/>
      <c r="H214" s="31"/>
      <c r="I214" s="31"/>
      <c r="J214" s="31"/>
    </row>
    <row r="215" ht="15.75" customHeight="1">
      <c r="A215" s="31"/>
      <c r="B215" s="31"/>
      <c r="C215" s="31"/>
      <c r="D215" s="31"/>
      <c r="E215" s="31"/>
      <c r="F215" s="31"/>
      <c r="G215" s="31"/>
      <c r="H215" s="31"/>
      <c r="I215" s="31"/>
      <c r="J215" s="31"/>
    </row>
    <row r="216" ht="15.75" customHeight="1">
      <c r="A216" s="31"/>
      <c r="B216" s="31"/>
      <c r="C216" s="31"/>
      <c r="D216" s="31"/>
      <c r="E216" s="31"/>
      <c r="F216" s="31"/>
      <c r="G216" s="31"/>
      <c r="H216" s="31"/>
      <c r="I216" s="31"/>
      <c r="J216" s="31"/>
    </row>
    <row r="217" ht="15.75" customHeight="1">
      <c r="A217" s="31"/>
      <c r="B217" s="31"/>
      <c r="C217" s="31"/>
      <c r="D217" s="31"/>
      <c r="E217" s="31"/>
      <c r="F217" s="31"/>
      <c r="G217" s="31"/>
      <c r="H217" s="31"/>
      <c r="I217" s="31"/>
      <c r="J217" s="31"/>
    </row>
    <row r="218" ht="15.75" customHeight="1">
      <c r="A218" s="31"/>
      <c r="B218" s="31"/>
      <c r="C218" s="31"/>
      <c r="D218" s="31"/>
      <c r="E218" s="31"/>
      <c r="F218" s="31"/>
      <c r="G218" s="31"/>
      <c r="H218" s="31"/>
      <c r="I218" s="31"/>
      <c r="J218" s="31"/>
    </row>
    <row r="219" ht="15.75" customHeight="1">
      <c r="A219" s="31"/>
      <c r="B219" s="31"/>
      <c r="C219" s="31"/>
      <c r="D219" s="31"/>
      <c r="E219" s="31"/>
      <c r="F219" s="31"/>
      <c r="G219" s="31"/>
      <c r="H219" s="31"/>
      <c r="I219" s="31"/>
      <c r="J219" s="31"/>
    </row>
    <row r="220" ht="15.75" customHeight="1">
      <c r="A220" s="31"/>
      <c r="B220" s="31"/>
      <c r="C220" s="31"/>
      <c r="D220" s="31"/>
      <c r="E220" s="31"/>
      <c r="F220" s="31"/>
      <c r="G220" s="31"/>
      <c r="H220" s="31"/>
      <c r="I220" s="31"/>
      <c r="J220" s="3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sheetData>
  <autoFilter ref="$A$1:$J$16"/>
  <conditionalFormatting sqref="G2:G16">
    <cfRule type="cellIs" dxfId="0" priority="1" operator="equal">
      <formula>"Pass"</formula>
    </cfRule>
  </conditionalFormatting>
  <conditionalFormatting sqref="G2:G16">
    <cfRule type="cellIs" dxfId="1" priority="2" operator="equal">
      <formula>"Fail"</formula>
    </cfRule>
  </conditionalFormatting>
  <conditionalFormatting sqref="G2:G16">
    <cfRule type="cellIs" dxfId="2" priority="3" operator="equal">
      <formula>"Blocked"</formula>
    </cfRule>
  </conditionalFormatting>
  <conditionalFormatting sqref="G2:G16">
    <cfRule type="cellIs" dxfId="3" priority="4" operator="equal">
      <formula>"Retest"</formula>
    </cfRule>
  </conditionalFormatting>
  <conditionalFormatting sqref="G2:G16">
    <cfRule type="cellIs" dxfId="4" priority="5" operator="equal">
      <formula>"Not Run"</formula>
    </cfRule>
  </conditionalFormatting>
  <dataValidations>
    <dataValidation type="list" allowBlank="1" showErrorMessage="1" sqref="G2:G399">
      <formula1>"Pass,Fail,Blocked,Not Run,Retest"</formula1>
    </dataValidation>
  </dataValidations>
  <hyperlinks>
    <hyperlink r:id="rId1" location="gid=0&amp;range=A2:J2" ref="I2"/>
    <hyperlink r:id="rId2" location="gid=0&amp;range=A4:J4" ref="I4"/>
    <hyperlink r:id="rId3" location="gid=0&amp;range=A5:J5" ref="I5"/>
    <hyperlink r:id="rId4" location="gid=0&amp;range=A6:J6" ref="I6"/>
    <hyperlink r:id="rId5" location="gid=0&amp;range=A7:J7" ref="I7"/>
    <hyperlink r:id="rId6" location="gid=0&amp;range=A8:J8" ref="I8"/>
    <hyperlink r:id="rId7" location="gid=0&amp;range=A9:J9" ref="I9"/>
    <hyperlink r:id="rId8" location="gid=0&amp;range=A10:J10" ref="I10"/>
    <hyperlink r:id="rId9" location="gid=0&amp;range=A11:J11" ref="I11"/>
    <hyperlink r:id="rId10" location="gid=0&amp;range=A12:J12" ref="I12"/>
    <hyperlink r:id="rId11" location="gid=0&amp;range=A14:J14" ref="I14"/>
    <hyperlink r:id="rId12" location="gid=0&amp;range=A16:J16" ref="I15"/>
    <hyperlink r:id="rId13" location="gid=0&amp;range=A17:J17" ref="I16"/>
  </hyperlinks>
  <printOptions/>
  <pageMargins bottom="1.0" footer="0.0" header="0.0" left="0.75" right="0.75" top="1.0"/>
  <pageSetup orientation="landscape"/>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32" t="s">
        <v>0</v>
      </c>
      <c r="B1" s="32" t="s">
        <v>2</v>
      </c>
      <c r="C1" s="32" t="s">
        <v>3</v>
      </c>
      <c r="D1" s="32" t="s">
        <v>4</v>
      </c>
      <c r="E1" s="32" t="s">
        <v>5</v>
      </c>
      <c r="F1" s="32" t="s">
        <v>6</v>
      </c>
      <c r="G1" s="32" t="s">
        <v>7</v>
      </c>
      <c r="H1" s="32" t="s">
        <v>8</v>
      </c>
      <c r="I1" s="32" t="s">
        <v>9</v>
      </c>
      <c r="J1" s="32" t="s">
        <v>10</v>
      </c>
    </row>
    <row r="2" ht="57.0" customHeight="1">
      <c r="A2" s="39" t="s">
        <v>778</v>
      </c>
      <c r="B2" s="41" t="s">
        <v>304</v>
      </c>
      <c r="C2" s="41" t="s">
        <v>839</v>
      </c>
      <c r="D2" s="41" t="s">
        <v>840</v>
      </c>
      <c r="E2" s="41" t="s">
        <v>841</v>
      </c>
      <c r="F2" s="4">
        <v>46263.0</v>
      </c>
      <c r="G2" s="6" t="s">
        <v>26</v>
      </c>
      <c r="H2" s="3" t="s">
        <v>843</v>
      </c>
      <c r="I2" s="10" t="s">
        <v>844</v>
      </c>
      <c r="J2" s="3" t="s">
        <v>859</v>
      </c>
    </row>
    <row r="3" ht="45.75" customHeight="1">
      <c r="A3" s="47" t="s">
        <v>864</v>
      </c>
      <c r="B3" s="46" t="s">
        <v>248</v>
      </c>
      <c r="C3" s="46" t="s">
        <v>877</v>
      </c>
      <c r="D3" s="46" t="s">
        <v>880</v>
      </c>
      <c r="E3" s="46" t="s">
        <v>882</v>
      </c>
      <c r="F3" s="14">
        <v>46263.0</v>
      </c>
      <c r="G3" s="15" t="s">
        <v>26</v>
      </c>
      <c r="H3" s="13" t="s">
        <v>894</v>
      </c>
      <c r="I3" s="16" t="s">
        <v>898</v>
      </c>
      <c r="J3" s="13" t="s">
        <v>902</v>
      </c>
    </row>
    <row r="4" ht="45.75" customHeight="1">
      <c r="A4" s="39" t="s">
        <v>906</v>
      </c>
      <c r="B4" s="41" t="s">
        <v>688</v>
      </c>
      <c r="C4" s="41" t="s">
        <v>909</v>
      </c>
      <c r="D4" s="41" t="s">
        <v>911</v>
      </c>
      <c r="E4" s="41" t="s">
        <v>912</v>
      </c>
      <c r="F4" s="4">
        <v>46263.0</v>
      </c>
      <c r="G4" s="6" t="s">
        <v>26</v>
      </c>
      <c r="H4" s="3" t="s">
        <v>918</v>
      </c>
      <c r="I4" s="10" t="s">
        <v>920</v>
      </c>
      <c r="J4" s="3" t="s">
        <v>925</v>
      </c>
    </row>
    <row r="5" ht="58.5" customHeight="1">
      <c r="A5" s="11" t="s">
        <v>928</v>
      </c>
      <c r="B5" s="13" t="s">
        <v>931</v>
      </c>
      <c r="C5" s="13" t="s">
        <v>932</v>
      </c>
      <c r="D5" s="13" t="s">
        <v>936</v>
      </c>
      <c r="E5" s="13" t="s">
        <v>938</v>
      </c>
      <c r="F5" s="14">
        <v>46263.0</v>
      </c>
      <c r="G5" s="15" t="s">
        <v>26</v>
      </c>
      <c r="H5" s="48" t="s">
        <v>943</v>
      </c>
      <c r="I5" s="16" t="s">
        <v>963</v>
      </c>
      <c r="J5" s="49" t="s">
        <v>964</v>
      </c>
    </row>
    <row r="6" ht="34.5" customHeight="1">
      <c r="A6" s="39" t="s">
        <v>965</v>
      </c>
      <c r="B6" s="41" t="s">
        <v>931</v>
      </c>
      <c r="C6" s="41" t="s">
        <v>966</v>
      </c>
      <c r="D6" s="41" t="s">
        <v>967</v>
      </c>
      <c r="E6" s="41" t="s">
        <v>968</v>
      </c>
      <c r="F6" s="4">
        <v>46263.0</v>
      </c>
      <c r="G6" s="6" t="s">
        <v>26</v>
      </c>
      <c r="H6" s="3" t="s">
        <v>969</v>
      </c>
      <c r="I6" s="10" t="s">
        <v>970</v>
      </c>
      <c r="J6" s="3" t="s">
        <v>971</v>
      </c>
    </row>
    <row r="7" ht="57.0" customHeight="1">
      <c r="A7" s="11" t="s">
        <v>972</v>
      </c>
      <c r="B7" s="13" t="s">
        <v>931</v>
      </c>
      <c r="C7" s="13" t="s">
        <v>973</v>
      </c>
      <c r="D7" s="13" t="s">
        <v>974</v>
      </c>
      <c r="E7" s="13" t="s">
        <v>975</v>
      </c>
      <c r="F7" s="14">
        <v>46263.0</v>
      </c>
      <c r="G7" s="15" t="s">
        <v>26</v>
      </c>
      <c r="H7" s="13" t="s">
        <v>976</v>
      </c>
      <c r="I7" s="16" t="s">
        <v>977</v>
      </c>
      <c r="J7" s="13" t="s">
        <v>978</v>
      </c>
    </row>
    <row r="8" ht="57.0" customHeight="1">
      <c r="A8" s="39" t="s">
        <v>979</v>
      </c>
      <c r="B8" s="41" t="s">
        <v>980</v>
      </c>
      <c r="C8" s="41" t="s">
        <v>981</v>
      </c>
      <c r="D8" s="41" t="s">
        <v>982</v>
      </c>
      <c r="E8" s="41" t="s">
        <v>983</v>
      </c>
      <c r="F8" s="4">
        <v>46263.0</v>
      </c>
      <c r="G8" s="6" t="s">
        <v>26</v>
      </c>
      <c r="H8" s="3" t="s">
        <v>984</v>
      </c>
      <c r="I8" s="10" t="s">
        <v>985</v>
      </c>
      <c r="J8" s="3" t="s">
        <v>986</v>
      </c>
    </row>
    <row r="9" ht="57.0" customHeight="1">
      <c r="A9" s="47" t="s">
        <v>987</v>
      </c>
      <c r="B9" s="46" t="s">
        <v>980</v>
      </c>
      <c r="C9" s="46" t="s">
        <v>988</v>
      </c>
      <c r="D9" s="46" t="s">
        <v>989</v>
      </c>
      <c r="E9" s="46" t="s">
        <v>990</v>
      </c>
      <c r="F9" s="14">
        <v>46263.0</v>
      </c>
      <c r="G9" s="15" t="s">
        <v>26</v>
      </c>
      <c r="H9" s="13" t="s">
        <v>991</v>
      </c>
      <c r="I9" s="16" t="s">
        <v>992</v>
      </c>
      <c r="J9" s="13" t="s">
        <v>993</v>
      </c>
    </row>
    <row r="10" ht="57.0" customHeight="1">
      <c r="A10" s="39" t="s">
        <v>994</v>
      </c>
      <c r="B10" s="41" t="s">
        <v>980</v>
      </c>
      <c r="C10" s="41" t="s">
        <v>995</v>
      </c>
      <c r="D10" s="41" t="s">
        <v>996</v>
      </c>
      <c r="E10" s="41" t="s">
        <v>997</v>
      </c>
      <c r="F10" s="4">
        <v>46263.0</v>
      </c>
      <c r="G10" s="6" t="s">
        <v>26</v>
      </c>
      <c r="H10" s="3" t="s">
        <v>998</v>
      </c>
      <c r="I10" s="10" t="s">
        <v>999</v>
      </c>
      <c r="J10" s="3" t="s">
        <v>1000</v>
      </c>
    </row>
    <row r="11" ht="57.0" customHeight="1">
      <c r="A11" s="47" t="s">
        <v>1001</v>
      </c>
      <c r="B11" s="46" t="s">
        <v>980</v>
      </c>
      <c r="C11" s="46" t="s">
        <v>1002</v>
      </c>
      <c r="D11" s="46" t="s">
        <v>1003</v>
      </c>
      <c r="E11" s="46" t="s">
        <v>1004</v>
      </c>
      <c r="F11" s="14">
        <v>46263.0</v>
      </c>
      <c r="G11" s="15" t="s">
        <v>26</v>
      </c>
      <c r="H11" s="13" t="s">
        <v>1005</v>
      </c>
      <c r="I11" s="16" t="s">
        <v>1006</v>
      </c>
      <c r="J11" s="13" t="s">
        <v>1007</v>
      </c>
    </row>
    <row r="12" ht="45.75" customHeight="1">
      <c r="A12" s="39" t="s">
        <v>1008</v>
      </c>
      <c r="B12" s="41" t="s">
        <v>956</v>
      </c>
      <c r="C12" s="41" t="s">
        <v>1009</v>
      </c>
      <c r="D12" s="41" t="s">
        <v>1010</v>
      </c>
      <c r="E12" s="41" t="s">
        <v>1011</v>
      </c>
      <c r="F12" s="4">
        <v>46263.0</v>
      </c>
      <c r="G12" s="6" t="s">
        <v>26</v>
      </c>
      <c r="H12" s="3" t="s">
        <v>1012</v>
      </c>
      <c r="I12" s="10" t="s">
        <v>1013</v>
      </c>
      <c r="J12" s="3" t="s">
        <v>1014</v>
      </c>
    </row>
    <row r="13" ht="45.75" customHeight="1">
      <c r="A13" s="11" t="s">
        <v>1015</v>
      </c>
      <c r="B13" s="13" t="s">
        <v>1016</v>
      </c>
      <c r="C13" s="13" t="s">
        <v>1017</v>
      </c>
      <c r="D13" s="13" t="s">
        <v>1018</v>
      </c>
      <c r="E13" s="13" t="s">
        <v>1019</v>
      </c>
      <c r="F13" s="14">
        <v>46263.0</v>
      </c>
      <c r="G13" s="15" t="s">
        <v>26</v>
      </c>
      <c r="H13" s="13" t="s">
        <v>1020</v>
      </c>
      <c r="I13" s="13" t="s">
        <v>1021</v>
      </c>
      <c r="J13" s="13" t="s">
        <v>1022</v>
      </c>
    </row>
    <row r="14" ht="45.75" customHeight="1">
      <c r="A14" s="39" t="s">
        <v>1023</v>
      </c>
      <c r="B14" s="41" t="s">
        <v>485</v>
      </c>
      <c r="C14" s="41" t="s">
        <v>1024</v>
      </c>
      <c r="D14" s="41" t="s">
        <v>1025</v>
      </c>
      <c r="E14" s="41" t="s">
        <v>1026</v>
      </c>
      <c r="F14" s="4">
        <v>46263.0</v>
      </c>
      <c r="G14" s="6" t="s">
        <v>26</v>
      </c>
      <c r="H14" s="3" t="s">
        <v>1027</v>
      </c>
      <c r="I14" s="10" t="s">
        <v>1028</v>
      </c>
      <c r="J14" s="3" t="s">
        <v>1029</v>
      </c>
    </row>
    <row r="15" ht="45.75" customHeight="1">
      <c r="A15" s="47" t="s">
        <v>1030</v>
      </c>
      <c r="B15" s="46" t="s">
        <v>485</v>
      </c>
      <c r="C15" s="46" t="s">
        <v>1031</v>
      </c>
      <c r="D15" s="46" t="s">
        <v>1032</v>
      </c>
      <c r="E15" s="46" t="s">
        <v>1033</v>
      </c>
      <c r="F15" s="14">
        <v>46263.0</v>
      </c>
      <c r="G15" s="15" t="s">
        <v>26</v>
      </c>
      <c r="H15" s="13" t="s">
        <v>1034</v>
      </c>
      <c r="I15" s="16" t="s">
        <v>1035</v>
      </c>
      <c r="J15" s="13" t="s">
        <v>1036</v>
      </c>
    </row>
    <row r="16" ht="57.0" customHeight="1">
      <c r="A16" s="39" t="s">
        <v>1037</v>
      </c>
      <c r="B16" s="41" t="s">
        <v>499</v>
      </c>
      <c r="C16" s="41" t="s">
        <v>1038</v>
      </c>
      <c r="D16" s="41" t="s">
        <v>1039</v>
      </c>
      <c r="E16" s="41" t="s">
        <v>1040</v>
      </c>
      <c r="F16" s="4">
        <v>46263.0</v>
      </c>
      <c r="G16" s="6" t="s">
        <v>26</v>
      </c>
      <c r="H16" s="3" t="s">
        <v>1041</v>
      </c>
      <c r="I16" s="10" t="s">
        <v>1042</v>
      </c>
      <c r="J16" s="3" t="s">
        <v>1043</v>
      </c>
    </row>
    <row r="17">
      <c r="A17" s="31"/>
      <c r="B17" s="31"/>
      <c r="C17" s="31"/>
      <c r="D17" s="31"/>
      <c r="E17" s="31"/>
      <c r="F17" s="31"/>
      <c r="G17" s="31"/>
      <c r="H17" s="31"/>
      <c r="I17" s="31"/>
      <c r="J17" s="31"/>
    </row>
    <row r="18">
      <c r="A18" s="31"/>
      <c r="B18" s="31"/>
      <c r="C18" s="31"/>
      <c r="D18" s="31"/>
      <c r="E18" s="31"/>
      <c r="F18" s="31"/>
      <c r="G18" s="31"/>
      <c r="H18" s="31"/>
      <c r="I18" s="31"/>
      <c r="J18" s="31"/>
    </row>
    <row r="19">
      <c r="A19" s="31"/>
      <c r="B19" s="31"/>
      <c r="C19" s="31"/>
      <c r="D19" s="31"/>
      <c r="E19" s="31"/>
      <c r="F19" s="31"/>
      <c r="G19" s="31"/>
      <c r="H19" s="31"/>
      <c r="I19" s="31"/>
      <c r="J19" s="31"/>
    </row>
    <row r="20">
      <c r="A20" s="31"/>
      <c r="B20" s="31"/>
      <c r="C20" s="31"/>
      <c r="D20" s="31"/>
      <c r="E20" s="31"/>
      <c r="F20" s="31"/>
      <c r="G20" s="31"/>
      <c r="H20" s="31"/>
      <c r="I20" s="31"/>
      <c r="J20" s="31"/>
    </row>
    <row r="21" ht="15.75" customHeight="1">
      <c r="A21" s="31"/>
      <c r="B21" s="31"/>
      <c r="C21" s="31"/>
      <c r="D21" s="31"/>
      <c r="E21" s="31"/>
      <c r="F21" s="31"/>
      <c r="G21" s="31"/>
      <c r="H21" s="31"/>
      <c r="I21" s="31"/>
      <c r="J21" s="31"/>
    </row>
    <row r="22" ht="15.75" customHeight="1">
      <c r="A22" s="31"/>
      <c r="B22" s="31"/>
      <c r="C22" s="31"/>
      <c r="D22" s="31"/>
      <c r="E22" s="31"/>
      <c r="F22" s="31"/>
      <c r="G22" s="31"/>
      <c r="H22" s="31"/>
      <c r="I22" s="31"/>
      <c r="J22" s="31"/>
    </row>
    <row r="23" ht="15.75" customHeight="1">
      <c r="A23" s="31"/>
      <c r="B23" s="31"/>
      <c r="C23" s="31"/>
      <c r="D23" s="31"/>
      <c r="E23" s="31"/>
      <c r="F23" s="31"/>
      <c r="G23" s="31"/>
      <c r="H23" s="31"/>
      <c r="I23" s="31"/>
      <c r="J23" s="31"/>
    </row>
    <row r="24" ht="15.75" customHeight="1">
      <c r="A24" s="31"/>
      <c r="B24" s="31"/>
      <c r="C24" s="31"/>
      <c r="D24" s="31"/>
      <c r="E24" s="31"/>
      <c r="F24" s="31"/>
      <c r="G24" s="31"/>
      <c r="H24" s="31"/>
      <c r="I24" s="31"/>
      <c r="J24" s="31"/>
    </row>
    <row r="25" ht="15.75" customHeight="1">
      <c r="A25" s="31"/>
      <c r="B25" s="31"/>
      <c r="C25" s="31"/>
      <c r="D25" s="31"/>
      <c r="E25" s="31"/>
      <c r="F25" s="31"/>
      <c r="G25" s="31"/>
      <c r="H25" s="31"/>
      <c r="I25" s="31"/>
      <c r="J25" s="31"/>
    </row>
    <row r="26" ht="15.75" customHeight="1">
      <c r="A26" s="31"/>
      <c r="B26" s="31"/>
      <c r="C26" s="31"/>
      <c r="D26" s="31"/>
      <c r="E26" s="31"/>
      <c r="F26" s="31"/>
      <c r="G26" s="31"/>
      <c r="H26" s="31"/>
      <c r="I26" s="31"/>
      <c r="J26" s="31"/>
    </row>
    <row r="27" ht="15.75" customHeight="1">
      <c r="A27" s="31"/>
      <c r="B27" s="31"/>
      <c r="C27" s="31"/>
      <c r="D27" s="31"/>
      <c r="E27" s="31"/>
      <c r="F27" s="31"/>
      <c r="G27" s="31"/>
      <c r="H27" s="31"/>
      <c r="I27" s="31"/>
      <c r="J27" s="31"/>
    </row>
    <row r="28" ht="15.75" customHeight="1">
      <c r="A28" s="31"/>
      <c r="B28" s="31"/>
      <c r="C28" s="31"/>
      <c r="D28" s="31"/>
      <c r="E28" s="31"/>
      <c r="F28" s="31"/>
      <c r="G28" s="31"/>
      <c r="H28" s="31"/>
      <c r="I28" s="31"/>
      <c r="J28" s="31"/>
    </row>
    <row r="29" ht="15.75" customHeight="1">
      <c r="A29" s="31"/>
      <c r="B29" s="31"/>
      <c r="C29" s="31"/>
      <c r="D29" s="31"/>
      <c r="E29" s="31"/>
      <c r="F29" s="31"/>
      <c r="G29" s="31"/>
      <c r="H29" s="31"/>
      <c r="I29" s="31"/>
      <c r="J29" s="31"/>
    </row>
    <row r="30" ht="15.75" customHeight="1">
      <c r="A30" s="31"/>
      <c r="B30" s="31"/>
      <c r="C30" s="31"/>
      <c r="D30" s="31"/>
      <c r="E30" s="31"/>
      <c r="F30" s="31"/>
      <c r="G30" s="31"/>
      <c r="H30" s="31"/>
      <c r="I30" s="31"/>
      <c r="J30" s="31"/>
    </row>
    <row r="31" ht="15.75" customHeight="1">
      <c r="A31" s="31"/>
      <c r="B31" s="31"/>
      <c r="C31" s="31"/>
      <c r="D31" s="31"/>
      <c r="E31" s="31"/>
      <c r="F31" s="31"/>
      <c r="G31" s="31"/>
      <c r="H31" s="31"/>
      <c r="I31" s="31"/>
      <c r="J31" s="31"/>
    </row>
    <row r="32" ht="15.75" customHeight="1">
      <c r="A32" s="31"/>
      <c r="B32" s="31"/>
      <c r="C32" s="31"/>
      <c r="D32" s="31"/>
      <c r="E32" s="31"/>
      <c r="F32" s="31"/>
      <c r="G32" s="31"/>
      <c r="H32" s="31"/>
      <c r="I32" s="31"/>
      <c r="J32" s="31"/>
    </row>
    <row r="33" ht="15.75" customHeight="1">
      <c r="A33" s="31"/>
      <c r="B33" s="31"/>
      <c r="C33" s="31"/>
      <c r="D33" s="31"/>
      <c r="E33" s="31"/>
      <c r="F33" s="31"/>
      <c r="G33" s="31"/>
      <c r="H33" s="31"/>
      <c r="I33" s="31"/>
      <c r="J33" s="31"/>
    </row>
    <row r="34" ht="15.75" customHeight="1">
      <c r="A34" s="31"/>
      <c r="B34" s="31"/>
      <c r="C34" s="31"/>
      <c r="D34" s="31"/>
      <c r="E34" s="31"/>
      <c r="F34" s="31"/>
      <c r="G34" s="31"/>
      <c r="H34" s="31"/>
      <c r="I34" s="31"/>
      <c r="J34" s="31"/>
    </row>
    <row r="35" ht="15.75" customHeight="1">
      <c r="A35" s="31"/>
      <c r="B35" s="31"/>
      <c r="C35" s="31"/>
      <c r="D35" s="31"/>
      <c r="E35" s="31"/>
      <c r="F35" s="31"/>
      <c r="G35" s="31"/>
      <c r="H35" s="31"/>
      <c r="I35" s="31"/>
      <c r="J35" s="31"/>
    </row>
    <row r="36" ht="15.75" customHeight="1">
      <c r="A36" s="31"/>
      <c r="B36" s="31"/>
      <c r="C36" s="31"/>
      <c r="D36" s="31"/>
      <c r="E36" s="31"/>
      <c r="F36" s="31"/>
      <c r="G36" s="31"/>
      <c r="H36" s="31"/>
      <c r="I36" s="31"/>
      <c r="J36" s="31"/>
    </row>
    <row r="37" ht="15.75" customHeight="1">
      <c r="A37" s="31"/>
      <c r="B37" s="31"/>
      <c r="C37" s="31"/>
      <c r="D37" s="31"/>
      <c r="E37" s="31"/>
      <c r="F37" s="31"/>
      <c r="G37" s="31"/>
      <c r="H37" s="31"/>
      <c r="I37" s="31"/>
      <c r="J37" s="31"/>
    </row>
    <row r="38" ht="15.75" customHeight="1">
      <c r="A38" s="31"/>
      <c r="B38" s="31"/>
      <c r="C38" s="31"/>
      <c r="D38" s="31"/>
      <c r="E38" s="31"/>
      <c r="F38" s="31"/>
      <c r="G38" s="31"/>
      <c r="H38" s="31"/>
      <c r="I38" s="31"/>
      <c r="J38" s="31"/>
    </row>
    <row r="39" ht="15.75" customHeight="1">
      <c r="A39" s="31"/>
      <c r="B39" s="31"/>
      <c r="C39" s="31"/>
      <c r="D39" s="31"/>
      <c r="E39" s="31"/>
      <c r="F39" s="31"/>
      <c r="G39" s="31"/>
      <c r="H39" s="31"/>
      <c r="I39" s="31"/>
      <c r="J39" s="31"/>
    </row>
    <row r="40" ht="15.75" customHeight="1">
      <c r="A40" s="31"/>
      <c r="B40" s="31"/>
      <c r="C40" s="31"/>
      <c r="D40" s="31"/>
      <c r="E40" s="31"/>
      <c r="F40" s="31"/>
      <c r="G40" s="31"/>
      <c r="H40" s="31"/>
      <c r="I40" s="31"/>
      <c r="J40" s="31"/>
    </row>
    <row r="41" ht="15.75" customHeight="1">
      <c r="A41" s="31"/>
      <c r="B41" s="31"/>
      <c r="C41" s="31"/>
      <c r="D41" s="31"/>
      <c r="E41" s="31"/>
      <c r="F41" s="31"/>
      <c r="G41" s="31"/>
      <c r="H41" s="31"/>
      <c r="I41" s="31"/>
      <c r="J41" s="31"/>
    </row>
    <row r="42" ht="15.75" customHeight="1">
      <c r="A42" s="31"/>
      <c r="B42" s="31"/>
      <c r="C42" s="31"/>
      <c r="D42" s="31"/>
      <c r="E42" s="31"/>
      <c r="F42" s="31"/>
      <c r="G42" s="31"/>
      <c r="H42" s="31"/>
      <c r="I42" s="31"/>
      <c r="J42" s="31"/>
    </row>
    <row r="43" ht="15.75" customHeight="1">
      <c r="A43" s="31"/>
      <c r="B43" s="31"/>
      <c r="C43" s="31"/>
      <c r="D43" s="31"/>
      <c r="E43" s="31"/>
      <c r="F43" s="31"/>
      <c r="G43" s="31"/>
      <c r="H43" s="31"/>
      <c r="I43" s="31"/>
      <c r="J43" s="31"/>
    </row>
    <row r="44" ht="15.75" customHeight="1">
      <c r="A44" s="31"/>
      <c r="B44" s="31"/>
      <c r="C44" s="31"/>
      <c r="D44" s="31"/>
      <c r="E44" s="31"/>
      <c r="F44" s="31"/>
      <c r="G44" s="31"/>
      <c r="H44" s="31"/>
      <c r="I44" s="31"/>
      <c r="J44" s="31"/>
    </row>
    <row r="45" ht="15.75" customHeight="1">
      <c r="A45" s="31"/>
      <c r="B45" s="31"/>
      <c r="C45" s="31"/>
      <c r="D45" s="31"/>
      <c r="E45" s="31"/>
      <c r="F45" s="31"/>
      <c r="G45" s="31"/>
      <c r="H45" s="31"/>
      <c r="I45" s="31"/>
      <c r="J45" s="31"/>
    </row>
    <row r="46" ht="15.75" customHeight="1">
      <c r="A46" s="31"/>
      <c r="B46" s="31"/>
      <c r="C46" s="31"/>
      <c r="D46" s="31"/>
      <c r="E46" s="31"/>
      <c r="F46" s="31"/>
      <c r="G46" s="31"/>
      <c r="H46" s="31"/>
      <c r="I46" s="31"/>
      <c r="J46" s="31"/>
    </row>
    <row r="47" ht="15.75" customHeight="1">
      <c r="A47" s="31"/>
      <c r="B47" s="31"/>
      <c r="C47" s="31"/>
      <c r="D47" s="31"/>
      <c r="E47" s="31"/>
      <c r="F47" s="31"/>
      <c r="G47" s="31"/>
      <c r="H47" s="31"/>
      <c r="I47" s="31"/>
      <c r="J47" s="31"/>
    </row>
    <row r="48" ht="15.75" customHeight="1">
      <c r="A48" s="31"/>
      <c r="B48" s="31"/>
      <c r="C48" s="31"/>
      <c r="D48" s="31"/>
      <c r="E48" s="31"/>
      <c r="F48" s="31"/>
      <c r="G48" s="31"/>
      <c r="H48" s="31"/>
      <c r="I48" s="31"/>
      <c r="J48" s="31"/>
    </row>
    <row r="49" ht="15.75" customHeight="1">
      <c r="A49" s="31"/>
      <c r="B49" s="31"/>
      <c r="C49" s="31"/>
      <c r="D49" s="31"/>
      <c r="E49" s="31"/>
      <c r="F49" s="31"/>
      <c r="G49" s="31"/>
      <c r="H49" s="31"/>
      <c r="I49" s="31"/>
      <c r="J49" s="31"/>
    </row>
    <row r="50" ht="15.75" customHeight="1">
      <c r="A50" s="31"/>
      <c r="B50" s="31"/>
      <c r="C50" s="31"/>
      <c r="D50" s="31"/>
      <c r="E50" s="31"/>
      <c r="F50" s="31"/>
      <c r="G50" s="31"/>
      <c r="H50" s="31"/>
      <c r="I50" s="31"/>
      <c r="J50" s="31"/>
    </row>
    <row r="51" ht="15.75" customHeight="1">
      <c r="A51" s="31"/>
      <c r="B51" s="31"/>
      <c r="C51" s="31"/>
      <c r="D51" s="31"/>
      <c r="E51" s="31"/>
      <c r="F51" s="31"/>
      <c r="G51" s="31"/>
      <c r="H51" s="31"/>
      <c r="I51" s="31"/>
      <c r="J51" s="31"/>
    </row>
    <row r="52" ht="15.75" customHeight="1">
      <c r="A52" s="31"/>
      <c r="B52" s="31"/>
      <c r="C52" s="31"/>
      <c r="D52" s="31"/>
      <c r="E52" s="31"/>
      <c r="F52" s="31"/>
      <c r="G52" s="31"/>
      <c r="H52" s="31"/>
      <c r="I52" s="31"/>
      <c r="J52" s="31"/>
    </row>
    <row r="53" ht="15.75" customHeight="1">
      <c r="A53" s="31"/>
      <c r="B53" s="31"/>
      <c r="C53" s="31"/>
      <c r="D53" s="31"/>
      <c r="E53" s="31"/>
      <c r="F53" s="31"/>
      <c r="G53" s="31"/>
      <c r="H53" s="31"/>
      <c r="I53" s="31"/>
      <c r="J53" s="31"/>
    </row>
    <row r="54" ht="15.75" customHeight="1">
      <c r="A54" s="31"/>
      <c r="B54" s="31"/>
      <c r="C54" s="31"/>
      <c r="D54" s="31"/>
      <c r="E54" s="31"/>
      <c r="F54" s="31"/>
      <c r="G54" s="31"/>
      <c r="H54" s="31"/>
      <c r="I54" s="31"/>
      <c r="J54" s="31"/>
    </row>
    <row r="55" ht="15.75" customHeight="1">
      <c r="A55" s="31"/>
      <c r="B55" s="31"/>
      <c r="C55" s="31"/>
      <c r="D55" s="31"/>
      <c r="E55" s="31"/>
      <c r="F55" s="31"/>
      <c r="G55" s="31"/>
      <c r="H55" s="31"/>
      <c r="I55" s="31"/>
      <c r="J55" s="31"/>
    </row>
    <row r="56" ht="15.75" customHeight="1">
      <c r="A56" s="31"/>
      <c r="B56" s="31"/>
      <c r="C56" s="31"/>
      <c r="D56" s="31"/>
      <c r="E56" s="31"/>
      <c r="F56" s="31"/>
      <c r="G56" s="31"/>
      <c r="H56" s="31"/>
      <c r="I56" s="31"/>
      <c r="J56" s="31"/>
    </row>
    <row r="57" ht="15.75" customHeight="1">
      <c r="A57" s="31"/>
      <c r="B57" s="31"/>
      <c r="C57" s="31"/>
      <c r="D57" s="31"/>
      <c r="E57" s="31"/>
      <c r="F57" s="31"/>
      <c r="G57" s="31"/>
      <c r="H57" s="31"/>
      <c r="I57" s="31"/>
      <c r="J57" s="31"/>
    </row>
    <row r="58" ht="15.75" customHeight="1">
      <c r="A58" s="31"/>
      <c r="B58" s="31"/>
      <c r="C58" s="31"/>
      <c r="D58" s="31"/>
      <c r="E58" s="31"/>
      <c r="F58" s="31"/>
      <c r="G58" s="31"/>
      <c r="H58" s="31"/>
      <c r="I58" s="31"/>
      <c r="J58" s="31"/>
    </row>
    <row r="59" ht="15.75" customHeight="1">
      <c r="A59" s="31"/>
      <c r="B59" s="31"/>
      <c r="C59" s="31"/>
      <c r="D59" s="31"/>
      <c r="E59" s="31"/>
      <c r="F59" s="31"/>
      <c r="G59" s="31"/>
      <c r="H59" s="31"/>
      <c r="I59" s="31"/>
      <c r="J59" s="31"/>
    </row>
    <row r="60" ht="15.75" customHeight="1">
      <c r="A60" s="31"/>
      <c r="B60" s="31"/>
      <c r="C60" s="31"/>
      <c r="D60" s="31"/>
      <c r="E60" s="31"/>
      <c r="F60" s="31"/>
      <c r="G60" s="31"/>
      <c r="H60" s="31"/>
      <c r="I60" s="31"/>
      <c r="J60" s="31"/>
    </row>
    <row r="61" ht="15.75" customHeight="1">
      <c r="A61" s="31"/>
      <c r="B61" s="31"/>
      <c r="C61" s="31"/>
      <c r="D61" s="31"/>
      <c r="E61" s="31"/>
      <c r="F61" s="31"/>
      <c r="G61" s="31"/>
      <c r="H61" s="31"/>
      <c r="I61" s="31"/>
      <c r="J61" s="31"/>
    </row>
    <row r="62" ht="15.75" customHeight="1">
      <c r="A62" s="31"/>
      <c r="B62" s="31"/>
      <c r="C62" s="31"/>
      <c r="D62" s="31"/>
      <c r="E62" s="31"/>
      <c r="F62" s="31"/>
      <c r="G62" s="31"/>
      <c r="H62" s="31"/>
      <c r="I62" s="31"/>
      <c r="J62" s="31"/>
    </row>
    <row r="63" ht="15.75" customHeight="1">
      <c r="A63" s="31"/>
      <c r="B63" s="31"/>
      <c r="C63" s="31"/>
      <c r="D63" s="31"/>
      <c r="E63" s="31"/>
      <c r="F63" s="31"/>
      <c r="G63" s="31"/>
      <c r="H63" s="31"/>
      <c r="I63" s="31"/>
      <c r="J63" s="31"/>
    </row>
    <row r="64" ht="15.75" customHeight="1">
      <c r="A64" s="31"/>
      <c r="B64" s="31"/>
      <c r="C64" s="31"/>
      <c r="D64" s="31"/>
      <c r="E64" s="31"/>
      <c r="F64" s="31"/>
      <c r="G64" s="31"/>
      <c r="H64" s="31"/>
      <c r="I64" s="31"/>
      <c r="J64" s="31"/>
    </row>
    <row r="65" ht="15.75" customHeight="1">
      <c r="A65" s="31"/>
      <c r="B65" s="31"/>
      <c r="C65" s="31"/>
      <c r="D65" s="31"/>
      <c r="E65" s="31"/>
      <c r="F65" s="31"/>
      <c r="G65" s="31"/>
      <c r="H65" s="31"/>
      <c r="I65" s="31"/>
      <c r="J65" s="31"/>
    </row>
    <row r="66" ht="15.75" customHeight="1">
      <c r="A66" s="31"/>
      <c r="B66" s="31"/>
      <c r="C66" s="31"/>
      <c r="D66" s="31"/>
      <c r="E66" s="31"/>
      <c r="F66" s="31"/>
      <c r="G66" s="31"/>
      <c r="H66" s="31"/>
      <c r="I66" s="31"/>
      <c r="J66" s="31"/>
    </row>
    <row r="67" ht="15.75" customHeight="1">
      <c r="A67" s="31"/>
      <c r="B67" s="31"/>
      <c r="C67" s="31"/>
      <c r="D67" s="31"/>
      <c r="E67" s="31"/>
      <c r="F67" s="31"/>
      <c r="G67" s="31"/>
      <c r="H67" s="31"/>
      <c r="I67" s="31"/>
      <c r="J67" s="31"/>
    </row>
    <row r="68" ht="15.75" customHeight="1">
      <c r="A68" s="31"/>
      <c r="B68" s="31"/>
      <c r="C68" s="31"/>
      <c r="D68" s="31"/>
      <c r="E68" s="31"/>
      <c r="F68" s="31"/>
      <c r="G68" s="31"/>
      <c r="H68" s="31"/>
      <c r="I68" s="31"/>
      <c r="J68" s="31"/>
    </row>
    <row r="69" ht="15.75" customHeight="1">
      <c r="A69" s="31"/>
      <c r="B69" s="31"/>
      <c r="C69" s="31"/>
      <c r="D69" s="31"/>
      <c r="E69" s="31"/>
      <c r="F69" s="31"/>
      <c r="G69" s="31"/>
      <c r="H69" s="31"/>
      <c r="I69" s="31"/>
      <c r="J69" s="31"/>
    </row>
    <row r="70" ht="15.75" customHeight="1">
      <c r="A70" s="31"/>
      <c r="B70" s="31"/>
      <c r="C70" s="31"/>
      <c r="D70" s="31"/>
      <c r="E70" s="31"/>
      <c r="F70" s="31"/>
      <c r="G70" s="31"/>
      <c r="H70" s="31"/>
      <c r="I70" s="31"/>
      <c r="J70" s="31"/>
    </row>
    <row r="71" ht="15.75" customHeight="1">
      <c r="A71" s="31"/>
      <c r="B71" s="31"/>
      <c r="C71" s="31"/>
      <c r="D71" s="31"/>
      <c r="E71" s="31"/>
      <c r="F71" s="31"/>
      <c r="G71" s="31"/>
      <c r="H71" s="31"/>
      <c r="I71" s="31"/>
      <c r="J71" s="31"/>
    </row>
    <row r="72" ht="15.75" customHeight="1">
      <c r="A72" s="31"/>
      <c r="B72" s="31"/>
      <c r="C72" s="31"/>
      <c r="D72" s="31"/>
      <c r="E72" s="31"/>
      <c r="F72" s="31"/>
      <c r="G72" s="31"/>
      <c r="H72" s="31"/>
      <c r="I72" s="31"/>
      <c r="J72" s="31"/>
    </row>
    <row r="73" ht="15.75" customHeight="1">
      <c r="A73" s="31"/>
      <c r="B73" s="31"/>
      <c r="C73" s="31"/>
      <c r="D73" s="31"/>
      <c r="E73" s="31"/>
      <c r="F73" s="31"/>
      <c r="G73" s="31"/>
      <c r="H73" s="31"/>
      <c r="I73" s="31"/>
      <c r="J73" s="31"/>
    </row>
    <row r="74" ht="15.75" customHeight="1">
      <c r="A74" s="31"/>
      <c r="B74" s="31"/>
      <c r="C74" s="31"/>
      <c r="D74" s="31"/>
      <c r="E74" s="31"/>
      <c r="F74" s="31"/>
      <c r="G74" s="31"/>
      <c r="H74" s="31"/>
      <c r="I74" s="31"/>
      <c r="J74" s="31"/>
    </row>
    <row r="75" ht="15.75" customHeight="1">
      <c r="A75" s="31"/>
      <c r="B75" s="31"/>
      <c r="C75" s="31"/>
      <c r="D75" s="31"/>
      <c r="E75" s="31"/>
      <c r="F75" s="31"/>
      <c r="G75" s="31"/>
      <c r="H75" s="31"/>
      <c r="I75" s="31"/>
      <c r="J75" s="31"/>
    </row>
    <row r="76" ht="15.75" customHeight="1">
      <c r="A76" s="31"/>
      <c r="B76" s="31"/>
      <c r="C76" s="31"/>
      <c r="D76" s="31"/>
      <c r="E76" s="31"/>
      <c r="F76" s="31"/>
      <c r="G76" s="31"/>
      <c r="H76" s="31"/>
      <c r="I76" s="31"/>
      <c r="J76" s="31"/>
    </row>
    <row r="77" ht="15.75" customHeight="1">
      <c r="A77" s="31"/>
      <c r="B77" s="31"/>
      <c r="C77" s="31"/>
      <c r="D77" s="31"/>
      <c r="E77" s="31"/>
      <c r="F77" s="31"/>
      <c r="G77" s="31"/>
      <c r="H77" s="31"/>
      <c r="I77" s="31"/>
      <c r="J77" s="31"/>
    </row>
    <row r="78" ht="15.75" customHeight="1">
      <c r="A78" s="31"/>
      <c r="B78" s="31"/>
      <c r="C78" s="31"/>
      <c r="D78" s="31"/>
      <c r="E78" s="31"/>
      <c r="F78" s="31"/>
      <c r="G78" s="31"/>
      <c r="H78" s="31"/>
      <c r="I78" s="31"/>
      <c r="J78" s="31"/>
    </row>
    <row r="79" ht="15.75" customHeight="1">
      <c r="A79" s="31"/>
      <c r="B79" s="31"/>
      <c r="C79" s="31"/>
      <c r="D79" s="31"/>
      <c r="E79" s="31"/>
      <c r="F79" s="31"/>
      <c r="G79" s="31"/>
      <c r="H79" s="31"/>
      <c r="I79" s="31"/>
      <c r="J79" s="31"/>
    </row>
    <row r="80" ht="15.75" customHeight="1">
      <c r="A80" s="31"/>
      <c r="B80" s="31"/>
      <c r="C80" s="31"/>
      <c r="D80" s="31"/>
      <c r="E80" s="31"/>
      <c r="F80" s="31"/>
      <c r="G80" s="31"/>
      <c r="H80" s="31"/>
      <c r="I80" s="31"/>
      <c r="J80" s="31"/>
    </row>
    <row r="81" ht="15.75" customHeight="1">
      <c r="A81" s="31"/>
      <c r="B81" s="31"/>
      <c r="C81" s="31"/>
      <c r="D81" s="31"/>
      <c r="E81" s="31"/>
      <c r="F81" s="31"/>
      <c r="G81" s="31"/>
      <c r="H81" s="31"/>
      <c r="I81" s="31"/>
      <c r="J81" s="31"/>
    </row>
    <row r="82" ht="15.75" customHeight="1">
      <c r="A82" s="31"/>
      <c r="B82" s="31"/>
      <c r="C82" s="31"/>
      <c r="D82" s="31"/>
      <c r="E82" s="31"/>
      <c r="F82" s="31"/>
      <c r="G82" s="31"/>
      <c r="H82" s="31"/>
      <c r="I82" s="31"/>
      <c r="J82" s="31"/>
    </row>
    <row r="83" ht="15.75" customHeight="1">
      <c r="A83" s="31"/>
      <c r="B83" s="31"/>
      <c r="C83" s="31"/>
      <c r="D83" s="31"/>
      <c r="E83" s="31"/>
      <c r="F83" s="31"/>
      <c r="G83" s="31"/>
      <c r="H83" s="31"/>
      <c r="I83" s="31"/>
      <c r="J83" s="31"/>
    </row>
    <row r="84" ht="15.75" customHeight="1">
      <c r="A84" s="31"/>
      <c r="B84" s="31"/>
      <c r="C84" s="31"/>
      <c r="D84" s="31"/>
      <c r="E84" s="31"/>
      <c r="F84" s="31"/>
      <c r="G84" s="31"/>
      <c r="H84" s="31"/>
      <c r="I84" s="31"/>
      <c r="J84" s="31"/>
    </row>
    <row r="85" ht="15.75" customHeight="1">
      <c r="A85" s="31"/>
      <c r="B85" s="31"/>
      <c r="C85" s="31"/>
      <c r="D85" s="31"/>
      <c r="E85" s="31"/>
      <c r="F85" s="31"/>
      <c r="G85" s="31"/>
      <c r="H85" s="31"/>
      <c r="I85" s="31"/>
      <c r="J85" s="31"/>
    </row>
    <row r="86" ht="15.75" customHeight="1">
      <c r="A86" s="31"/>
      <c r="B86" s="31"/>
      <c r="C86" s="31"/>
      <c r="D86" s="31"/>
      <c r="E86" s="31"/>
      <c r="F86" s="31"/>
      <c r="G86" s="31"/>
      <c r="H86" s="31"/>
      <c r="I86" s="31"/>
      <c r="J86" s="31"/>
    </row>
    <row r="87" ht="15.75" customHeight="1">
      <c r="A87" s="31"/>
      <c r="B87" s="31"/>
      <c r="C87" s="31"/>
      <c r="D87" s="31"/>
      <c r="E87" s="31"/>
      <c r="F87" s="31"/>
      <c r="G87" s="31"/>
      <c r="H87" s="31"/>
      <c r="I87" s="31"/>
      <c r="J87" s="31"/>
    </row>
    <row r="88" ht="15.75" customHeight="1">
      <c r="A88" s="31"/>
      <c r="B88" s="31"/>
      <c r="C88" s="31"/>
      <c r="D88" s="31"/>
      <c r="E88" s="31"/>
      <c r="F88" s="31"/>
      <c r="G88" s="31"/>
      <c r="H88" s="31"/>
      <c r="I88" s="31"/>
      <c r="J88" s="31"/>
    </row>
    <row r="89" ht="15.75" customHeight="1">
      <c r="A89" s="31"/>
      <c r="B89" s="31"/>
      <c r="C89" s="31"/>
      <c r="D89" s="31"/>
      <c r="E89" s="31"/>
      <c r="F89" s="31"/>
      <c r="G89" s="31"/>
      <c r="H89" s="31"/>
      <c r="I89" s="31"/>
      <c r="J89" s="31"/>
    </row>
    <row r="90" ht="15.75" customHeight="1">
      <c r="A90" s="31"/>
      <c r="B90" s="31"/>
      <c r="C90" s="31"/>
      <c r="D90" s="31"/>
      <c r="E90" s="31"/>
      <c r="F90" s="31"/>
      <c r="G90" s="31"/>
      <c r="H90" s="31"/>
      <c r="I90" s="31"/>
      <c r="J90" s="31"/>
    </row>
    <row r="91" ht="15.75" customHeight="1">
      <c r="A91" s="31"/>
      <c r="B91" s="31"/>
      <c r="C91" s="31"/>
      <c r="D91" s="31"/>
      <c r="E91" s="31"/>
      <c r="F91" s="31"/>
      <c r="G91" s="31"/>
      <c r="H91" s="31"/>
      <c r="I91" s="31"/>
      <c r="J91" s="31"/>
    </row>
    <row r="92" ht="15.75" customHeight="1">
      <c r="A92" s="31"/>
      <c r="B92" s="31"/>
      <c r="C92" s="31"/>
      <c r="D92" s="31"/>
      <c r="E92" s="31"/>
      <c r="F92" s="31"/>
      <c r="G92" s="31"/>
      <c r="H92" s="31"/>
      <c r="I92" s="31"/>
      <c r="J92" s="31"/>
    </row>
    <row r="93" ht="15.75" customHeight="1">
      <c r="A93" s="31"/>
      <c r="B93" s="31"/>
      <c r="C93" s="31"/>
      <c r="D93" s="31"/>
      <c r="E93" s="31"/>
      <c r="F93" s="31"/>
      <c r="G93" s="31"/>
      <c r="H93" s="31"/>
      <c r="I93" s="31"/>
      <c r="J93" s="31"/>
    </row>
    <row r="94" ht="15.75" customHeight="1">
      <c r="A94" s="31"/>
      <c r="B94" s="31"/>
      <c r="C94" s="31"/>
      <c r="D94" s="31"/>
      <c r="E94" s="31"/>
      <c r="F94" s="31"/>
      <c r="G94" s="31"/>
      <c r="H94" s="31"/>
      <c r="I94" s="31"/>
      <c r="J94" s="31"/>
    </row>
    <row r="95" ht="15.75" customHeight="1">
      <c r="A95" s="31"/>
      <c r="B95" s="31"/>
      <c r="C95" s="31"/>
      <c r="D95" s="31"/>
      <c r="E95" s="31"/>
      <c r="F95" s="31"/>
      <c r="G95" s="31"/>
      <c r="H95" s="31"/>
      <c r="I95" s="31"/>
      <c r="J95" s="31"/>
    </row>
    <row r="96" ht="15.75" customHeight="1">
      <c r="A96" s="31"/>
      <c r="B96" s="31"/>
      <c r="C96" s="31"/>
      <c r="D96" s="31"/>
      <c r="E96" s="31"/>
      <c r="F96" s="31"/>
      <c r="G96" s="31"/>
      <c r="H96" s="31"/>
      <c r="I96" s="31"/>
      <c r="J96" s="31"/>
    </row>
    <row r="97" ht="15.75" customHeight="1">
      <c r="A97" s="31"/>
      <c r="B97" s="31"/>
      <c r="C97" s="31"/>
      <c r="D97" s="31"/>
      <c r="E97" s="31"/>
      <c r="F97" s="31"/>
      <c r="G97" s="31"/>
      <c r="H97" s="31"/>
      <c r="I97" s="31"/>
      <c r="J97" s="31"/>
    </row>
    <row r="98" ht="15.75" customHeight="1">
      <c r="A98" s="31"/>
      <c r="B98" s="31"/>
      <c r="C98" s="31"/>
      <c r="D98" s="31"/>
      <c r="E98" s="31"/>
      <c r="F98" s="31"/>
      <c r="G98" s="31"/>
      <c r="H98" s="31"/>
      <c r="I98" s="31"/>
      <c r="J98" s="31"/>
    </row>
    <row r="99" ht="15.75" customHeight="1">
      <c r="A99" s="31"/>
      <c r="B99" s="31"/>
      <c r="C99" s="31"/>
      <c r="D99" s="31"/>
      <c r="E99" s="31"/>
      <c r="F99" s="31"/>
      <c r="G99" s="31"/>
      <c r="H99" s="31"/>
      <c r="I99" s="31"/>
      <c r="J99" s="31"/>
    </row>
    <row r="100" ht="15.75" customHeight="1">
      <c r="A100" s="31"/>
      <c r="B100" s="31"/>
      <c r="C100" s="31"/>
      <c r="D100" s="31"/>
      <c r="E100" s="31"/>
      <c r="F100" s="31"/>
      <c r="G100" s="31"/>
      <c r="H100" s="31"/>
      <c r="I100" s="31"/>
      <c r="J100" s="31"/>
    </row>
    <row r="101" ht="15.75" customHeight="1">
      <c r="A101" s="31"/>
      <c r="B101" s="31"/>
      <c r="C101" s="31"/>
      <c r="D101" s="31"/>
      <c r="E101" s="31"/>
      <c r="F101" s="31"/>
      <c r="G101" s="31"/>
      <c r="H101" s="31"/>
      <c r="I101" s="31"/>
      <c r="J101" s="31"/>
    </row>
    <row r="102" ht="15.75" customHeight="1">
      <c r="A102" s="31"/>
      <c r="B102" s="31"/>
      <c r="C102" s="31"/>
      <c r="D102" s="31"/>
      <c r="E102" s="31"/>
      <c r="F102" s="31"/>
      <c r="G102" s="31"/>
      <c r="H102" s="31"/>
      <c r="I102" s="31"/>
      <c r="J102" s="31"/>
    </row>
    <row r="103" ht="15.75" customHeight="1">
      <c r="A103" s="31"/>
      <c r="B103" s="31"/>
      <c r="C103" s="31"/>
      <c r="D103" s="31"/>
      <c r="E103" s="31"/>
      <c r="F103" s="31"/>
      <c r="G103" s="31"/>
      <c r="H103" s="31"/>
      <c r="I103" s="31"/>
      <c r="J103" s="31"/>
    </row>
    <row r="104" ht="15.75" customHeight="1">
      <c r="A104" s="31"/>
      <c r="B104" s="31"/>
      <c r="C104" s="31"/>
      <c r="D104" s="31"/>
      <c r="E104" s="31"/>
      <c r="F104" s="31"/>
      <c r="G104" s="31"/>
      <c r="H104" s="31"/>
      <c r="I104" s="31"/>
      <c r="J104" s="31"/>
    </row>
    <row r="105" ht="15.75" customHeight="1">
      <c r="A105" s="31"/>
      <c r="B105" s="31"/>
      <c r="C105" s="31"/>
      <c r="D105" s="31"/>
      <c r="E105" s="31"/>
      <c r="F105" s="31"/>
      <c r="G105" s="31"/>
      <c r="H105" s="31"/>
      <c r="I105" s="31"/>
      <c r="J105" s="31"/>
    </row>
    <row r="106" ht="15.75" customHeight="1">
      <c r="A106" s="31"/>
      <c r="B106" s="31"/>
      <c r="C106" s="31"/>
      <c r="D106" s="31"/>
      <c r="E106" s="31"/>
      <c r="F106" s="31"/>
      <c r="G106" s="31"/>
      <c r="H106" s="31"/>
      <c r="I106" s="31"/>
      <c r="J106" s="31"/>
    </row>
    <row r="107" ht="15.75" customHeight="1">
      <c r="A107" s="31"/>
      <c r="B107" s="31"/>
      <c r="C107" s="31"/>
      <c r="D107" s="31"/>
      <c r="E107" s="31"/>
      <c r="F107" s="31"/>
      <c r="G107" s="31"/>
      <c r="H107" s="31"/>
      <c r="I107" s="31"/>
      <c r="J107" s="31"/>
    </row>
    <row r="108" ht="15.75" customHeight="1">
      <c r="A108" s="31"/>
      <c r="B108" s="31"/>
      <c r="C108" s="31"/>
      <c r="D108" s="31"/>
      <c r="E108" s="31"/>
      <c r="F108" s="31"/>
      <c r="G108" s="31"/>
      <c r="H108" s="31"/>
      <c r="I108" s="31"/>
      <c r="J108" s="31"/>
    </row>
    <row r="109" ht="15.75" customHeight="1">
      <c r="A109" s="31"/>
      <c r="B109" s="31"/>
      <c r="C109" s="31"/>
      <c r="D109" s="31"/>
      <c r="E109" s="31"/>
      <c r="F109" s="31"/>
      <c r="G109" s="31"/>
      <c r="H109" s="31"/>
      <c r="I109" s="31"/>
      <c r="J109" s="31"/>
    </row>
    <row r="110" ht="15.75" customHeight="1">
      <c r="A110" s="31"/>
      <c r="B110" s="31"/>
      <c r="C110" s="31"/>
      <c r="D110" s="31"/>
      <c r="E110" s="31"/>
      <c r="F110" s="31"/>
      <c r="G110" s="31"/>
      <c r="H110" s="31"/>
      <c r="I110" s="31"/>
      <c r="J110" s="31"/>
    </row>
    <row r="111" ht="15.75" customHeight="1">
      <c r="A111" s="31"/>
      <c r="B111" s="31"/>
      <c r="C111" s="31"/>
      <c r="D111" s="31"/>
      <c r="E111" s="31"/>
      <c r="F111" s="31"/>
      <c r="G111" s="31"/>
      <c r="H111" s="31"/>
      <c r="I111" s="31"/>
      <c r="J111" s="31"/>
    </row>
    <row r="112" ht="15.75" customHeight="1">
      <c r="A112" s="31"/>
      <c r="B112" s="31"/>
      <c r="C112" s="31"/>
      <c r="D112" s="31"/>
      <c r="E112" s="31"/>
      <c r="F112" s="31"/>
      <c r="G112" s="31"/>
      <c r="H112" s="31"/>
      <c r="I112" s="31"/>
      <c r="J112" s="31"/>
    </row>
    <row r="113" ht="15.75" customHeight="1">
      <c r="A113" s="31"/>
      <c r="B113" s="31"/>
      <c r="C113" s="31"/>
      <c r="D113" s="31"/>
      <c r="E113" s="31"/>
      <c r="F113" s="31"/>
      <c r="G113" s="31"/>
      <c r="H113" s="31"/>
      <c r="I113" s="31"/>
      <c r="J113" s="31"/>
    </row>
    <row r="114" ht="15.75" customHeight="1">
      <c r="A114" s="31"/>
      <c r="B114" s="31"/>
      <c r="C114" s="31"/>
      <c r="D114" s="31"/>
      <c r="E114" s="31"/>
      <c r="F114" s="31"/>
      <c r="G114" s="31"/>
      <c r="H114" s="31"/>
      <c r="I114" s="31"/>
      <c r="J114" s="31"/>
    </row>
    <row r="115" ht="15.75" customHeight="1">
      <c r="A115" s="31"/>
      <c r="B115" s="31"/>
      <c r="C115" s="31"/>
      <c r="D115" s="31"/>
      <c r="E115" s="31"/>
      <c r="F115" s="31"/>
      <c r="G115" s="31"/>
      <c r="H115" s="31"/>
      <c r="I115" s="31"/>
      <c r="J115" s="31"/>
    </row>
    <row r="116" ht="15.75" customHeight="1">
      <c r="A116" s="31"/>
      <c r="B116" s="31"/>
      <c r="C116" s="31"/>
      <c r="D116" s="31"/>
      <c r="E116" s="31"/>
      <c r="F116" s="31"/>
      <c r="G116" s="31"/>
      <c r="H116" s="31"/>
      <c r="I116" s="31"/>
      <c r="J116" s="31"/>
    </row>
    <row r="117" ht="15.75" customHeight="1">
      <c r="A117" s="31"/>
      <c r="B117" s="31"/>
      <c r="C117" s="31"/>
      <c r="D117" s="31"/>
      <c r="E117" s="31"/>
      <c r="F117" s="31"/>
      <c r="G117" s="31"/>
      <c r="H117" s="31"/>
      <c r="I117" s="31"/>
      <c r="J117" s="31"/>
    </row>
    <row r="118" ht="15.75" customHeight="1">
      <c r="A118" s="31"/>
      <c r="B118" s="31"/>
      <c r="C118" s="31"/>
      <c r="D118" s="31"/>
      <c r="E118" s="31"/>
      <c r="F118" s="31"/>
      <c r="G118" s="31"/>
      <c r="H118" s="31"/>
      <c r="I118" s="31"/>
      <c r="J118" s="31"/>
    </row>
    <row r="119" ht="15.75" customHeight="1">
      <c r="A119" s="31"/>
      <c r="B119" s="31"/>
      <c r="C119" s="31"/>
      <c r="D119" s="31"/>
      <c r="E119" s="31"/>
      <c r="F119" s="31"/>
      <c r="G119" s="31"/>
      <c r="H119" s="31"/>
      <c r="I119" s="31"/>
      <c r="J119" s="31"/>
    </row>
    <row r="120" ht="15.75" customHeight="1">
      <c r="A120" s="31"/>
      <c r="B120" s="31"/>
      <c r="C120" s="31"/>
      <c r="D120" s="31"/>
      <c r="E120" s="31"/>
      <c r="F120" s="31"/>
      <c r="G120" s="31"/>
      <c r="H120" s="31"/>
      <c r="I120" s="31"/>
      <c r="J120" s="31"/>
    </row>
    <row r="121" ht="15.75" customHeight="1">
      <c r="A121" s="31"/>
      <c r="B121" s="31"/>
      <c r="C121" s="31"/>
      <c r="D121" s="31"/>
      <c r="E121" s="31"/>
      <c r="F121" s="31"/>
      <c r="G121" s="31"/>
      <c r="H121" s="31"/>
      <c r="I121" s="31"/>
      <c r="J121" s="31"/>
    </row>
    <row r="122" ht="15.75" customHeight="1">
      <c r="A122" s="31"/>
      <c r="B122" s="31"/>
      <c r="C122" s="31"/>
      <c r="D122" s="31"/>
      <c r="E122" s="31"/>
      <c r="F122" s="31"/>
      <c r="G122" s="31"/>
      <c r="H122" s="31"/>
      <c r="I122" s="31"/>
      <c r="J122" s="31"/>
    </row>
    <row r="123" ht="15.75" customHeight="1">
      <c r="A123" s="31"/>
      <c r="B123" s="31"/>
      <c r="C123" s="31"/>
      <c r="D123" s="31"/>
      <c r="E123" s="31"/>
      <c r="F123" s="31"/>
      <c r="G123" s="31"/>
      <c r="H123" s="31"/>
      <c r="I123" s="31"/>
      <c r="J123" s="31"/>
    </row>
    <row r="124" ht="15.75" customHeight="1">
      <c r="A124" s="31"/>
      <c r="B124" s="31"/>
      <c r="C124" s="31"/>
      <c r="D124" s="31"/>
      <c r="E124" s="31"/>
      <c r="F124" s="31"/>
      <c r="G124" s="31"/>
      <c r="H124" s="31"/>
      <c r="I124" s="31"/>
      <c r="J124" s="31"/>
    </row>
    <row r="125" ht="15.75" customHeight="1">
      <c r="A125" s="31"/>
      <c r="B125" s="31"/>
      <c r="C125" s="31"/>
      <c r="D125" s="31"/>
      <c r="E125" s="31"/>
      <c r="F125" s="31"/>
      <c r="G125" s="31"/>
      <c r="H125" s="31"/>
      <c r="I125" s="31"/>
      <c r="J125" s="31"/>
    </row>
    <row r="126" ht="15.75" customHeight="1">
      <c r="A126" s="31"/>
      <c r="B126" s="31"/>
      <c r="C126" s="31"/>
      <c r="D126" s="31"/>
      <c r="E126" s="31"/>
      <c r="F126" s="31"/>
      <c r="G126" s="31"/>
      <c r="H126" s="31"/>
      <c r="I126" s="31"/>
      <c r="J126" s="31"/>
    </row>
    <row r="127" ht="15.75" customHeight="1">
      <c r="A127" s="31"/>
      <c r="B127" s="31"/>
      <c r="C127" s="31"/>
      <c r="D127" s="31"/>
      <c r="E127" s="31"/>
      <c r="F127" s="31"/>
      <c r="G127" s="31"/>
      <c r="H127" s="31"/>
      <c r="I127" s="31"/>
      <c r="J127" s="31"/>
    </row>
    <row r="128" ht="15.75" customHeight="1">
      <c r="A128" s="31"/>
      <c r="B128" s="31"/>
      <c r="C128" s="31"/>
      <c r="D128" s="31"/>
      <c r="E128" s="31"/>
      <c r="F128" s="31"/>
      <c r="G128" s="31"/>
      <c r="H128" s="31"/>
      <c r="I128" s="31"/>
      <c r="J128" s="31"/>
    </row>
    <row r="129" ht="15.75" customHeight="1">
      <c r="A129" s="31"/>
      <c r="B129" s="31"/>
      <c r="C129" s="31"/>
      <c r="D129" s="31"/>
      <c r="E129" s="31"/>
      <c r="F129" s="31"/>
      <c r="G129" s="31"/>
      <c r="H129" s="31"/>
      <c r="I129" s="31"/>
      <c r="J129" s="31"/>
    </row>
    <row r="130" ht="15.75" customHeight="1">
      <c r="A130" s="31"/>
      <c r="B130" s="31"/>
      <c r="C130" s="31"/>
      <c r="D130" s="31"/>
      <c r="E130" s="31"/>
      <c r="F130" s="31"/>
      <c r="G130" s="31"/>
      <c r="H130" s="31"/>
      <c r="I130" s="31"/>
      <c r="J130" s="31"/>
    </row>
    <row r="131" ht="15.75" customHeight="1">
      <c r="A131" s="31"/>
      <c r="B131" s="31"/>
      <c r="C131" s="31"/>
      <c r="D131" s="31"/>
      <c r="E131" s="31"/>
      <c r="F131" s="31"/>
      <c r="G131" s="31"/>
      <c r="H131" s="31"/>
      <c r="I131" s="31"/>
      <c r="J131" s="31"/>
    </row>
    <row r="132" ht="15.75" customHeight="1">
      <c r="A132" s="31"/>
      <c r="B132" s="31"/>
      <c r="C132" s="31"/>
      <c r="D132" s="31"/>
      <c r="E132" s="31"/>
      <c r="F132" s="31"/>
      <c r="G132" s="31"/>
      <c r="H132" s="31"/>
      <c r="I132" s="31"/>
      <c r="J132" s="31"/>
    </row>
    <row r="133" ht="15.75" customHeight="1">
      <c r="A133" s="31"/>
      <c r="B133" s="31"/>
      <c r="C133" s="31"/>
      <c r="D133" s="31"/>
      <c r="E133" s="31"/>
      <c r="F133" s="31"/>
      <c r="G133" s="31"/>
      <c r="H133" s="31"/>
      <c r="I133" s="31"/>
      <c r="J133" s="31"/>
    </row>
    <row r="134" ht="15.75" customHeight="1">
      <c r="A134" s="31"/>
      <c r="B134" s="31"/>
      <c r="C134" s="31"/>
      <c r="D134" s="31"/>
      <c r="E134" s="31"/>
      <c r="F134" s="31"/>
      <c r="G134" s="31"/>
      <c r="H134" s="31"/>
      <c r="I134" s="31"/>
      <c r="J134" s="31"/>
    </row>
    <row r="135" ht="15.75" customHeight="1">
      <c r="A135" s="31"/>
      <c r="B135" s="31"/>
      <c r="C135" s="31"/>
      <c r="D135" s="31"/>
      <c r="E135" s="31"/>
      <c r="F135" s="31"/>
      <c r="G135" s="31"/>
      <c r="H135" s="31"/>
      <c r="I135" s="31"/>
      <c r="J135" s="31"/>
    </row>
    <row r="136" ht="15.75" customHeight="1">
      <c r="A136" s="31"/>
      <c r="B136" s="31"/>
      <c r="C136" s="31"/>
      <c r="D136" s="31"/>
      <c r="E136" s="31"/>
      <c r="F136" s="31"/>
      <c r="G136" s="31"/>
      <c r="H136" s="31"/>
      <c r="I136" s="31"/>
      <c r="J136" s="31"/>
    </row>
    <row r="137" ht="15.75" customHeight="1">
      <c r="A137" s="31"/>
      <c r="B137" s="31"/>
      <c r="C137" s="31"/>
      <c r="D137" s="31"/>
      <c r="E137" s="31"/>
      <c r="F137" s="31"/>
      <c r="G137" s="31"/>
      <c r="H137" s="31"/>
      <c r="I137" s="31"/>
      <c r="J137" s="31"/>
    </row>
    <row r="138" ht="15.75" customHeight="1">
      <c r="A138" s="31"/>
      <c r="B138" s="31"/>
      <c r="C138" s="31"/>
      <c r="D138" s="31"/>
      <c r="E138" s="31"/>
      <c r="F138" s="31"/>
      <c r="G138" s="31"/>
      <c r="H138" s="31"/>
      <c r="I138" s="31"/>
      <c r="J138" s="31"/>
    </row>
    <row r="139" ht="15.75" customHeight="1">
      <c r="A139" s="31"/>
      <c r="B139" s="31"/>
      <c r="C139" s="31"/>
      <c r="D139" s="31"/>
      <c r="E139" s="31"/>
      <c r="F139" s="31"/>
      <c r="G139" s="31"/>
      <c r="H139" s="31"/>
      <c r="I139" s="31"/>
      <c r="J139" s="31"/>
    </row>
    <row r="140" ht="15.75" customHeight="1">
      <c r="A140" s="31"/>
      <c r="B140" s="31"/>
      <c r="C140" s="31"/>
      <c r="D140" s="31"/>
      <c r="E140" s="31"/>
      <c r="F140" s="31"/>
      <c r="G140" s="31"/>
      <c r="H140" s="31"/>
      <c r="I140" s="31"/>
      <c r="J140" s="31"/>
    </row>
    <row r="141" ht="15.75" customHeight="1">
      <c r="A141" s="31"/>
      <c r="B141" s="31"/>
      <c r="C141" s="31"/>
      <c r="D141" s="31"/>
      <c r="E141" s="31"/>
      <c r="F141" s="31"/>
      <c r="G141" s="31"/>
      <c r="H141" s="31"/>
      <c r="I141" s="31"/>
      <c r="J141" s="31"/>
    </row>
    <row r="142" ht="15.75" customHeight="1">
      <c r="A142" s="31"/>
      <c r="B142" s="31"/>
      <c r="C142" s="31"/>
      <c r="D142" s="31"/>
      <c r="E142" s="31"/>
      <c r="F142" s="31"/>
      <c r="G142" s="31"/>
      <c r="H142" s="31"/>
      <c r="I142" s="31"/>
      <c r="J142" s="31"/>
    </row>
    <row r="143" ht="15.75" customHeight="1">
      <c r="A143" s="31"/>
      <c r="B143" s="31"/>
      <c r="C143" s="31"/>
      <c r="D143" s="31"/>
      <c r="E143" s="31"/>
      <c r="F143" s="31"/>
      <c r="G143" s="31"/>
      <c r="H143" s="31"/>
      <c r="I143" s="31"/>
      <c r="J143" s="31"/>
    </row>
    <row r="144" ht="15.75" customHeight="1">
      <c r="A144" s="31"/>
      <c r="B144" s="31"/>
      <c r="C144" s="31"/>
      <c r="D144" s="31"/>
      <c r="E144" s="31"/>
      <c r="F144" s="31"/>
      <c r="G144" s="31"/>
      <c r="H144" s="31"/>
      <c r="I144" s="31"/>
      <c r="J144" s="31"/>
    </row>
    <row r="145" ht="15.75" customHeight="1">
      <c r="A145" s="31"/>
      <c r="B145" s="31"/>
      <c r="C145" s="31"/>
      <c r="D145" s="31"/>
      <c r="E145" s="31"/>
      <c r="F145" s="31"/>
      <c r="G145" s="31"/>
      <c r="H145" s="31"/>
      <c r="I145" s="31"/>
      <c r="J145" s="31"/>
    </row>
    <row r="146" ht="15.75" customHeight="1">
      <c r="A146" s="31"/>
      <c r="B146" s="31"/>
      <c r="C146" s="31"/>
      <c r="D146" s="31"/>
      <c r="E146" s="31"/>
      <c r="F146" s="31"/>
      <c r="G146" s="31"/>
      <c r="H146" s="31"/>
      <c r="I146" s="31"/>
      <c r="J146" s="31"/>
    </row>
    <row r="147" ht="15.75" customHeight="1">
      <c r="A147" s="31"/>
      <c r="B147" s="31"/>
      <c r="C147" s="31"/>
      <c r="D147" s="31"/>
      <c r="E147" s="31"/>
      <c r="F147" s="31"/>
      <c r="G147" s="31"/>
      <c r="H147" s="31"/>
      <c r="I147" s="31"/>
      <c r="J147" s="31"/>
    </row>
    <row r="148" ht="15.75" customHeight="1">
      <c r="A148" s="31"/>
      <c r="B148" s="31"/>
      <c r="C148" s="31"/>
      <c r="D148" s="31"/>
      <c r="E148" s="31"/>
      <c r="F148" s="31"/>
      <c r="G148" s="31"/>
      <c r="H148" s="31"/>
      <c r="I148" s="31"/>
      <c r="J148" s="31"/>
    </row>
    <row r="149" ht="15.75" customHeight="1">
      <c r="A149" s="31"/>
      <c r="B149" s="31"/>
      <c r="C149" s="31"/>
      <c r="D149" s="31"/>
      <c r="E149" s="31"/>
      <c r="F149" s="31"/>
      <c r="G149" s="31"/>
      <c r="H149" s="31"/>
      <c r="I149" s="31"/>
      <c r="J149" s="31"/>
    </row>
    <row r="150" ht="15.75" customHeight="1">
      <c r="A150" s="31"/>
      <c r="B150" s="31"/>
      <c r="C150" s="31"/>
      <c r="D150" s="31"/>
      <c r="E150" s="31"/>
      <c r="F150" s="31"/>
      <c r="G150" s="31"/>
      <c r="H150" s="31"/>
      <c r="I150" s="31"/>
      <c r="J150" s="31"/>
    </row>
    <row r="151" ht="15.75" customHeight="1">
      <c r="A151" s="31"/>
      <c r="B151" s="31"/>
      <c r="C151" s="31"/>
      <c r="D151" s="31"/>
      <c r="E151" s="31"/>
      <c r="F151" s="31"/>
      <c r="G151" s="31"/>
      <c r="H151" s="31"/>
      <c r="I151" s="31"/>
      <c r="J151" s="31"/>
    </row>
    <row r="152" ht="15.75" customHeight="1">
      <c r="A152" s="31"/>
      <c r="B152" s="31"/>
      <c r="C152" s="31"/>
      <c r="D152" s="31"/>
      <c r="E152" s="31"/>
      <c r="F152" s="31"/>
      <c r="G152" s="31"/>
      <c r="H152" s="31"/>
      <c r="I152" s="31"/>
      <c r="J152" s="31"/>
    </row>
    <row r="153" ht="15.75" customHeight="1">
      <c r="A153" s="31"/>
      <c r="B153" s="31"/>
      <c r="C153" s="31"/>
      <c r="D153" s="31"/>
      <c r="E153" s="31"/>
      <c r="F153" s="31"/>
      <c r="G153" s="31"/>
      <c r="H153" s="31"/>
      <c r="I153" s="31"/>
      <c r="J153" s="31"/>
    </row>
    <row r="154" ht="15.75" customHeight="1">
      <c r="A154" s="31"/>
      <c r="B154" s="31"/>
      <c r="C154" s="31"/>
      <c r="D154" s="31"/>
      <c r="E154" s="31"/>
      <c r="F154" s="31"/>
      <c r="G154" s="31"/>
      <c r="H154" s="31"/>
      <c r="I154" s="31"/>
      <c r="J154" s="31"/>
    </row>
    <row r="155" ht="15.75" customHeight="1">
      <c r="A155" s="31"/>
      <c r="B155" s="31"/>
      <c r="C155" s="31"/>
      <c r="D155" s="31"/>
      <c r="E155" s="31"/>
      <c r="F155" s="31"/>
      <c r="G155" s="31"/>
      <c r="H155" s="31"/>
      <c r="I155" s="31"/>
      <c r="J155" s="31"/>
    </row>
    <row r="156" ht="15.75" customHeight="1">
      <c r="A156" s="31"/>
      <c r="B156" s="31"/>
      <c r="C156" s="31"/>
      <c r="D156" s="31"/>
      <c r="E156" s="31"/>
      <c r="F156" s="31"/>
      <c r="G156" s="31"/>
      <c r="H156" s="31"/>
      <c r="I156" s="31"/>
      <c r="J156" s="31"/>
    </row>
    <row r="157" ht="15.75" customHeight="1">
      <c r="A157" s="31"/>
      <c r="B157" s="31"/>
      <c r="C157" s="31"/>
      <c r="D157" s="31"/>
      <c r="E157" s="31"/>
      <c r="F157" s="31"/>
      <c r="G157" s="31"/>
      <c r="H157" s="31"/>
      <c r="I157" s="31"/>
      <c r="J157" s="31"/>
    </row>
    <row r="158" ht="15.75" customHeight="1">
      <c r="A158" s="31"/>
      <c r="B158" s="31"/>
      <c r="C158" s="31"/>
      <c r="D158" s="31"/>
      <c r="E158" s="31"/>
      <c r="F158" s="31"/>
      <c r="G158" s="31"/>
      <c r="H158" s="31"/>
      <c r="I158" s="31"/>
      <c r="J158" s="31"/>
    </row>
    <row r="159" ht="15.75" customHeight="1">
      <c r="A159" s="31"/>
      <c r="B159" s="31"/>
      <c r="C159" s="31"/>
      <c r="D159" s="31"/>
      <c r="E159" s="31"/>
      <c r="F159" s="31"/>
      <c r="G159" s="31"/>
      <c r="H159" s="31"/>
      <c r="I159" s="31"/>
      <c r="J159" s="31"/>
    </row>
    <row r="160" ht="15.75" customHeight="1">
      <c r="A160" s="31"/>
      <c r="B160" s="31"/>
      <c r="C160" s="31"/>
      <c r="D160" s="31"/>
      <c r="E160" s="31"/>
      <c r="F160" s="31"/>
      <c r="G160" s="31"/>
      <c r="H160" s="31"/>
      <c r="I160" s="31"/>
      <c r="J160" s="31"/>
    </row>
    <row r="161" ht="15.75" customHeight="1">
      <c r="A161" s="31"/>
      <c r="B161" s="31"/>
      <c r="C161" s="31"/>
      <c r="D161" s="31"/>
      <c r="E161" s="31"/>
      <c r="F161" s="31"/>
      <c r="G161" s="31"/>
      <c r="H161" s="31"/>
      <c r="I161" s="31"/>
      <c r="J161" s="31"/>
    </row>
    <row r="162" ht="15.75" customHeight="1">
      <c r="A162" s="31"/>
      <c r="B162" s="31"/>
      <c r="C162" s="31"/>
      <c r="D162" s="31"/>
      <c r="E162" s="31"/>
      <c r="F162" s="31"/>
      <c r="G162" s="31"/>
      <c r="H162" s="31"/>
      <c r="I162" s="31"/>
      <c r="J162" s="31"/>
    </row>
    <row r="163" ht="15.75" customHeight="1">
      <c r="A163" s="31"/>
      <c r="B163" s="31"/>
      <c r="C163" s="31"/>
      <c r="D163" s="31"/>
      <c r="E163" s="31"/>
      <c r="F163" s="31"/>
      <c r="G163" s="31"/>
      <c r="H163" s="31"/>
      <c r="I163" s="31"/>
      <c r="J163" s="31"/>
    </row>
    <row r="164" ht="15.75" customHeight="1">
      <c r="A164" s="31"/>
      <c r="B164" s="31"/>
      <c r="C164" s="31"/>
      <c r="D164" s="31"/>
      <c r="E164" s="31"/>
      <c r="F164" s="31"/>
      <c r="G164" s="31"/>
      <c r="H164" s="31"/>
      <c r="I164" s="31"/>
      <c r="J164" s="31"/>
    </row>
    <row r="165" ht="15.75" customHeight="1">
      <c r="A165" s="31"/>
      <c r="B165" s="31"/>
      <c r="C165" s="31"/>
      <c r="D165" s="31"/>
      <c r="E165" s="31"/>
      <c r="F165" s="31"/>
      <c r="G165" s="31"/>
      <c r="H165" s="31"/>
      <c r="I165" s="31"/>
      <c r="J165" s="31"/>
    </row>
    <row r="166" ht="15.75" customHeight="1">
      <c r="A166" s="31"/>
      <c r="B166" s="31"/>
      <c r="C166" s="31"/>
      <c r="D166" s="31"/>
      <c r="E166" s="31"/>
      <c r="F166" s="31"/>
      <c r="G166" s="31"/>
      <c r="H166" s="31"/>
      <c r="I166" s="31"/>
      <c r="J166" s="31"/>
    </row>
    <row r="167" ht="15.75" customHeight="1">
      <c r="A167" s="31"/>
      <c r="B167" s="31"/>
      <c r="C167" s="31"/>
      <c r="D167" s="31"/>
      <c r="E167" s="31"/>
      <c r="F167" s="31"/>
      <c r="G167" s="31"/>
      <c r="H167" s="31"/>
      <c r="I167" s="31"/>
      <c r="J167" s="31"/>
    </row>
    <row r="168" ht="15.75" customHeight="1">
      <c r="A168" s="31"/>
      <c r="B168" s="31"/>
      <c r="C168" s="31"/>
      <c r="D168" s="31"/>
      <c r="E168" s="31"/>
      <c r="F168" s="31"/>
      <c r="G168" s="31"/>
      <c r="H168" s="31"/>
      <c r="I168" s="31"/>
      <c r="J168" s="31"/>
    </row>
    <row r="169" ht="15.75" customHeight="1">
      <c r="A169" s="31"/>
      <c r="B169" s="31"/>
      <c r="C169" s="31"/>
      <c r="D169" s="31"/>
      <c r="E169" s="31"/>
      <c r="F169" s="31"/>
      <c r="G169" s="31"/>
      <c r="H169" s="31"/>
      <c r="I169" s="31"/>
      <c r="J169" s="31"/>
    </row>
    <row r="170" ht="15.75" customHeight="1">
      <c r="A170" s="31"/>
      <c r="B170" s="31"/>
      <c r="C170" s="31"/>
      <c r="D170" s="31"/>
      <c r="E170" s="31"/>
      <c r="F170" s="31"/>
      <c r="G170" s="31"/>
      <c r="H170" s="31"/>
      <c r="I170" s="31"/>
      <c r="J170" s="31"/>
    </row>
    <row r="171" ht="15.75" customHeight="1">
      <c r="A171" s="31"/>
      <c r="B171" s="31"/>
      <c r="C171" s="31"/>
      <c r="D171" s="31"/>
      <c r="E171" s="31"/>
      <c r="F171" s="31"/>
      <c r="G171" s="31"/>
      <c r="H171" s="31"/>
      <c r="I171" s="31"/>
      <c r="J171" s="31"/>
    </row>
    <row r="172" ht="15.75" customHeight="1">
      <c r="A172" s="31"/>
      <c r="B172" s="31"/>
      <c r="C172" s="31"/>
      <c r="D172" s="31"/>
      <c r="E172" s="31"/>
      <c r="F172" s="31"/>
      <c r="G172" s="31"/>
      <c r="H172" s="31"/>
      <c r="I172" s="31"/>
      <c r="J172" s="31"/>
    </row>
    <row r="173" ht="15.75" customHeight="1">
      <c r="A173" s="31"/>
      <c r="B173" s="31"/>
      <c r="C173" s="31"/>
      <c r="D173" s="31"/>
      <c r="E173" s="31"/>
      <c r="F173" s="31"/>
      <c r="G173" s="31"/>
      <c r="H173" s="31"/>
      <c r="I173" s="31"/>
      <c r="J173" s="31"/>
    </row>
    <row r="174" ht="15.75" customHeight="1">
      <c r="A174" s="31"/>
      <c r="B174" s="31"/>
      <c r="C174" s="31"/>
      <c r="D174" s="31"/>
      <c r="E174" s="31"/>
      <c r="F174" s="31"/>
      <c r="G174" s="31"/>
      <c r="H174" s="31"/>
      <c r="I174" s="31"/>
      <c r="J174" s="31"/>
    </row>
    <row r="175" ht="15.75" customHeight="1">
      <c r="A175" s="31"/>
      <c r="B175" s="31"/>
      <c r="C175" s="31"/>
      <c r="D175" s="31"/>
      <c r="E175" s="31"/>
      <c r="F175" s="31"/>
      <c r="G175" s="31"/>
      <c r="H175" s="31"/>
      <c r="I175" s="31"/>
      <c r="J175" s="31"/>
    </row>
    <row r="176" ht="15.75" customHeight="1">
      <c r="A176" s="31"/>
      <c r="B176" s="31"/>
      <c r="C176" s="31"/>
      <c r="D176" s="31"/>
      <c r="E176" s="31"/>
      <c r="F176" s="31"/>
      <c r="G176" s="31"/>
      <c r="H176" s="31"/>
      <c r="I176" s="31"/>
      <c r="J176" s="31"/>
    </row>
    <row r="177" ht="15.75" customHeight="1">
      <c r="A177" s="31"/>
      <c r="B177" s="31"/>
      <c r="C177" s="31"/>
      <c r="D177" s="31"/>
      <c r="E177" s="31"/>
      <c r="F177" s="31"/>
      <c r="G177" s="31"/>
      <c r="H177" s="31"/>
      <c r="I177" s="31"/>
      <c r="J177" s="31"/>
    </row>
    <row r="178" ht="15.75" customHeight="1">
      <c r="A178" s="31"/>
      <c r="B178" s="31"/>
      <c r="C178" s="31"/>
      <c r="D178" s="31"/>
      <c r="E178" s="31"/>
      <c r="F178" s="31"/>
      <c r="G178" s="31"/>
      <c r="H178" s="31"/>
      <c r="I178" s="31"/>
      <c r="J178" s="31"/>
    </row>
    <row r="179" ht="15.75" customHeight="1">
      <c r="A179" s="31"/>
      <c r="B179" s="31"/>
      <c r="C179" s="31"/>
      <c r="D179" s="31"/>
      <c r="E179" s="31"/>
      <c r="F179" s="31"/>
      <c r="G179" s="31"/>
      <c r="H179" s="31"/>
      <c r="I179" s="31"/>
      <c r="J179" s="31"/>
    </row>
    <row r="180" ht="15.75" customHeight="1">
      <c r="A180" s="31"/>
      <c r="B180" s="31"/>
      <c r="C180" s="31"/>
      <c r="D180" s="31"/>
      <c r="E180" s="31"/>
      <c r="F180" s="31"/>
      <c r="G180" s="31"/>
      <c r="H180" s="31"/>
      <c r="I180" s="31"/>
      <c r="J180" s="31"/>
    </row>
    <row r="181" ht="15.75" customHeight="1">
      <c r="A181" s="31"/>
      <c r="B181" s="31"/>
      <c r="C181" s="31"/>
      <c r="D181" s="31"/>
      <c r="E181" s="31"/>
      <c r="F181" s="31"/>
      <c r="G181" s="31"/>
      <c r="H181" s="31"/>
      <c r="I181" s="31"/>
      <c r="J181" s="31"/>
    </row>
    <row r="182" ht="15.75" customHeight="1">
      <c r="A182" s="31"/>
      <c r="B182" s="31"/>
      <c r="C182" s="31"/>
      <c r="D182" s="31"/>
      <c r="E182" s="31"/>
      <c r="F182" s="31"/>
      <c r="G182" s="31"/>
      <c r="H182" s="31"/>
      <c r="I182" s="31"/>
      <c r="J182" s="31"/>
    </row>
    <row r="183" ht="15.75" customHeight="1">
      <c r="A183" s="31"/>
      <c r="B183" s="31"/>
      <c r="C183" s="31"/>
      <c r="D183" s="31"/>
      <c r="E183" s="31"/>
      <c r="F183" s="31"/>
      <c r="G183" s="31"/>
      <c r="H183" s="31"/>
      <c r="I183" s="31"/>
      <c r="J183" s="31"/>
    </row>
    <row r="184" ht="15.75" customHeight="1">
      <c r="A184" s="31"/>
      <c r="B184" s="31"/>
      <c r="C184" s="31"/>
      <c r="D184" s="31"/>
      <c r="E184" s="31"/>
      <c r="F184" s="31"/>
      <c r="G184" s="31"/>
      <c r="H184" s="31"/>
      <c r="I184" s="31"/>
      <c r="J184" s="31"/>
    </row>
    <row r="185" ht="15.75" customHeight="1">
      <c r="A185" s="31"/>
      <c r="B185" s="31"/>
      <c r="C185" s="31"/>
      <c r="D185" s="31"/>
      <c r="E185" s="31"/>
      <c r="F185" s="31"/>
      <c r="G185" s="31"/>
      <c r="H185" s="31"/>
      <c r="I185" s="31"/>
      <c r="J185" s="31"/>
    </row>
    <row r="186" ht="15.75" customHeight="1">
      <c r="A186" s="31"/>
      <c r="B186" s="31"/>
      <c r="C186" s="31"/>
      <c r="D186" s="31"/>
      <c r="E186" s="31"/>
      <c r="F186" s="31"/>
      <c r="G186" s="31"/>
      <c r="H186" s="31"/>
      <c r="I186" s="31"/>
      <c r="J186" s="31"/>
    </row>
    <row r="187" ht="15.75" customHeight="1">
      <c r="A187" s="31"/>
      <c r="B187" s="31"/>
      <c r="C187" s="31"/>
      <c r="D187" s="31"/>
      <c r="E187" s="31"/>
      <c r="F187" s="31"/>
      <c r="G187" s="31"/>
      <c r="H187" s="31"/>
      <c r="I187" s="31"/>
      <c r="J187" s="31"/>
    </row>
    <row r="188" ht="15.75" customHeight="1">
      <c r="A188" s="31"/>
      <c r="B188" s="31"/>
      <c r="C188" s="31"/>
      <c r="D188" s="31"/>
      <c r="E188" s="31"/>
      <c r="F188" s="31"/>
      <c r="G188" s="31"/>
      <c r="H188" s="31"/>
      <c r="I188" s="31"/>
      <c r="J188" s="31"/>
    </row>
    <row r="189" ht="15.75" customHeight="1">
      <c r="A189" s="31"/>
      <c r="B189" s="31"/>
      <c r="C189" s="31"/>
      <c r="D189" s="31"/>
      <c r="E189" s="31"/>
      <c r="F189" s="31"/>
      <c r="G189" s="31"/>
      <c r="H189" s="31"/>
      <c r="I189" s="31"/>
      <c r="J189" s="31"/>
    </row>
    <row r="190" ht="15.75" customHeight="1">
      <c r="A190" s="31"/>
      <c r="B190" s="31"/>
      <c r="C190" s="31"/>
      <c r="D190" s="31"/>
      <c r="E190" s="31"/>
      <c r="F190" s="31"/>
      <c r="G190" s="31"/>
      <c r="H190" s="31"/>
      <c r="I190" s="31"/>
      <c r="J190" s="31"/>
    </row>
    <row r="191" ht="15.75" customHeight="1">
      <c r="A191" s="31"/>
      <c r="B191" s="31"/>
      <c r="C191" s="31"/>
      <c r="D191" s="31"/>
      <c r="E191" s="31"/>
      <c r="F191" s="31"/>
      <c r="G191" s="31"/>
      <c r="H191" s="31"/>
      <c r="I191" s="31"/>
      <c r="J191" s="31"/>
    </row>
    <row r="192" ht="15.75" customHeight="1">
      <c r="A192" s="31"/>
      <c r="B192" s="31"/>
      <c r="C192" s="31"/>
      <c r="D192" s="31"/>
      <c r="E192" s="31"/>
      <c r="F192" s="31"/>
      <c r="G192" s="31"/>
      <c r="H192" s="31"/>
      <c r="I192" s="31"/>
      <c r="J192" s="31"/>
    </row>
    <row r="193" ht="15.75" customHeight="1">
      <c r="A193" s="31"/>
      <c r="B193" s="31"/>
      <c r="C193" s="31"/>
      <c r="D193" s="31"/>
      <c r="E193" s="31"/>
      <c r="F193" s="31"/>
      <c r="G193" s="31"/>
      <c r="H193" s="31"/>
      <c r="I193" s="31"/>
      <c r="J193" s="31"/>
    </row>
    <row r="194" ht="15.75" customHeight="1">
      <c r="A194" s="31"/>
      <c r="B194" s="31"/>
      <c r="C194" s="31"/>
      <c r="D194" s="31"/>
      <c r="E194" s="31"/>
      <c r="F194" s="31"/>
      <c r="G194" s="31"/>
      <c r="H194" s="31"/>
      <c r="I194" s="31"/>
      <c r="J194" s="31"/>
    </row>
    <row r="195" ht="15.75" customHeight="1">
      <c r="A195" s="31"/>
      <c r="B195" s="31"/>
      <c r="C195" s="31"/>
      <c r="D195" s="31"/>
      <c r="E195" s="31"/>
      <c r="F195" s="31"/>
      <c r="G195" s="31"/>
      <c r="H195" s="31"/>
      <c r="I195" s="31"/>
      <c r="J195" s="31"/>
    </row>
    <row r="196" ht="15.75" customHeight="1">
      <c r="A196" s="31"/>
      <c r="B196" s="31"/>
      <c r="C196" s="31"/>
      <c r="D196" s="31"/>
      <c r="E196" s="31"/>
      <c r="F196" s="31"/>
      <c r="G196" s="31"/>
      <c r="H196" s="31"/>
      <c r="I196" s="31"/>
      <c r="J196" s="31"/>
    </row>
    <row r="197" ht="15.75" customHeight="1">
      <c r="A197" s="31"/>
      <c r="B197" s="31"/>
      <c r="C197" s="31"/>
      <c r="D197" s="31"/>
      <c r="E197" s="31"/>
      <c r="F197" s="31"/>
      <c r="G197" s="31"/>
      <c r="H197" s="31"/>
      <c r="I197" s="31"/>
      <c r="J197" s="31"/>
    </row>
    <row r="198" ht="15.75" customHeight="1">
      <c r="A198" s="31"/>
      <c r="B198" s="31"/>
      <c r="C198" s="31"/>
      <c r="D198" s="31"/>
      <c r="E198" s="31"/>
      <c r="F198" s="31"/>
      <c r="G198" s="31"/>
      <c r="H198" s="31"/>
      <c r="I198" s="31"/>
      <c r="J198" s="31"/>
    </row>
    <row r="199" ht="15.75" customHeight="1">
      <c r="A199" s="31"/>
      <c r="B199" s="31"/>
      <c r="C199" s="31"/>
      <c r="D199" s="31"/>
      <c r="E199" s="31"/>
      <c r="F199" s="31"/>
      <c r="G199" s="31"/>
      <c r="H199" s="31"/>
      <c r="I199" s="31"/>
      <c r="J199" s="31"/>
    </row>
    <row r="200" ht="15.75" customHeight="1">
      <c r="A200" s="31"/>
      <c r="B200" s="31"/>
      <c r="C200" s="31"/>
      <c r="D200" s="31"/>
      <c r="E200" s="31"/>
      <c r="F200" s="31"/>
      <c r="G200" s="31"/>
      <c r="H200" s="31"/>
      <c r="I200" s="31"/>
      <c r="J200" s="31"/>
    </row>
    <row r="201" ht="15.75" customHeight="1">
      <c r="A201" s="31"/>
      <c r="B201" s="31"/>
      <c r="C201" s="31"/>
      <c r="D201" s="31"/>
      <c r="E201" s="31"/>
      <c r="F201" s="31"/>
      <c r="G201" s="31"/>
      <c r="H201" s="31"/>
      <c r="I201" s="31"/>
      <c r="J201" s="31"/>
    </row>
    <row r="202" ht="15.75" customHeight="1">
      <c r="A202" s="31"/>
      <c r="B202" s="31"/>
      <c r="C202" s="31"/>
      <c r="D202" s="31"/>
      <c r="E202" s="31"/>
      <c r="F202" s="31"/>
      <c r="G202" s="31"/>
      <c r="H202" s="31"/>
      <c r="I202" s="31"/>
      <c r="J202" s="31"/>
    </row>
    <row r="203" ht="15.75" customHeight="1">
      <c r="A203" s="31"/>
      <c r="B203" s="31"/>
      <c r="C203" s="31"/>
      <c r="D203" s="31"/>
      <c r="E203" s="31"/>
      <c r="F203" s="31"/>
      <c r="G203" s="31"/>
      <c r="H203" s="31"/>
      <c r="I203" s="31"/>
      <c r="J203" s="31"/>
    </row>
    <row r="204" ht="15.75" customHeight="1">
      <c r="A204" s="31"/>
      <c r="B204" s="31"/>
      <c r="C204" s="31"/>
      <c r="D204" s="31"/>
      <c r="E204" s="31"/>
      <c r="F204" s="31"/>
      <c r="G204" s="31"/>
      <c r="H204" s="31"/>
      <c r="I204" s="31"/>
      <c r="J204" s="31"/>
    </row>
    <row r="205" ht="15.75" customHeight="1">
      <c r="A205" s="31"/>
      <c r="B205" s="31"/>
      <c r="C205" s="31"/>
      <c r="D205" s="31"/>
      <c r="E205" s="31"/>
      <c r="F205" s="31"/>
      <c r="G205" s="31"/>
      <c r="H205" s="31"/>
      <c r="I205" s="31"/>
      <c r="J205" s="31"/>
    </row>
    <row r="206" ht="15.75" customHeight="1">
      <c r="A206" s="31"/>
      <c r="B206" s="31"/>
      <c r="C206" s="31"/>
      <c r="D206" s="31"/>
      <c r="E206" s="31"/>
      <c r="F206" s="31"/>
      <c r="G206" s="31"/>
      <c r="H206" s="31"/>
      <c r="I206" s="31"/>
      <c r="J206" s="31"/>
    </row>
    <row r="207" ht="15.75" customHeight="1">
      <c r="A207" s="31"/>
      <c r="B207" s="31"/>
      <c r="C207" s="31"/>
      <c r="D207" s="31"/>
      <c r="E207" s="31"/>
      <c r="F207" s="31"/>
      <c r="G207" s="31"/>
      <c r="H207" s="31"/>
      <c r="I207" s="31"/>
      <c r="J207" s="31"/>
    </row>
    <row r="208" ht="15.75" customHeight="1">
      <c r="A208" s="31"/>
      <c r="B208" s="31"/>
      <c r="C208" s="31"/>
      <c r="D208" s="31"/>
      <c r="E208" s="31"/>
      <c r="F208" s="31"/>
      <c r="G208" s="31"/>
      <c r="H208" s="31"/>
      <c r="I208" s="31"/>
      <c r="J208" s="31"/>
    </row>
    <row r="209" ht="15.75" customHeight="1">
      <c r="A209" s="31"/>
      <c r="B209" s="31"/>
      <c r="C209" s="31"/>
      <c r="D209" s="31"/>
      <c r="E209" s="31"/>
      <c r="F209" s="31"/>
      <c r="G209" s="31"/>
      <c r="H209" s="31"/>
      <c r="I209" s="31"/>
      <c r="J209" s="31"/>
    </row>
    <row r="210" ht="15.75" customHeight="1">
      <c r="A210" s="31"/>
      <c r="B210" s="31"/>
      <c r="C210" s="31"/>
      <c r="D210" s="31"/>
      <c r="E210" s="31"/>
      <c r="F210" s="31"/>
      <c r="G210" s="31"/>
      <c r="H210" s="31"/>
      <c r="I210" s="31"/>
      <c r="J210" s="31"/>
    </row>
    <row r="211" ht="15.75" customHeight="1">
      <c r="A211" s="31"/>
      <c r="B211" s="31"/>
      <c r="C211" s="31"/>
      <c r="D211" s="31"/>
      <c r="E211" s="31"/>
      <c r="F211" s="31"/>
      <c r="G211" s="31"/>
      <c r="H211" s="31"/>
      <c r="I211" s="31"/>
      <c r="J211" s="31"/>
    </row>
    <row r="212" ht="15.75" customHeight="1">
      <c r="A212" s="31"/>
      <c r="B212" s="31"/>
      <c r="C212" s="31"/>
      <c r="D212" s="31"/>
      <c r="E212" s="31"/>
      <c r="F212" s="31"/>
      <c r="G212" s="31"/>
      <c r="H212" s="31"/>
      <c r="I212" s="31"/>
      <c r="J212" s="31"/>
    </row>
    <row r="213" ht="15.75" customHeight="1">
      <c r="A213" s="31"/>
      <c r="B213" s="31"/>
      <c r="C213" s="31"/>
      <c r="D213" s="31"/>
      <c r="E213" s="31"/>
      <c r="F213" s="31"/>
      <c r="G213" s="31"/>
      <c r="H213" s="31"/>
      <c r="I213" s="31"/>
      <c r="J213" s="31"/>
    </row>
    <row r="214" ht="15.75" customHeight="1">
      <c r="A214" s="31"/>
      <c r="B214" s="31"/>
      <c r="C214" s="31"/>
      <c r="D214" s="31"/>
      <c r="E214" s="31"/>
      <c r="F214" s="31"/>
      <c r="G214" s="31"/>
      <c r="H214" s="31"/>
      <c r="I214" s="31"/>
      <c r="J214" s="31"/>
    </row>
    <row r="215" ht="15.75" customHeight="1">
      <c r="A215" s="31"/>
      <c r="B215" s="31"/>
      <c r="C215" s="31"/>
      <c r="D215" s="31"/>
      <c r="E215" s="31"/>
      <c r="F215" s="31"/>
      <c r="G215" s="31"/>
      <c r="H215" s="31"/>
      <c r="I215" s="31"/>
      <c r="J215" s="31"/>
    </row>
    <row r="216" ht="15.75" customHeight="1">
      <c r="A216" s="31"/>
      <c r="B216" s="31"/>
      <c r="C216" s="31"/>
      <c r="D216" s="31"/>
      <c r="E216" s="31"/>
      <c r="F216" s="31"/>
      <c r="G216" s="31"/>
      <c r="H216" s="31"/>
      <c r="I216" s="31"/>
      <c r="J216" s="31"/>
    </row>
    <row r="217" ht="15.75" customHeight="1">
      <c r="A217" s="31"/>
      <c r="B217" s="31"/>
      <c r="C217" s="31"/>
      <c r="D217" s="31"/>
      <c r="E217" s="31"/>
      <c r="F217" s="31"/>
      <c r="G217" s="31"/>
      <c r="H217" s="31"/>
      <c r="I217" s="31"/>
      <c r="J217" s="31"/>
    </row>
    <row r="218" ht="15.75" customHeight="1">
      <c r="A218" s="31"/>
      <c r="B218" s="31"/>
      <c r="C218" s="31"/>
      <c r="D218" s="31"/>
      <c r="E218" s="31"/>
      <c r="F218" s="31"/>
      <c r="G218" s="31"/>
      <c r="H218" s="31"/>
      <c r="I218" s="31"/>
      <c r="J218" s="31"/>
    </row>
    <row r="219" ht="15.75" customHeight="1">
      <c r="A219" s="31"/>
      <c r="B219" s="31"/>
      <c r="C219" s="31"/>
      <c r="D219" s="31"/>
      <c r="E219" s="31"/>
      <c r="F219" s="31"/>
      <c r="G219" s="31"/>
      <c r="H219" s="31"/>
      <c r="I219" s="31"/>
      <c r="J219" s="31"/>
    </row>
    <row r="220" ht="15.75" customHeight="1">
      <c r="A220" s="31"/>
      <c r="B220" s="31"/>
      <c r="C220" s="31"/>
      <c r="D220" s="31"/>
      <c r="E220" s="31"/>
      <c r="F220" s="31"/>
      <c r="G220" s="31"/>
      <c r="H220" s="31"/>
      <c r="I220" s="31"/>
      <c r="J220" s="3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autoFilter ref="$A$1:$J$16"/>
  <conditionalFormatting sqref="G2:G16">
    <cfRule type="cellIs" dxfId="0" priority="1" operator="equal">
      <formula>"Pass"</formula>
    </cfRule>
  </conditionalFormatting>
  <conditionalFormatting sqref="G2:G16">
    <cfRule type="cellIs" dxfId="1" priority="2" operator="equal">
      <formula>"Fail"</formula>
    </cfRule>
  </conditionalFormatting>
  <conditionalFormatting sqref="G2:G16">
    <cfRule type="cellIs" dxfId="2" priority="3" operator="equal">
      <formula>"Blocked"</formula>
    </cfRule>
  </conditionalFormatting>
  <conditionalFormatting sqref="G2:G16">
    <cfRule type="cellIs" dxfId="3" priority="4" operator="equal">
      <formula>"Retest"</formula>
    </cfRule>
  </conditionalFormatting>
  <conditionalFormatting sqref="G2:G16">
    <cfRule type="cellIs" dxfId="4" priority="5" operator="equal">
      <formula>"Not Run"</formula>
    </cfRule>
  </conditionalFormatting>
  <dataValidations>
    <dataValidation type="list" allowBlank="1" showErrorMessage="1" sqref="G2:G40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8:J8" ref="I8"/>
    <hyperlink r:id="rId8" location="gid=0&amp;range=A9:J9" ref="I9"/>
    <hyperlink r:id="rId9" location="gid=0&amp;range=A10:J10" ref="I10"/>
    <hyperlink r:id="rId10" location="gid=0&amp;range=A11:J11" ref="I11"/>
    <hyperlink r:id="rId11" location="gid=0&amp;range=A12:J12" ref="I12"/>
    <hyperlink r:id="rId12" location="gid=0&amp;range=A14:J14" ref="I14"/>
    <hyperlink r:id="rId13" location="gid=0&amp;range=A15:J15" ref="I15"/>
    <hyperlink r:id="rId14" location="gid=0&amp;range=A16:J16" ref="I16"/>
  </hyperlinks>
  <printOptions/>
  <pageMargins bottom="1.0" footer="0.0" header="0.0" left="0.75" right="0.75" top="1.0"/>
  <pageSetup orientation="landscape"/>
  <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10" width="30.0"/>
    <col customWidth="1" min="11" max="11" width="32.0"/>
  </cols>
  <sheetData>
    <row r="1" ht="31.5" customHeight="1">
      <c r="A1" s="1" t="s">
        <v>0</v>
      </c>
      <c r="B1" s="1" t="s">
        <v>2</v>
      </c>
      <c r="C1" s="1" t="s">
        <v>3</v>
      </c>
      <c r="D1" s="1" t="s">
        <v>4</v>
      </c>
      <c r="E1" s="1" t="s">
        <v>5</v>
      </c>
      <c r="F1" s="1" t="s">
        <v>6</v>
      </c>
      <c r="G1" s="1" t="s">
        <v>7</v>
      </c>
      <c r="H1" s="1" t="s">
        <v>8</v>
      </c>
      <c r="I1" s="1"/>
      <c r="J1" s="1" t="s">
        <v>9</v>
      </c>
      <c r="K1" s="1" t="s">
        <v>10</v>
      </c>
    </row>
    <row r="2">
      <c r="A2" s="2" t="s">
        <v>1044</v>
      </c>
      <c r="B2" s="3" t="s">
        <v>13</v>
      </c>
      <c r="C2" s="3" t="s">
        <v>1045</v>
      </c>
      <c r="D2" s="3" t="s">
        <v>1046</v>
      </c>
      <c r="E2" s="3" t="s">
        <v>1047</v>
      </c>
      <c r="F2" s="4">
        <v>46263.0</v>
      </c>
      <c r="G2" s="6" t="s">
        <v>26</v>
      </c>
      <c r="H2" s="3" t="s">
        <v>1048</v>
      </c>
      <c r="I2" s="3"/>
      <c r="J2" s="10" t="s">
        <v>1049</v>
      </c>
      <c r="K2" s="3" t="s">
        <v>33</v>
      </c>
    </row>
    <row r="3">
      <c r="A3" s="11" t="s">
        <v>1050</v>
      </c>
      <c r="B3" s="13" t="s">
        <v>1051</v>
      </c>
      <c r="C3" s="13" t="s">
        <v>1052</v>
      </c>
      <c r="D3" s="13" t="s">
        <v>1053</v>
      </c>
      <c r="E3" s="13" t="s">
        <v>1054</v>
      </c>
      <c r="F3" s="14">
        <v>46263.0</v>
      </c>
      <c r="G3" s="15" t="s">
        <v>26</v>
      </c>
      <c r="H3" s="13" t="s">
        <v>1055</v>
      </c>
      <c r="I3" s="13"/>
      <c r="J3" s="16" t="s">
        <v>1056</v>
      </c>
      <c r="K3" s="3" t="s">
        <v>33</v>
      </c>
    </row>
    <row r="4" ht="57.0" customHeight="1">
      <c r="A4" s="2" t="s">
        <v>1057</v>
      </c>
      <c r="B4" s="3" t="s">
        <v>54</v>
      </c>
      <c r="C4" s="3" t="s">
        <v>1058</v>
      </c>
      <c r="D4" s="3" t="s">
        <v>1059</v>
      </c>
      <c r="E4" s="3" t="s">
        <v>1060</v>
      </c>
      <c r="F4" s="4">
        <v>46263.0</v>
      </c>
      <c r="G4" s="6" t="s">
        <v>26</v>
      </c>
      <c r="H4" s="3" t="s">
        <v>27</v>
      </c>
      <c r="I4" s="3"/>
      <c r="J4" s="10" t="s">
        <v>1061</v>
      </c>
      <c r="K4" s="3" t="s">
        <v>33</v>
      </c>
    </row>
    <row r="5">
      <c r="A5" s="11" t="s">
        <v>1062</v>
      </c>
      <c r="B5" s="13" t="s">
        <v>1063</v>
      </c>
      <c r="C5" s="13" t="s">
        <v>1064</v>
      </c>
      <c r="D5" s="13" t="s">
        <v>1065</v>
      </c>
      <c r="E5" s="13" t="s">
        <v>1066</v>
      </c>
      <c r="F5" s="14">
        <v>46263.0</v>
      </c>
      <c r="G5" s="15" t="s">
        <v>26</v>
      </c>
      <c r="H5" s="13" t="s">
        <v>1067</v>
      </c>
      <c r="I5" s="13"/>
      <c r="J5" s="16" t="s">
        <v>1068</v>
      </c>
      <c r="K5" s="3" t="s">
        <v>33</v>
      </c>
    </row>
    <row r="6">
      <c r="A6" s="2" t="s">
        <v>1069</v>
      </c>
      <c r="B6" s="3" t="s">
        <v>54</v>
      </c>
      <c r="C6" s="3" t="s">
        <v>1070</v>
      </c>
      <c r="D6" s="3" t="s">
        <v>1071</v>
      </c>
      <c r="E6" s="3" t="s">
        <v>1072</v>
      </c>
      <c r="F6" s="4">
        <v>46263.0</v>
      </c>
      <c r="G6" s="6" t="s">
        <v>26</v>
      </c>
      <c r="H6" s="3" t="s">
        <v>1073</v>
      </c>
      <c r="I6" s="3"/>
      <c r="J6" s="10" t="s">
        <v>1074</v>
      </c>
      <c r="K6" s="3" t="s">
        <v>33</v>
      </c>
    </row>
    <row r="7">
      <c r="A7" s="50" t="s">
        <v>1075</v>
      </c>
      <c r="B7" s="51" t="s">
        <v>1076</v>
      </c>
      <c r="C7" s="51" t="s">
        <v>1077</v>
      </c>
      <c r="D7" s="51" t="s">
        <v>1078</v>
      </c>
      <c r="E7" s="51" t="s">
        <v>1079</v>
      </c>
      <c r="F7" s="14">
        <v>46263.0</v>
      </c>
      <c r="G7" s="52" t="s">
        <v>26</v>
      </c>
      <c r="H7" s="13" t="s">
        <v>1080</v>
      </c>
      <c r="I7" s="13"/>
      <c r="J7" s="16" t="s">
        <v>1081</v>
      </c>
      <c r="K7" s="3" t="s">
        <v>33</v>
      </c>
    </row>
    <row r="8">
      <c r="A8" s="2" t="s">
        <v>1082</v>
      </c>
      <c r="B8" s="3" t="s">
        <v>1083</v>
      </c>
      <c r="C8" s="3" t="s">
        <v>1084</v>
      </c>
      <c r="D8" s="3" t="s">
        <v>1085</v>
      </c>
      <c r="E8" s="3" t="s">
        <v>1086</v>
      </c>
      <c r="F8" s="4">
        <v>46263.0</v>
      </c>
      <c r="G8" s="6" t="s">
        <v>26</v>
      </c>
      <c r="H8" s="3" t="s">
        <v>1087</v>
      </c>
      <c r="I8" s="3"/>
      <c r="J8" s="10" t="s">
        <v>1088</v>
      </c>
      <c r="K8" s="3" t="s">
        <v>33</v>
      </c>
    </row>
    <row r="9" ht="57.0" customHeight="1">
      <c r="A9" s="11" t="s">
        <v>1089</v>
      </c>
      <c r="B9" s="13" t="s">
        <v>1090</v>
      </c>
      <c r="C9" s="13" t="s">
        <v>1091</v>
      </c>
      <c r="D9" s="13" t="s">
        <v>1092</v>
      </c>
      <c r="E9" s="13" t="s">
        <v>1093</v>
      </c>
      <c r="F9" s="14">
        <v>46263.0</v>
      </c>
      <c r="G9" s="15" t="s">
        <v>26</v>
      </c>
      <c r="H9" s="13" t="s">
        <v>27</v>
      </c>
      <c r="I9" s="13"/>
      <c r="J9" s="16" t="s">
        <v>1094</v>
      </c>
      <c r="K9" s="3" t="s">
        <v>33</v>
      </c>
    </row>
    <row r="10" ht="68.25" customHeight="1">
      <c r="A10" s="2" t="s">
        <v>1095</v>
      </c>
      <c r="B10" s="3" t="s">
        <v>61</v>
      </c>
      <c r="C10" s="3" t="s">
        <v>1096</v>
      </c>
      <c r="D10" s="3" t="s">
        <v>1097</v>
      </c>
      <c r="E10" s="3" t="s">
        <v>1098</v>
      </c>
      <c r="F10" s="4">
        <v>46263.0</v>
      </c>
      <c r="G10" s="6" t="s">
        <v>26</v>
      </c>
      <c r="H10" s="3" t="s">
        <v>1099</v>
      </c>
      <c r="I10" s="3"/>
      <c r="J10" s="10" t="s">
        <v>1100</v>
      </c>
      <c r="K10" s="3" t="s">
        <v>33</v>
      </c>
    </row>
    <row r="11" ht="57.0" customHeight="1">
      <c r="A11" s="11" t="s">
        <v>1101</v>
      </c>
      <c r="B11" s="13" t="s">
        <v>94</v>
      </c>
      <c r="C11" s="13" t="s">
        <v>1102</v>
      </c>
      <c r="D11" s="13" t="s">
        <v>1103</v>
      </c>
      <c r="E11" s="13" t="s">
        <v>1104</v>
      </c>
      <c r="F11" s="14">
        <v>46263.0</v>
      </c>
      <c r="G11" s="15" t="s">
        <v>26</v>
      </c>
      <c r="H11" s="13" t="s">
        <v>1105</v>
      </c>
      <c r="I11" s="13"/>
      <c r="J11" s="16" t="s">
        <v>1106</v>
      </c>
      <c r="K11" s="3" t="s">
        <v>33</v>
      </c>
    </row>
    <row r="12" ht="45.75" customHeight="1">
      <c r="A12" s="2" t="s">
        <v>1107</v>
      </c>
      <c r="B12" s="3" t="s">
        <v>1108</v>
      </c>
      <c r="C12" s="3" t="s">
        <v>1109</v>
      </c>
      <c r="D12" s="3" t="s">
        <v>1110</v>
      </c>
      <c r="E12" s="3" t="s">
        <v>1111</v>
      </c>
      <c r="F12" s="4">
        <v>46263.0</v>
      </c>
      <c r="G12" s="6" t="s">
        <v>26</v>
      </c>
      <c r="H12" s="44" t="s">
        <v>1112</v>
      </c>
      <c r="I12" s="3"/>
      <c r="J12" s="10" t="s">
        <v>1113</v>
      </c>
      <c r="K12" s="3" t="s">
        <v>33</v>
      </c>
    </row>
    <row r="13" ht="57.0" customHeight="1">
      <c r="A13" s="11" t="s">
        <v>1114</v>
      </c>
      <c r="B13" s="13" t="s">
        <v>634</v>
      </c>
      <c r="C13" s="13" t="s">
        <v>1115</v>
      </c>
      <c r="D13" s="13" t="s">
        <v>1116</v>
      </c>
      <c r="E13" s="13" t="s">
        <v>1117</v>
      </c>
      <c r="F13" s="14">
        <v>46263.0</v>
      </c>
      <c r="G13" s="15" t="s">
        <v>26</v>
      </c>
      <c r="H13" s="13" t="s">
        <v>27</v>
      </c>
      <c r="I13" s="13"/>
      <c r="J13" s="16" t="s">
        <v>1118</v>
      </c>
      <c r="K13" s="3" t="s">
        <v>33</v>
      </c>
    </row>
    <row r="14" ht="57.0" customHeight="1">
      <c r="A14" s="2" t="s">
        <v>1119</v>
      </c>
      <c r="B14" s="3" t="s">
        <v>634</v>
      </c>
      <c r="C14" s="3" t="s">
        <v>1120</v>
      </c>
      <c r="D14" s="3" t="s">
        <v>1121</v>
      </c>
      <c r="E14" s="3" t="s">
        <v>1122</v>
      </c>
      <c r="F14" s="4">
        <v>46263.0</v>
      </c>
      <c r="G14" s="6" t="s">
        <v>26</v>
      </c>
      <c r="H14" s="3" t="s">
        <v>27</v>
      </c>
      <c r="I14" s="3"/>
      <c r="J14" s="10" t="s">
        <v>1123</v>
      </c>
      <c r="K14" s="3" t="s">
        <v>33</v>
      </c>
    </row>
    <row r="15" ht="57.0" customHeight="1">
      <c r="A15" s="11" t="s">
        <v>1124</v>
      </c>
      <c r="B15" s="13" t="s">
        <v>1125</v>
      </c>
      <c r="C15" s="13" t="s">
        <v>1126</v>
      </c>
      <c r="D15" s="13" t="s">
        <v>1127</v>
      </c>
      <c r="E15" s="13" t="s">
        <v>1128</v>
      </c>
      <c r="F15" s="14">
        <v>46263.0</v>
      </c>
      <c r="G15" s="15" t="s">
        <v>26</v>
      </c>
      <c r="H15" s="13" t="s">
        <v>27</v>
      </c>
      <c r="I15" s="13"/>
      <c r="J15" s="16" t="s">
        <v>1129</v>
      </c>
      <c r="K15" s="3" t="s">
        <v>33</v>
      </c>
    </row>
    <row r="16" ht="57.0" customHeight="1">
      <c r="A16" s="2" t="s">
        <v>1130</v>
      </c>
      <c r="B16" s="3" t="s">
        <v>1131</v>
      </c>
      <c r="C16" s="3" t="s">
        <v>1132</v>
      </c>
      <c r="D16" s="3" t="s">
        <v>1133</v>
      </c>
      <c r="E16" s="3" t="s">
        <v>1134</v>
      </c>
      <c r="F16" s="4">
        <v>46263.0</v>
      </c>
      <c r="G16" s="6" t="s">
        <v>26</v>
      </c>
      <c r="H16" s="3" t="s">
        <v>1135</v>
      </c>
      <c r="I16" s="3"/>
      <c r="J16" s="10" t="s">
        <v>1136</v>
      </c>
      <c r="K16" s="3" t="s">
        <v>33</v>
      </c>
    </row>
    <row r="17" ht="57.0" customHeight="1">
      <c r="A17" s="11" t="s">
        <v>1137</v>
      </c>
      <c r="B17" s="13" t="s">
        <v>419</v>
      </c>
      <c r="C17" s="13" t="s">
        <v>1138</v>
      </c>
      <c r="D17" s="13" t="s">
        <v>1139</v>
      </c>
      <c r="E17" s="13" t="s">
        <v>1140</v>
      </c>
      <c r="F17" s="14">
        <v>46263.0</v>
      </c>
      <c r="G17" s="15" t="s">
        <v>26</v>
      </c>
      <c r="H17" s="13" t="s">
        <v>27</v>
      </c>
      <c r="I17" s="13"/>
      <c r="J17" s="16" t="s">
        <v>1141</v>
      </c>
      <c r="K17" s="3" t="s">
        <v>33</v>
      </c>
    </row>
    <row r="18" ht="57.0" customHeight="1">
      <c r="A18" s="2" t="s">
        <v>1142</v>
      </c>
      <c r="B18" s="3" t="s">
        <v>1143</v>
      </c>
      <c r="C18" s="3" t="s">
        <v>1144</v>
      </c>
      <c r="D18" s="3" t="s">
        <v>1145</v>
      </c>
      <c r="E18" s="3" t="s">
        <v>1146</v>
      </c>
      <c r="F18" s="4">
        <v>46263.0</v>
      </c>
      <c r="G18" s="6" t="s">
        <v>26</v>
      </c>
      <c r="H18" s="3" t="s">
        <v>27</v>
      </c>
      <c r="I18" s="3"/>
      <c r="J18" s="10" t="s">
        <v>1147</v>
      </c>
      <c r="K18" s="3" t="s">
        <v>33</v>
      </c>
    </row>
    <row r="19" ht="57.0" customHeight="1">
      <c r="A19" s="11" t="s">
        <v>1148</v>
      </c>
      <c r="B19" s="13" t="s">
        <v>1143</v>
      </c>
      <c r="C19" s="13" t="s">
        <v>1149</v>
      </c>
      <c r="D19" s="13" t="s">
        <v>1150</v>
      </c>
      <c r="E19" s="13" t="s">
        <v>1151</v>
      </c>
      <c r="F19" s="14">
        <v>46263.0</v>
      </c>
      <c r="G19" s="15" t="s">
        <v>26</v>
      </c>
      <c r="H19" s="13" t="s">
        <v>205</v>
      </c>
      <c r="I19" s="13"/>
      <c r="J19" s="16" t="s">
        <v>1152</v>
      </c>
      <c r="K19" s="3" t="s">
        <v>33</v>
      </c>
    </row>
    <row r="20" ht="68.25" customHeight="1">
      <c r="A20" s="2" t="s">
        <v>1153</v>
      </c>
      <c r="B20" s="3" t="s">
        <v>419</v>
      </c>
      <c r="C20" s="3" t="s">
        <v>1154</v>
      </c>
      <c r="D20" s="3" t="s">
        <v>1155</v>
      </c>
      <c r="E20" s="3" t="s">
        <v>1156</v>
      </c>
      <c r="F20" s="4">
        <v>46263.0</v>
      </c>
      <c r="G20" s="6" t="s">
        <v>26</v>
      </c>
      <c r="H20" s="3" t="s">
        <v>1157</v>
      </c>
      <c r="I20" s="3"/>
      <c r="J20" s="10" t="s">
        <v>1158</v>
      </c>
      <c r="K20" s="3" t="s">
        <v>33</v>
      </c>
    </row>
    <row r="21" ht="68.25" customHeight="1">
      <c r="A21" s="11" t="s">
        <v>1159</v>
      </c>
      <c r="B21" s="13" t="s">
        <v>419</v>
      </c>
      <c r="C21" s="13" t="s">
        <v>1160</v>
      </c>
      <c r="D21" s="13" t="s">
        <v>1161</v>
      </c>
      <c r="E21" s="13" t="s">
        <v>1162</v>
      </c>
      <c r="F21" s="14">
        <v>46263.0</v>
      </c>
      <c r="G21" s="15" t="s">
        <v>26</v>
      </c>
      <c r="H21" s="13" t="s">
        <v>1163</v>
      </c>
      <c r="I21" s="13"/>
      <c r="J21" s="13" t="s">
        <v>1164</v>
      </c>
      <c r="K21" s="3" t="s">
        <v>33</v>
      </c>
    </row>
    <row r="22" ht="45.75" customHeight="1">
      <c r="A22" s="2" t="s">
        <v>1165</v>
      </c>
      <c r="B22" s="3" t="s">
        <v>419</v>
      </c>
      <c r="C22" s="3" t="s">
        <v>1166</v>
      </c>
      <c r="D22" s="3" t="s">
        <v>1167</v>
      </c>
      <c r="E22" s="3" t="s">
        <v>1168</v>
      </c>
      <c r="F22" s="4">
        <v>46263.0</v>
      </c>
      <c r="G22" s="6" t="s">
        <v>26</v>
      </c>
      <c r="H22" s="3" t="s">
        <v>1169</v>
      </c>
      <c r="I22" s="3"/>
      <c r="J22" s="3" t="s">
        <v>1164</v>
      </c>
      <c r="K22" s="3" t="s">
        <v>33</v>
      </c>
    </row>
    <row r="23" ht="45.75" customHeight="1">
      <c r="A23" s="11" t="s">
        <v>1170</v>
      </c>
      <c r="B23" s="13" t="s">
        <v>419</v>
      </c>
      <c r="C23" s="13" t="s">
        <v>1171</v>
      </c>
      <c r="D23" s="13" t="s">
        <v>1172</v>
      </c>
      <c r="E23" s="13" t="s">
        <v>1173</v>
      </c>
      <c r="F23" s="14">
        <v>46263.0</v>
      </c>
      <c r="G23" s="15" t="s">
        <v>26</v>
      </c>
      <c r="H23" s="49" t="s">
        <v>1174</v>
      </c>
      <c r="I23" s="13"/>
      <c r="J23" s="13" t="s">
        <v>1164</v>
      </c>
      <c r="K23" s="3" t="s">
        <v>33</v>
      </c>
    </row>
    <row r="24" ht="45.75" customHeight="1">
      <c r="A24" s="2" t="s">
        <v>1175</v>
      </c>
      <c r="B24" s="3" t="s">
        <v>419</v>
      </c>
      <c r="C24" s="3" t="s">
        <v>1176</v>
      </c>
      <c r="D24" s="3" t="s">
        <v>1177</v>
      </c>
      <c r="E24" s="3" t="s">
        <v>1178</v>
      </c>
      <c r="F24" s="4">
        <v>46263.0</v>
      </c>
      <c r="G24" s="6" t="s">
        <v>26</v>
      </c>
      <c r="H24" s="3" t="s">
        <v>1179</v>
      </c>
      <c r="I24" s="3"/>
      <c r="J24" s="3" t="s">
        <v>1164</v>
      </c>
      <c r="K24" s="3" t="s">
        <v>33</v>
      </c>
    </row>
    <row r="25" ht="57.0" customHeight="1">
      <c r="A25" s="11" t="s">
        <v>1180</v>
      </c>
      <c r="B25" s="13" t="s">
        <v>419</v>
      </c>
      <c r="C25" s="13" t="s">
        <v>1181</v>
      </c>
      <c r="D25" s="13" t="s">
        <v>1182</v>
      </c>
      <c r="E25" s="13" t="s">
        <v>1183</v>
      </c>
      <c r="F25" s="14">
        <v>46263.0</v>
      </c>
      <c r="G25" s="15" t="s">
        <v>26</v>
      </c>
      <c r="H25" s="13" t="s">
        <v>1184</v>
      </c>
      <c r="I25" s="13"/>
      <c r="J25" s="13" t="s">
        <v>1164</v>
      </c>
      <c r="K25" s="3" t="s">
        <v>33</v>
      </c>
    </row>
    <row r="26" ht="68.25" customHeight="1">
      <c r="A26" s="53" t="s">
        <v>1185</v>
      </c>
      <c r="B26" s="54" t="s">
        <v>1186</v>
      </c>
      <c r="C26" s="54" t="s">
        <v>1187</v>
      </c>
      <c r="D26" s="54" t="s">
        <v>1188</v>
      </c>
      <c r="E26" s="54" t="s">
        <v>1189</v>
      </c>
      <c r="F26" s="4">
        <v>46263.0</v>
      </c>
      <c r="G26" s="6" t="s">
        <v>26</v>
      </c>
      <c r="H26" s="44" t="s">
        <v>1190</v>
      </c>
      <c r="I26" s="3"/>
      <c r="J26" s="3" t="s">
        <v>1191</v>
      </c>
      <c r="K26" s="3" t="s">
        <v>33</v>
      </c>
    </row>
    <row r="27" ht="57.0" customHeight="1">
      <c r="A27" s="11" t="s">
        <v>1192</v>
      </c>
      <c r="B27" s="13" t="s">
        <v>510</v>
      </c>
      <c r="C27" s="13" t="s">
        <v>1193</v>
      </c>
      <c r="D27" s="13" t="s">
        <v>1194</v>
      </c>
      <c r="E27" s="13" t="s">
        <v>1195</v>
      </c>
      <c r="F27" s="14">
        <v>46263.0</v>
      </c>
      <c r="G27" s="15" t="s">
        <v>26</v>
      </c>
      <c r="H27" s="13" t="s">
        <v>1196</v>
      </c>
      <c r="I27" s="13"/>
      <c r="J27" s="13" t="s">
        <v>1164</v>
      </c>
      <c r="K27" s="3" t="s">
        <v>33</v>
      </c>
    </row>
    <row r="28" ht="57.0" customHeight="1">
      <c r="A28" s="2" t="s">
        <v>1197</v>
      </c>
      <c r="B28" s="3" t="s">
        <v>510</v>
      </c>
      <c r="C28" s="3" t="s">
        <v>1198</v>
      </c>
      <c r="D28" s="3" t="s">
        <v>1199</v>
      </c>
      <c r="E28" s="3" t="s">
        <v>1200</v>
      </c>
      <c r="F28" s="4">
        <v>46263.0</v>
      </c>
      <c r="G28" s="6" t="s">
        <v>26</v>
      </c>
      <c r="H28" s="3" t="s">
        <v>1201</v>
      </c>
      <c r="I28" s="3"/>
      <c r="J28" s="3" t="s">
        <v>1164</v>
      </c>
      <c r="K28" s="3" t="s">
        <v>33</v>
      </c>
    </row>
  </sheetData>
  <autoFilter ref="$A$1:$K$28"/>
  <conditionalFormatting sqref="G2:G28">
    <cfRule type="cellIs" dxfId="0" priority="1" operator="equal">
      <formula>"Pass"</formula>
    </cfRule>
  </conditionalFormatting>
  <conditionalFormatting sqref="G2:G28">
    <cfRule type="cellIs" dxfId="1" priority="2" operator="equal">
      <formula>"Fail"</formula>
    </cfRule>
  </conditionalFormatting>
  <conditionalFormatting sqref="G2:G28">
    <cfRule type="cellIs" dxfId="2" priority="3" operator="equal">
      <formula>"Blocked"</formula>
    </cfRule>
  </conditionalFormatting>
  <conditionalFormatting sqref="G2:G28">
    <cfRule type="cellIs" dxfId="3" priority="4" operator="equal">
      <formula>"Retest"</formula>
    </cfRule>
  </conditionalFormatting>
  <conditionalFormatting sqref="G2:G28">
    <cfRule type="cellIs" dxfId="4" priority="5" operator="equal">
      <formula>"Not Run"</formula>
    </cfRule>
  </conditionalFormatting>
  <dataValidations>
    <dataValidation type="list" allowBlank="1" showErrorMessage="1" sqref="G2:G28">
      <formula1>"Pass,Fail,Blocked,Not Run,Retest"</formula1>
    </dataValidation>
  </dataValidations>
  <hyperlinks>
    <hyperlink r:id="rId1" location="gid=0&amp;range=A2:J2" ref="J2"/>
    <hyperlink r:id="rId2" location="gid=0&amp;range=A3:J3" ref="J3"/>
    <hyperlink r:id="rId3" location="gid=0&amp;range=A4:J4" ref="J4"/>
    <hyperlink r:id="rId4" location="gid=0&amp;range=A5:J5" ref="J5"/>
    <hyperlink r:id="rId5" location="gid=0&amp;range=A6:J6" ref="J6"/>
    <hyperlink r:id="rId6" location="gid=0&amp;range=A7:J7" ref="J7"/>
    <hyperlink r:id="rId7" location="gid=0&amp;range=A8:J8" ref="J8"/>
    <hyperlink r:id="rId8" location="gid=0&amp;range=A9:J9" ref="J9"/>
    <hyperlink r:id="rId9" location="gid=0&amp;range=A10:J10" ref="J10"/>
    <hyperlink r:id="rId10" location="gid=0&amp;range=A11:J11" ref="J11"/>
    <hyperlink r:id="rId11" location="gid=0&amp;range=A12:J12" ref="J12"/>
    <hyperlink r:id="rId12" location="gid=0&amp;range=A13:J13" ref="J13"/>
    <hyperlink r:id="rId13" location="gid=0&amp;range=A14:J14" ref="J14"/>
    <hyperlink r:id="rId14" location="gid=0&amp;range=A15:J15" ref="J15"/>
    <hyperlink r:id="rId15" location="gid=0&amp;range=A16:J16" ref="J16"/>
    <hyperlink r:id="rId16" location="gid=0&amp;range=A17:J17" ref="J17"/>
    <hyperlink r:id="rId17" location="gid=0&amp;range=A18:J18" ref="J18"/>
    <hyperlink r:id="rId18" location="gid=0&amp;range=A19:J19" ref="J19"/>
    <hyperlink r:id="rId19" location="gid=0&amp;range=A20:J20" ref="J20"/>
  </hyperlinks>
  <printOptions/>
  <pageMargins bottom="1.0" footer="0.0" header="0.0" left="0.75" right="0.75" top="1.0"/>
  <pageSetup orientation="landscape"/>
  <drawing r:id="rId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40.0"/>
    <col customWidth="1" min="4" max="5" width="58.0"/>
    <col customWidth="1" min="6" max="6" width="14.0"/>
    <col customWidth="1" min="7" max="7" width="12.0"/>
    <col customWidth="1" min="8" max="8" width="34.0"/>
    <col customWidth="1" min="9" max="9" width="30.0"/>
    <col customWidth="1" min="10" max="10" width="32.0"/>
    <col customWidth="1" min="11" max="26" width="8.71"/>
  </cols>
  <sheetData>
    <row r="1" ht="31.5" customHeight="1">
      <c r="A1" s="32" t="s">
        <v>0</v>
      </c>
      <c r="B1" s="32" t="s">
        <v>2</v>
      </c>
      <c r="C1" s="32" t="s">
        <v>3</v>
      </c>
      <c r="D1" s="32" t="s">
        <v>4</v>
      </c>
      <c r="E1" s="32" t="s">
        <v>5</v>
      </c>
      <c r="F1" s="32" t="s">
        <v>6</v>
      </c>
      <c r="G1" s="32" t="s">
        <v>7</v>
      </c>
      <c r="H1" s="32" t="s">
        <v>8</v>
      </c>
      <c r="I1" s="32" t="s">
        <v>9</v>
      </c>
      <c r="J1" s="32" t="s">
        <v>10</v>
      </c>
    </row>
    <row r="2" ht="90.75" customHeight="1">
      <c r="A2" s="39" t="s">
        <v>1202</v>
      </c>
      <c r="B2" s="41" t="s">
        <v>388</v>
      </c>
      <c r="C2" s="41" t="s">
        <v>1203</v>
      </c>
      <c r="D2" s="41" t="s">
        <v>1204</v>
      </c>
      <c r="E2" s="41" t="s">
        <v>1205</v>
      </c>
      <c r="F2" s="4">
        <v>46263.0</v>
      </c>
      <c r="G2" s="37" t="s">
        <v>26</v>
      </c>
      <c r="H2" s="35" t="s">
        <v>1206</v>
      </c>
      <c r="I2" s="10" t="s">
        <v>1207</v>
      </c>
      <c r="J2" s="35" t="s">
        <v>1208</v>
      </c>
    </row>
    <row r="3" ht="57.0" customHeight="1">
      <c r="A3" s="47" t="s">
        <v>1209</v>
      </c>
      <c r="B3" s="46" t="s">
        <v>388</v>
      </c>
      <c r="C3" s="46" t="s">
        <v>1210</v>
      </c>
      <c r="D3" s="46" t="s">
        <v>1211</v>
      </c>
      <c r="E3" s="46" t="s">
        <v>1212</v>
      </c>
      <c r="F3" s="14">
        <v>46263.0</v>
      </c>
      <c r="G3" s="26" t="s">
        <v>26</v>
      </c>
      <c r="H3" s="24" t="s">
        <v>1213</v>
      </c>
      <c r="I3" s="16" t="s">
        <v>1214</v>
      </c>
      <c r="J3" s="24" t="s">
        <v>1215</v>
      </c>
    </row>
    <row r="4" ht="57.0" customHeight="1">
      <c r="A4" s="39" t="s">
        <v>1216</v>
      </c>
      <c r="B4" s="41" t="s">
        <v>499</v>
      </c>
      <c r="C4" s="41" t="s">
        <v>1217</v>
      </c>
      <c r="D4" s="41" t="s">
        <v>1218</v>
      </c>
      <c r="E4" s="41" t="s">
        <v>1219</v>
      </c>
      <c r="F4" s="4">
        <v>46263.0</v>
      </c>
      <c r="G4" s="37" t="s">
        <v>26</v>
      </c>
      <c r="H4" s="35" t="s">
        <v>1220</v>
      </c>
      <c r="I4" s="10" t="s">
        <v>1221</v>
      </c>
      <c r="J4" s="35" t="s">
        <v>1222</v>
      </c>
    </row>
    <row r="5" ht="79.5" customHeight="1">
      <c r="A5" s="47" t="s">
        <v>1223</v>
      </c>
      <c r="B5" s="46" t="s">
        <v>499</v>
      </c>
      <c r="C5" s="46" t="s">
        <v>1224</v>
      </c>
      <c r="D5" s="46" t="s">
        <v>1225</v>
      </c>
      <c r="E5" s="46" t="s">
        <v>1226</v>
      </c>
      <c r="F5" s="14">
        <v>46263.0</v>
      </c>
      <c r="G5" s="26" t="s">
        <v>26</v>
      </c>
      <c r="H5" s="24" t="s">
        <v>1227</v>
      </c>
      <c r="I5" s="16" t="s">
        <v>1228</v>
      </c>
      <c r="J5" s="13" t="s">
        <v>1229</v>
      </c>
    </row>
    <row r="6" ht="57.0" customHeight="1">
      <c r="A6" s="39" t="s">
        <v>1230</v>
      </c>
      <c r="B6" s="41" t="s">
        <v>499</v>
      </c>
      <c r="C6" s="41" t="s">
        <v>1231</v>
      </c>
      <c r="D6" s="41" t="s">
        <v>1232</v>
      </c>
      <c r="E6" s="41" t="s">
        <v>1233</v>
      </c>
      <c r="F6" s="4">
        <v>46263.0</v>
      </c>
      <c r="G6" s="37" t="s">
        <v>26</v>
      </c>
      <c r="H6" s="35" t="s">
        <v>1234</v>
      </c>
      <c r="I6" s="10" t="s">
        <v>1235</v>
      </c>
      <c r="J6" s="35" t="s">
        <v>1236</v>
      </c>
    </row>
    <row r="7" ht="68.25" customHeight="1">
      <c r="A7" s="47" t="s">
        <v>1237</v>
      </c>
      <c r="B7" s="46" t="s">
        <v>499</v>
      </c>
      <c r="C7" s="46" t="s">
        <v>1238</v>
      </c>
      <c r="D7" s="46" t="s">
        <v>1239</v>
      </c>
      <c r="E7" s="46" t="s">
        <v>1240</v>
      </c>
      <c r="F7" s="14">
        <v>46263.0</v>
      </c>
      <c r="G7" s="26" t="s">
        <v>26</v>
      </c>
      <c r="H7" s="24" t="s">
        <v>1241</v>
      </c>
      <c r="I7" s="16" t="s">
        <v>1242</v>
      </c>
      <c r="J7" s="24" t="s">
        <v>1243</v>
      </c>
    </row>
    <row r="8" ht="68.25" customHeight="1">
      <c r="A8" s="39" t="s">
        <v>1244</v>
      </c>
      <c r="B8" s="41" t="s">
        <v>499</v>
      </c>
      <c r="C8" s="41" t="s">
        <v>1245</v>
      </c>
      <c r="D8" s="41" t="s">
        <v>1246</v>
      </c>
      <c r="E8" s="41" t="s">
        <v>1247</v>
      </c>
      <c r="F8" s="4">
        <v>46263.0</v>
      </c>
      <c r="G8" s="37" t="s">
        <v>26</v>
      </c>
      <c r="H8" s="35" t="s">
        <v>1248</v>
      </c>
      <c r="I8" s="10" t="s">
        <v>1249</v>
      </c>
      <c r="J8" s="35" t="s">
        <v>1250</v>
      </c>
    </row>
    <row r="9" ht="57.0" customHeight="1">
      <c r="A9" s="47" t="s">
        <v>1251</v>
      </c>
      <c r="B9" s="46" t="s">
        <v>499</v>
      </c>
      <c r="C9" s="46" t="s">
        <v>1252</v>
      </c>
      <c r="D9" s="46" t="s">
        <v>1253</v>
      </c>
      <c r="E9" s="46" t="s">
        <v>1254</v>
      </c>
      <c r="F9" s="14">
        <v>46263.0</v>
      </c>
      <c r="G9" s="45" t="s">
        <v>26</v>
      </c>
      <c r="H9" s="46" t="s">
        <v>27</v>
      </c>
      <c r="I9" s="16" t="s">
        <v>1255</v>
      </c>
      <c r="J9" s="13" t="s">
        <v>33</v>
      </c>
    </row>
    <row r="10" ht="34.5" customHeight="1">
      <c r="A10" s="39" t="s">
        <v>1256</v>
      </c>
      <c r="B10" s="41" t="s">
        <v>499</v>
      </c>
      <c r="C10" s="41" t="s">
        <v>1257</v>
      </c>
      <c r="D10" s="41" t="s">
        <v>1258</v>
      </c>
      <c r="E10" s="41" t="s">
        <v>1259</v>
      </c>
      <c r="F10" s="4">
        <v>46263.0</v>
      </c>
      <c r="G10" s="37" t="s">
        <v>26</v>
      </c>
      <c r="H10" s="35" t="s">
        <v>1260</v>
      </c>
      <c r="I10" s="10" t="s">
        <v>1261</v>
      </c>
      <c r="J10" s="35" t="s">
        <v>1262</v>
      </c>
    </row>
    <row r="11" ht="57.0" customHeight="1">
      <c r="A11" s="47" t="s">
        <v>1263</v>
      </c>
      <c r="B11" s="46" t="s">
        <v>499</v>
      </c>
      <c r="C11" s="46" t="s">
        <v>1264</v>
      </c>
      <c r="D11" s="46" t="s">
        <v>1265</v>
      </c>
      <c r="E11" s="46" t="s">
        <v>1266</v>
      </c>
      <c r="F11" s="14">
        <v>46263.0</v>
      </c>
      <c r="G11" s="26" t="s">
        <v>26</v>
      </c>
      <c r="H11" s="24" t="s">
        <v>1267</v>
      </c>
      <c r="I11" s="16" t="s">
        <v>1268</v>
      </c>
      <c r="J11" s="24" t="s">
        <v>1269</v>
      </c>
    </row>
    <row r="12" ht="45.75" customHeight="1">
      <c r="A12" s="39" t="s">
        <v>1270</v>
      </c>
      <c r="B12" s="41" t="s">
        <v>499</v>
      </c>
      <c r="C12" s="41" t="s">
        <v>1271</v>
      </c>
      <c r="D12" s="41" t="s">
        <v>1272</v>
      </c>
      <c r="E12" s="41" t="s">
        <v>1273</v>
      </c>
      <c r="F12" s="4">
        <v>46263.0</v>
      </c>
      <c r="G12" s="37" t="s">
        <v>26</v>
      </c>
      <c r="H12" s="35" t="s">
        <v>1274</v>
      </c>
      <c r="I12" s="10" t="s">
        <v>1275</v>
      </c>
      <c r="J12" s="35" t="s">
        <v>1276</v>
      </c>
    </row>
    <row r="13" ht="79.5" customHeight="1">
      <c r="A13" s="47" t="s">
        <v>1277</v>
      </c>
      <c r="B13" s="46" t="s">
        <v>499</v>
      </c>
      <c r="C13" s="46" t="s">
        <v>1278</v>
      </c>
      <c r="D13" s="46" t="s">
        <v>1279</v>
      </c>
      <c r="E13" s="46" t="s">
        <v>1280</v>
      </c>
      <c r="F13" s="14">
        <v>46263.0</v>
      </c>
      <c r="G13" s="26" t="s">
        <v>26</v>
      </c>
      <c r="H13" s="24" t="s">
        <v>1281</v>
      </c>
      <c r="I13" s="16" t="s">
        <v>1282</v>
      </c>
      <c r="J13" s="24" t="s">
        <v>1283</v>
      </c>
    </row>
    <row r="14" ht="57.0" customHeight="1">
      <c r="A14" s="39" t="s">
        <v>1284</v>
      </c>
      <c r="B14" s="41" t="s">
        <v>499</v>
      </c>
      <c r="C14" s="41" t="s">
        <v>1285</v>
      </c>
      <c r="D14" s="41" t="s">
        <v>1286</v>
      </c>
      <c r="E14" s="41" t="s">
        <v>1287</v>
      </c>
      <c r="F14" s="4">
        <v>46263.0</v>
      </c>
      <c r="G14" s="37" t="s">
        <v>26</v>
      </c>
      <c r="H14" s="35" t="s">
        <v>1288</v>
      </c>
      <c r="I14" s="10" t="s">
        <v>1289</v>
      </c>
      <c r="J14" s="35" t="s">
        <v>1290</v>
      </c>
    </row>
    <row r="15" ht="68.25" customHeight="1">
      <c r="A15" s="47" t="s">
        <v>1291</v>
      </c>
      <c r="B15" s="46" t="s">
        <v>499</v>
      </c>
      <c r="C15" s="46" t="s">
        <v>1292</v>
      </c>
      <c r="D15" s="46" t="s">
        <v>1293</v>
      </c>
      <c r="E15" s="46" t="s">
        <v>1294</v>
      </c>
      <c r="F15" s="14">
        <v>46263.0</v>
      </c>
      <c r="G15" s="26" t="s">
        <v>26</v>
      </c>
      <c r="H15" s="24" t="s">
        <v>1295</v>
      </c>
      <c r="I15" s="16" t="s">
        <v>1296</v>
      </c>
      <c r="J15" s="24" t="s">
        <v>1297</v>
      </c>
    </row>
    <row r="16" ht="45.75" customHeight="1">
      <c r="A16" s="39" t="s">
        <v>1298</v>
      </c>
      <c r="B16" s="41" t="s">
        <v>499</v>
      </c>
      <c r="C16" s="41" t="s">
        <v>1299</v>
      </c>
      <c r="D16" s="41" t="s">
        <v>1300</v>
      </c>
      <c r="E16" s="41" t="s">
        <v>1301</v>
      </c>
      <c r="F16" s="4">
        <v>46263.0</v>
      </c>
      <c r="G16" s="37" t="s">
        <v>26</v>
      </c>
      <c r="H16" s="35" t="s">
        <v>1302</v>
      </c>
      <c r="I16" s="10" t="s">
        <v>1303</v>
      </c>
      <c r="J16" s="35" t="s">
        <v>1304</v>
      </c>
    </row>
    <row r="17" ht="57.0" customHeight="1">
      <c r="A17" s="47" t="s">
        <v>1305</v>
      </c>
      <c r="B17" s="46" t="s">
        <v>499</v>
      </c>
      <c r="C17" s="46" t="s">
        <v>1306</v>
      </c>
      <c r="D17" s="46" t="s">
        <v>1307</v>
      </c>
      <c r="E17" s="46" t="s">
        <v>1308</v>
      </c>
      <c r="F17" s="14">
        <v>46263.0</v>
      </c>
      <c r="G17" s="26" t="s">
        <v>26</v>
      </c>
      <c r="H17" s="24" t="s">
        <v>1309</v>
      </c>
      <c r="I17" s="16" t="s">
        <v>1310</v>
      </c>
      <c r="J17" s="24" t="s">
        <v>1311</v>
      </c>
    </row>
    <row r="18">
      <c r="A18" s="31"/>
      <c r="B18" s="31"/>
      <c r="C18" s="31"/>
      <c r="D18" s="31"/>
      <c r="E18" s="31"/>
      <c r="F18" s="31"/>
      <c r="G18" s="31"/>
      <c r="H18" s="31"/>
      <c r="I18" s="31"/>
      <c r="J18" s="31"/>
    </row>
    <row r="19">
      <c r="A19" s="31"/>
      <c r="B19" s="31"/>
      <c r="C19" s="31"/>
      <c r="D19" s="31"/>
      <c r="E19" s="31"/>
      <c r="F19" s="31"/>
      <c r="G19" s="31"/>
      <c r="H19" s="31"/>
      <c r="I19" s="31"/>
      <c r="J19" s="31"/>
    </row>
    <row r="20">
      <c r="A20" s="31"/>
      <c r="B20" s="31"/>
      <c r="C20" s="31"/>
      <c r="D20" s="31"/>
      <c r="E20" s="31"/>
      <c r="F20" s="31"/>
      <c r="G20" s="31"/>
      <c r="H20" s="31"/>
      <c r="I20" s="31"/>
      <c r="J20" s="31"/>
    </row>
    <row r="21" ht="15.75" customHeight="1">
      <c r="A21" s="31"/>
      <c r="B21" s="31"/>
      <c r="C21" s="31"/>
      <c r="D21" s="31"/>
      <c r="E21" s="31"/>
      <c r="F21" s="31"/>
      <c r="G21" s="31"/>
      <c r="H21" s="31"/>
      <c r="I21" s="31"/>
      <c r="J21" s="31"/>
    </row>
    <row r="22" ht="15.75" customHeight="1">
      <c r="A22" s="31"/>
      <c r="B22" s="31"/>
      <c r="C22" s="31"/>
      <c r="D22" s="31"/>
      <c r="E22" s="31"/>
      <c r="F22" s="31"/>
      <c r="G22" s="31"/>
      <c r="H22" s="31"/>
      <c r="I22" s="31"/>
      <c r="J22" s="31"/>
    </row>
    <row r="23" ht="15.75" customHeight="1">
      <c r="A23" s="31"/>
      <c r="B23" s="31"/>
      <c r="C23" s="31"/>
      <c r="D23" s="31"/>
      <c r="E23" s="31"/>
      <c r="F23" s="31"/>
      <c r="G23" s="31"/>
      <c r="H23" s="31"/>
      <c r="I23" s="31"/>
      <c r="J23" s="31"/>
    </row>
    <row r="24" ht="15.75" customHeight="1">
      <c r="A24" s="31"/>
      <c r="B24" s="31"/>
      <c r="C24" s="31"/>
      <c r="D24" s="31"/>
      <c r="E24" s="31"/>
      <c r="F24" s="31"/>
      <c r="G24" s="31"/>
      <c r="H24" s="31"/>
      <c r="I24" s="31"/>
      <c r="J24" s="31"/>
    </row>
    <row r="25" ht="15.75" customHeight="1">
      <c r="A25" s="31"/>
      <c r="B25" s="31"/>
      <c r="C25" s="31"/>
      <c r="D25" s="31"/>
      <c r="E25" s="31"/>
      <c r="F25" s="31"/>
      <c r="G25" s="31"/>
      <c r="H25" s="31"/>
      <c r="I25" s="31"/>
      <c r="J25" s="31"/>
    </row>
    <row r="26" ht="15.75" customHeight="1">
      <c r="A26" s="31"/>
      <c r="B26" s="31"/>
      <c r="C26" s="31"/>
      <c r="D26" s="31"/>
      <c r="E26" s="31"/>
      <c r="F26" s="31"/>
      <c r="G26" s="31"/>
      <c r="H26" s="31"/>
      <c r="I26" s="31"/>
      <c r="J26" s="31"/>
    </row>
    <row r="27" ht="15.75" customHeight="1">
      <c r="A27" s="31"/>
      <c r="B27" s="31"/>
      <c r="C27" s="31"/>
      <c r="D27" s="31"/>
      <c r="E27" s="31"/>
      <c r="F27" s="31"/>
      <c r="G27" s="31"/>
      <c r="H27" s="31"/>
      <c r="I27" s="31"/>
      <c r="J27" s="31"/>
    </row>
    <row r="28" ht="15.75" customHeight="1">
      <c r="A28" s="31"/>
      <c r="B28" s="31"/>
      <c r="C28" s="31"/>
      <c r="D28" s="31"/>
      <c r="E28" s="31"/>
      <c r="F28" s="31"/>
      <c r="G28" s="31"/>
      <c r="H28" s="31"/>
      <c r="I28" s="31"/>
      <c r="J28" s="31"/>
    </row>
    <row r="29" ht="15.75" customHeight="1">
      <c r="A29" s="31"/>
      <c r="B29" s="31"/>
      <c r="C29" s="31"/>
      <c r="D29" s="31"/>
      <c r="E29" s="31"/>
      <c r="F29" s="31"/>
      <c r="G29" s="31"/>
      <c r="H29" s="31"/>
      <c r="I29" s="31"/>
      <c r="J29" s="31"/>
    </row>
    <row r="30" ht="15.75" customHeight="1">
      <c r="A30" s="31"/>
      <c r="B30" s="31"/>
      <c r="C30" s="31"/>
      <c r="D30" s="31"/>
      <c r="E30" s="31"/>
      <c r="F30" s="31"/>
      <c r="G30" s="31"/>
      <c r="H30" s="31"/>
      <c r="I30" s="31"/>
      <c r="J30" s="31"/>
    </row>
    <row r="31" ht="15.75" customHeight="1">
      <c r="A31" s="31"/>
      <c r="B31" s="31"/>
      <c r="C31" s="31"/>
      <c r="D31" s="31"/>
      <c r="E31" s="31"/>
      <c r="F31" s="31"/>
      <c r="G31" s="31"/>
      <c r="H31" s="31"/>
      <c r="I31" s="31"/>
      <c r="J31" s="31"/>
    </row>
    <row r="32" ht="15.75" customHeight="1">
      <c r="A32" s="31"/>
      <c r="B32" s="31"/>
      <c r="C32" s="31"/>
      <c r="D32" s="31"/>
      <c r="E32" s="31"/>
      <c r="F32" s="31"/>
      <c r="G32" s="31"/>
      <c r="H32" s="31"/>
      <c r="I32" s="31"/>
      <c r="J32" s="31"/>
    </row>
    <row r="33" ht="15.75" customHeight="1">
      <c r="A33" s="31"/>
      <c r="B33" s="31"/>
      <c r="C33" s="31"/>
      <c r="D33" s="31"/>
      <c r="E33" s="31"/>
      <c r="F33" s="31"/>
      <c r="G33" s="31"/>
      <c r="H33" s="31"/>
      <c r="I33" s="31"/>
      <c r="J33" s="31"/>
    </row>
    <row r="34" ht="15.75" customHeight="1">
      <c r="A34" s="31"/>
      <c r="B34" s="31"/>
      <c r="C34" s="31"/>
      <c r="D34" s="31"/>
      <c r="E34" s="31"/>
      <c r="F34" s="31"/>
      <c r="G34" s="31"/>
      <c r="H34" s="31"/>
      <c r="I34" s="31"/>
      <c r="J34" s="31"/>
    </row>
    <row r="35" ht="15.75" customHeight="1">
      <c r="A35" s="31"/>
      <c r="B35" s="31"/>
      <c r="C35" s="31"/>
      <c r="D35" s="31"/>
      <c r="E35" s="31"/>
      <c r="F35" s="31"/>
      <c r="G35" s="31"/>
      <c r="H35" s="31"/>
      <c r="I35" s="31"/>
      <c r="J35" s="31"/>
    </row>
    <row r="36" ht="15.75" customHeight="1">
      <c r="A36" s="31"/>
      <c r="B36" s="31"/>
      <c r="C36" s="31"/>
      <c r="D36" s="31"/>
      <c r="E36" s="31"/>
      <c r="F36" s="31"/>
      <c r="G36" s="31"/>
      <c r="H36" s="31"/>
      <c r="I36" s="31"/>
      <c r="J36" s="31"/>
    </row>
    <row r="37" ht="15.75" customHeight="1">
      <c r="A37" s="31"/>
      <c r="B37" s="31"/>
      <c r="C37" s="31"/>
      <c r="D37" s="31"/>
      <c r="E37" s="31"/>
      <c r="F37" s="31"/>
      <c r="G37" s="31"/>
      <c r="H37" s="31"/>
      <c r="I37" s="31"/>
      <c r="J37" s="31"/>
    </row>
    <row r="38" ht="15.75" customHeight="1">
      <c r="A38" s="31"/>
      <c r="B38" s="31"/>
      <c r="C38" s="31"/>
      <c r="D38" s="31"/>
      <c r="E38" s="31"/>
      <c r="F38" s="31"/>
      <c r="G38" s="31"/>
      <c r="H38" s="31"/>
      <c r="I38" s="31"/>
      <c r="J38" s="31"/>
    </row>
    <row r="39" ht="15.75" customHeight="1">
      <c r="A39" s="31"/>
      <c r="B39" s="31"/>
      <c r="C39" s="31"/>
      <c r="D39" s="31"/>
      <c r="E39" s="31"/>
      <c r="F39" s="31"/>
      <c r="G39" s="31"/>
      <c r="H39" s="31"/>
      <c r="I39" s="31"/>
      <c r="J39" s="31"/>
    </row>
    <row r="40" ht="15.75" customHeight="1">
      <c r="A40" s="31"/>
      <c r="B40" s="31"/>
      <c r="C40" s="31"/>
      <c r="D40" s="31"/>
      <c r="E40" s="31"/>
      <c r="F40" s="31"/>
      <c r="G40" s="31"/>
      <c r="H40" s="31"/>
      <c r="I40" s="31"/>
      <c r="J40" s="31"/>
    </row>
    <row r="41" ht="15.75" customHeight="1">
      <c r="A41" s="31"/>
      <c r="B41" s="31"/>
      <c r="C41" s="31"/>
      <c r="D41" s="31"/>
      <c r="E41" s="31"/>
      <c r="F41" s="31"/>
      <c r="G41" s="31"/>
      <c r="H41" s="31"/>
      <c r="I41" s="31"/>
      <c r="J41" s="31"/>
    </row>
    <row r="42" ht="15.75" customHeight="1">
      <c r="A42" s="31"/>
      <c r="B42" s="31"/>
      <c r="C42" s="31"/>
      <c r="D42" s="31"/>
      <c r="E42" s="31"/>
      <c r="F42" s="31"/>
      <c r="G42" s="31"/>
      <c r="H42" s="31"/>
      <c r="I42" s="31"/>
      <c r="J42" s="31"/>
    </row>
    <row r="43" ht="15.75" customHeight="1">
      <c r="A43" s="31"/>
      <c r="B43" s="31"/>
      <c r="C43" s="31"/>
      <c r="D43" s="31"/>
      <c r="E43" s="31"/>
      <c r="F43" s="31"/>
      <c r="G43" s="31"/>
      <c r="H43" s="31"/>
      <c r="I43" s="31"/>
      <c r="J43" s="31"/>
    </row>
    <row r="44" ht="15.75" customHeight="1">
      <c r="A44" s="31"/>
      <c r="B44" s="31"/>
      <c r="C44" s="31"/>
      <c r="D44" s="31"/>
      <c r="E44" s="31"/>
      <c r="F44" s="31"/>
      <c r="G44" s="31"/>
      <c r="H44" s="31"/>
      <c r="I44" s="31"/>
      <c r="J44" s="31"/>
    </row>
    <row r="45" ht="15.75" customHeight="1">
      <c r="A45" s="31"/>
      <c r="B45" s="31"/>
      <c r="C45" s="31"/>
      <c r="D45" s="31"/>
      <c r="E45" s="31"/>
      <c r="F45" s="31"/>
      <c r="G45" s="31"/>
      <c r="H45" s="31"/>
      <c r="I45" s="31"/>
      <c r="J45" s="31"/>
    </row>
    <row r="46" ht="15.75" customHeight="1">
      <c r="A46" s="31"/>
      <c r="B46" s="31"/>
      <c r="C46" s="31"/>
      <c r="D46" s="31"/>
      <c r="E46" s="31"/>
      <c r="F46" s="31"/>
      <c r="G46" s="31"/>
      <c r="H46" s="31"/>
      <c r="I46" s="31"/>
      <c r="J46" s="31"/>
    </row>
    <row r="47" ht="15.75" customHeight="1">
      <c r="A47" s="31"/>
      <c r="B47" s="31"/>
      <c r="C47" s="31"/>
      <c r="D47" s="31"/>
      <c r="E47" s="31"/>
      <c r="F47" s="31"/>
      <c r="G47" s="31"/>
      <c r="H47" s="31"/>
      <c r="I47" s="31"/>
      <c r="J47" s="31"/>
    </row>
    <row r="48" ht="15.75" customHeight="1">
      <c r="A48" s="31"/>
      <c r="B48" s="31"/>
      <c r="C48" s="31"/>
      <c r="D48" s="31"/>
      <c r="E48" s="31"/>
      <c r="F48" s="31"/>
      <c r="G48" s="31"/>
      <c r="H48" s="31"/>
      <c r="I48" s="31"/>
      <c r="J48" s="31"/>
    </row>
    <row r="49" ht="15.75" customHeight="1">
      <c r="A49" s="31"/>
      <c r="B49" s="31"/>
      <c r="C49" s="31"/>
      <c r="D49" s="31"/>
      <c r="E49" s="31"/>
      <c r="F49" s="31"/>
      <c r="G49" s="31"/>
      <c r="H49" s="31"/>
      <c r="I49" s="31"/>
      <c r="J49" s="31"/>
    </row>
    <row r="50" ht="15.75" customHeight="1">
      <c r="A50" s="31"/>
      <c r="B50" s="31"/>
      <c r="C50" s="31"/>
      <c r="D50" s="31"/>
      <c r="E50" s="31"/>
      <c r="F50" s="31"/>
      <c r="G50" s="31"/>
      <c r="H50" s="31"/>
      <c r="I50" s="31"/>
      <c r="J50" s="31"/>
    </row>
    <row r="51" ht="15.75" customHeight="1">
      <c r="A51" s="31"/>
      <c r="B51" s="31"/>
      <c r="C51" s="31"/>
      <c r="D51" s="31"/>
      <c r="E51" s="31"/>
      <c r="F51" s="31"/>
      <c r="G51" s="31"/>
      <c r="H51" s="31"/>
      <c r="I51" s="31"/>
      <c r="J51" s="31"/>
    </row>
    <row r="52" ht="15.75" customHeight="1">
      <c r="A52" s="31"/>
      <c r="B52" s="31"/>
      <c r="C52" s="31"/>
      <c r="D52" s="31"/>
      <c r="E52" s="31"/>
      <c r="F52" s="31"/>
      <c r="G52" s="31"/>
      <c r="H52" s="31"/>
      <c r="I52" s="31"/>
      <c r="J52" s="31"/>
    </row>
    <row r="53" ht="15.75" customHeight="1">
      <c r="A53" s="31"/>
      <c r="B53" s="31"/>
      <c r="C53" s="31"/>
      <c r="D53" s="31"/>
      <c r="E53" s="31"/>
      <c r="F53" s="31"/>
      <c r="G53" s="31"/>
      <c r="H53" s="31"/>
      <c r="I53" s="31"/>
      <c r="J53" s="31"/>
    </row>
    <row r="54" ht="15.75" customHeight="1">
      <c r="A54" s="31"/>
      <c r="B54" s="31"/>
      <c r="C54" s="31"/>
      <c r="D54" s="31"/>
      <c r="E54" s="31"/>
      <c r="F54" s="31"/>
      <c r="G54" s="31"/>
      <c r="H54" s="31"/>
      <c r="I54" s="31"/>
      <c r="J54" s="31"/>
    </row>
    <row r="55" ht="15.75" customHeight="1">
      <c r="A55" s="31"/>
      <c r="B55" s="31"/>
      <c r="C55" s="31"/>
      <c r="D55" s="31"/>
      <c r="E55" s="31"/>
      <c r="F55" s="31"/>
      <c r="G55" s="31"/>
      <c r="H55" s="31"/>
      <c r="I55" s="31"/>
      <c r="J55" s="31"/>
    </row>
    <row r="56" ht="15.75" customHeight="1">
      <c r="A56" s="31"/>
      <c r="B56" s="31"/>
      <c r="C56" s="31"/>
      <c r="D56" s="31"/>
      <c r="E56" s="31"/>
      <c r="F56" s="31"/>
      <c r="G56" s="31"/>
      <c r="H56" s="31"/>
      <c r="I56" s="31"/>
      <c r="J56" s="31"/>
    </row>
    <row r="57" ht="15.75" customHeight="1">
      <c r="A57" s="31"/>
      <c r="B57" s="31"/>
      <c r="C57" s="31"/>
      <c r="D57" s="31"/>
      <c r="E57" s="31"/>
      <c r="F57" s="31"/>
      <c r="G57" s="31"/>
      <c r="H57" s="31"/>
      <c r="I57" s="31"/>
      <c r="J57" s="31"/>
    </row>
    <row r="58" ht="15.75" customHeight="1">
      <c r="A58" s="31"/>
      <c r="B58" s="31"/>
      <c r="C58" s="31"/>
      <c r="D58" s="31"/>
      <c r="E58" s="31"/>
      <c r="F58" s="31"/>
      <c r="G58" s="31"/>
      <c r="H58" s="31"/>
      <c r="I58" s="31"/>
      <c r="J58" s="31"/>
    </row>
    <row r="59" ht="15.75" customHeight="1">
      <c r="A59" s="31"/>
      <c r="B59" s="31"/>
      <c r="C59" s="31"/>
      <c r="D59" s="31"/>
      <c r="E59" s="31"/>
      <c r="F59" s="31"/>
      <c r="G59" s="31"/>
      <c r="H59" s="31"/>
      <c r="I59" s="31"/>
      <c r="J59" s="31"/>
    </row>
    <row r="60" ht="15.75" customHeight="1">
      <c r="A60" s="31"/>
      <c r="B60" s="31"/>
      <c r="C60" s="31"/>
      <c r="D60" s="31"/>
      <c r="E60" s="31"/>
      <c r="F60" s="31"/>
      <c r="G60" s="31"/>
      <c r="H60" s="31"/>
      <c r="I60" s="31"/>
      <c r="J60" s="31"/>
    </row>
    <row r="61" ht="15.75" customHeight="1">
      <c r="A61" s="31"/>
      <c r="B61" s="31"/>
      <c r="C61" s="31"/>
      <c r="D61" s="31"/>
      <c r="E61" s="31"/>
      <c r="F61" s="31"/>
      <c r="G61" s="31"/>
      <c r="H61" s="31"/>
      <c r="I61" s="31"/>
      <c r="J61" s="31"/>
    </row>
    <row r="62" ht="15.75" customHeight="1">
      <c r="A62" s="31"/>
      <c r="B62" s="31"/>
      <c r="C62" s="31"/>
      <c r="D62" s="31"/>
      <c r="E62" s="31"/>
      <c r="F62" s="31"/>
      <c r="G62" s="31"/>
      <c r="H62" s="31"/>
      <c r="I62" s="31"/>
      <c r="J62" s="31"/>
    </row>
    <row r="63" ht="15.75" customHeight="1">
      <c r="A63" s="31"/>
      <c r="B63" s="31"/>
      <c r="C63" s="31"/>
      <c r="D63" s="31"/>
      <c r="E63" s="31"/>
      <c r="F63" s="31"/>
      <c r="G63" s="31"/>
      <c r="H63" s="31"/>
      <c r="I63" s="31"/>
      <c r="J63" s="31"/>
    </row>
    <row r="64" ht="15.75" customHeight="1">
      <c r="A64" s="31"/>
      <c r="B64" s="31"/>
      <c r="C64" s="31"/>
      <c r="D64" s="31"/>
      <c r="E64" s="31"/>
      <c r="F64" s="31"/>
      <c r="G64" s="31"/>
      <c r="H64" s="31"/>
      <c r="I64" s="31"/>
      <c r="J64" s="31"/>
    </row>
    <row r="65" ht="15.75" customHeight="1">
      <c r="A65" s="31"/>
      <c r="B65" s="31"/>
      <c r="C65" s="31"/>
      <c r="D65" s="31"/>
      <c r="E65" s="31"/>
      <c r="F65" s="31"/>
      <c r="G65" s="31"/>
      <c r="H65" s="31"/>
      <c r="I65" s="31"/>
      <c r="J65" s="31"/>
    </row>
    <row r="66" ht="15.75" customHeight="1">
      <c r="A66" s="31"/>
      <c r="B66" s="31"/>
      <c r="C66" s="31"/>
      <c r="D66" s="31"/>
      <c r="E66" s="31"/>
      <c r="F66" s="31"/>
      <c r="G66" s="31"/>
      <c r="H66" s="31"/>
      <c r="I66" s="31"/>
      <c r="J66" s="31"/>
    </row>
    <row r="67" ht="15.75" customHeight="1">
      <c r="A67" s="31"/>
      <c r="B67" s="31"/>
      <c r="C67" s="31"/>
      <c r="D67" s="31"/>
      <c r="E67" s="31"/>
      <c r="F67" s="31"/>
      <c r="G67" s="31"/>
      <c r="H67" s="31"/>
      <c r="I67" s="31"/>
      <c r="J67" s="31"/>
    </row>
    <row r="68" ht="15.75" customHeight="1">
      <c r="A68" s="31"/>
      <c r="B68" s="31"/>
      <c r="C68" s="31"/>
      <c r="D68" s="31"/>
      <c r="E68" s="31"/>
      <c r="F68" s="31"/>
      <c r="G68" s="31"/>
      <c r="H68" s="31"/>
      <c r="I68" s="31"/>
      <c r="J68" s="31"/>
    </row>
    <row r="69" ht="15.75" customHeight="1">
      <c r="A69" s="31"/>
      <c r="B69" s="31"/>
      <c r="C69" s="31"/>
      <c r="D69" s="31"/>
      <c r="E69" s="31"/>
      <c r="F69" s="31"/>
      <c r="G69" s="31"/>
      <c r="H69" s="31"/>
      <c r="I69" s="31"/>
      <c r="J69" s="31"/>
    </row>
    <row r="70" ht="15.75" customHeight="1">
      <c r="A70" s="31"/>
      <c r="B70" s="31"/>
      <c r="C70" s="31"/>
      <c r="D70" s="31"/>
      <c r="E70" s="31"/>
      <c r="F70" s="31"/>
      <c r="G70" s="31"/>
      <c r="H70" s="31"/>
      <c r="I70" s="31"/>
      <c r="J70" s="31"/>
    </row>
    <row r="71" ht="15.75" customHeight="1">
      <c r="A71" s="31"/>
      <c r="B71" s="31"/>
      <c r="C71" s="31"/>
      <c r="D71" s="31"/>
      <c r="E71" s="31"/>
      <c r="F71" s="31"/>
      <c r="G71" s="31"/>
      <c r="H71" s="31"/>
      <c r="I71" s="31"/>
      <c r="J71" s="31"/>
    </row>
    <row r="72" ht="15.75" customHeight="1">
      <c r="A72" s="31"/>
      <c r="B72" s="31"/>
      <c r="C72" s="31"/>
      <c r="D72" s="31"/>
      <c r="E72" s="31"/>
      <c r="F72" s="31"/>
      <c r="G72" s="31"/>
      <c r="H72" s="31"/>
      <c r="I72" s="31"/>
      <c r="J72" s="31"/>
    </row>
    <row r="73" ht="15.75" customHeight="1">
      <c r="A73" s="31"/>
      <c r="B73" s="31"/>
      <c r="C73" s="31"/>
      <c r="D73" s="31"/>
      <c r="E73" s="31"/>
      <c r="F73" s="31"/>
      <c r="G73" s="31"/>
      <c r="H73" s="31"/>
      <c r="I73" s="31"/>
      <c r="J73" s="31"/>
    </row>
    <row r="74" ht="15.75" customHeight="1">
      <c r="A74" s="31"/>
      <c r="B74" s="31"/>
      <c r="C74" s="31"/>
      <c r="D74" s="31"/>
      <c r="E74" s="31"/>
      <c r="F74" s="31"/>
      <c r="G74" s="31"/>
      <c r="H74" s="31"/>
      <c r="I74" s="31"/>
      <c r="J74" s="31"/>
    </row>
    <row r="75" ht="15.75" customHeight="1">
      <c r="A75" s="31"/>
      <c r="B75" s="31"/>
      <c r="C75" s="31"/>
      <c r="D75" s="31"/>
      <c r="E75" s="31"/>
      <c r="F75" s="31"/>
      <c r="G75" s="31"/>
      <c r="H75" s="31"/>
      <c r="I75" s="31"/>
      <c r="J75" s="31"/>
    </row>
    <row r="76" ht="15.75" customHeight="1">
      <c r="A76" s="31"/>
      <c r="B76" s="31"/>
      <c r="C76" s="31"/>
      <c r="D76" s="31"/>
      <c r="E76" s="31"/>
      <c r="F76" s="31"/>
      <c r="G76" s="31"/>
      <c r="H76" s="31"/>
      <c r="I76" s="31"/>
      <c r="J76" s="31"/>
    </row>
    <row r="77" ht="15.75" customHeight="1">
      <c r="A77" s="31"/>
      <c r="B77" s="31"/>
      <c r="C77" s="31"/>
      <c r="D77" s="31"/>
      <c r="E77" s="31"/>
      <c r="F77" s="31"/>
      <c r="G77" s="31"/>
      <c r="H77" s="31"/>
      <c r="I77" s="31"/>
      <c r="J77" s="31"/>
    </row>
    <row r="78" ht="15.75" customHeight="1">
      <c r="A78" s="31"/>
      <c r="B78" s="31"/>
      <c r="C78" s="31"/>
      <c r="D78" s="31"/>
      <c r="E78" s="31"/>
      <c r="F78" s="31"/>
      <c r="G78" s="31"/>
      <c r="H78" s="31"/>
      <c r="I78" s="31"/>
      <c r="J78" s="31"/>
    </row>
    <row r="79" ht="15.75" customHeight="1">
      <c r="A79" s="31"/>
      <c r="B79" s="31"/>
      <c r="C79" s="31"/>
      <c r="D79" s="31"/>
      <c r="E79" s="31"/>
      <c r="F79" s="31"/>
      <c r="G79" s="31"/>
      <c r="H79" s="31"/>
      <c r="I79" s="31"/>
      <c r="J79" s="31"/>
    </row>
    <row r="80" ht="15.75" customHeight="1">
      <c r="A80" s="31"/>
      <c r="B80" s="31"/>
      <c r="C80" s="31"/>
      <c r="D80" s="31"/>
      <c r="E80" s="31"/>
      <c r="F80" s="31"/>
      <c r="G80" s="31"/>
      <c r="H80" s="31"/>
      <c r="I80" s="31"/>
      <c r="J80" s="31"/>
    </row>
    <row r="81" ht="15.75" customHeight="1">
      <c r="A81" s="31"/>
      <c r="B81" s="31"/>
      <c r="C81" s="31"/>
      <c r="D81" s="31"/>
      <c r="E81" s="31"/>
      <c r="F81" s="31"/>
      <c r="G81" s="31"/>
      <c r="H81" s="31"/>
      <c r="I81" s="31"/>
      <c r="J81" s="31"/>
    </row>
    <row r="82" ht="15.75" customHeight="1">
      <c r="A82" s="31"/>
      <c r="B82" s="31"/>
      <c r="C82" s="31"/>
      <c r="D82" s="31"/>
      <c r="E82" s="31"/>
      <c r="F82" s="31"/>
      <c r="G82" s="31"/>
      <c r="H82" s="31"/>
      <c r="I82" s="31"/>
      <c r="J82" s="31"/>
    </row>
    <row r="83" ht="15.75" customHeight="1">
      <c r="A83" s="31"/>
      <c r="B83" s="31"/>
      <c r="C83" s="31"/>
      <c r="D83" s="31"/>
      <c r="E83" s="31"/>
      <c r="F83" s="31"/>
      <c r="G83" s="31"/>
      <c r="H83" s="31"/>
      <c r="I83" s="31"/>
      <c r="J83" s="31"/>
    </row>
    <row r="84" ht="15.75" customHeight="1">
      <c r="A84" s="31"/>
      <c r="B84" s="31"/>
      <c r="C84" s="31"/>
      <c r="D84" s="31"/>
      <c r="E84" s="31"/>
      <c r="F84" s="31"/>
      <c r="G84" s="31"/>
      <c r="H84" s="31"/>
      <c r="I84" s="31"/>
      <c r="J84" s="31"/>
    </row>
    <row r="85" ht="15.75" customHeight="1">
      <c r="A85" s="31"/>
      <c r="B85" s="31"/>
      <c r="C85" s="31"/>
      <c r="D85" s="31"/>
      <c r="E85" s="31"/>
      <c r="F85" s="31"/>
      <c r="G85" s="31"/>
      <c r="H85" s="31"/>
      <c r="I85" s="31"/>
      <c r="J85" s="31"/>
    </row>
    <row r="86" ht="15.75" customHeight="1">
      <c r="A86" s="31"/>
      <c r="B86" s="31"/>
      <c r="C86" s="31"/>
      <c r="D86" s="31"/>
      <c r="E86" s="31"/>
      <c r="F86" s="31"/>
      <c r="G86" s="31"/>
      <c r="H86" s="31"/>
      <c r="I86" s="31"/>
      <c r="J86" s="31"/>
    </row>
    <row r="87" ht="15.75" customHeight="1">
      <c r="A87" s="31"/>
      <c r="B87" s="31"/>
      <c r="C87" s="31"/>
      <c r="D87" s="31"/>
      <c r="E87" s="31"/>
      <c r="F87" s="31"/>
      <c r="G87" s="31"/>
      <c r="H87" s="31"/>
      <c r="I87" s="31"/>
      <c r="J87" s="31"/>
    </row>
    <row r="88" ht="15.75" customHeight="1">
      <c r="A88" s="31"/>
      <c r="B88" s="31"/>
      <c r="C88" s="31"/>
      <c r="D88" s="31"/>
      <c r="E88" s="31"/>
      <c r="F88" s="31"/>
      <c r="G88" s="31"/>
      <c r="H88" s="31"/>
      <c r="I88" s="31"/>
      <c r="J88" s="31"/>
    </row>
    <row r="89" ht="15.75" customHeight="1">
      <c r="A89" s="31"/>
      <c r="B89" s="31"/>
      <c r="C89" s="31"/>
      <c r="D89" s="31"/>
      <c r="E89" s="31"/>
      <c r="F89" s="31"/>
      <c r="G89" s="31"/>
      <c r="H89" s="31"/>
      <c r="I89" s="31"/>
      <c r="J89" s="31"/>
    </row>
    <row r="90" ht="15.75" customHeight="1">
      <c r="A90" s="31"/>
      <c r="B90" s="31"/>
      <c r="C90" s="31"/>
      <c r="D90" s="31"/>
      <c r="E90" s="31"/>
      <c r="F90" s="31"/>
      <c r="G90" s="31"/>
      <c r="H90" s="31"/>
      <c r="I90" s="31"/>
      <c r="J90" s="31"/>
    </row>
    <row r="91" ht="15.75" customHeight="1">
      <c r="A91" s="31"/>
      <c r="B91" s="31"/>
      <c r="C91" s="31"/>
      <c r="D91" s="31"/>
      <c r="E91" s="31"/>
      <c r="F91" s="31"/>
      <c r="G91" s="31"/>
      <c r="H91" s="31"/>
      <c r="I91" s="31"/>
      <c r="J91" s="31"/>
    </row>
    <row r="92" ht="15.75" customHeight="1">
      <c r="A92" s="31"/>
      <c r="B92" s="31"/>
      <c r="C92" s="31"/>
      <c r="D92" s="31"/>
      <c r="E92" s="31"/>
      <c r="F92" s="31"/>
      <c r="G92" s="31"/>
      <c r="H92" s="31"/>
      <c r="I92" s="31"/>
      <c r="J92" s="31"/>
    </row>
    <row r="93" ht="15.75" customHeight="1">
      <c r="A93" s="31"/>
      <c r="B93" s="31"/>
      <c r="C93" s="31"/>
      <c r="D93" s="31"/>
      <c r="E93" s="31"/>
      <c r="F93" s="31"/>
      <c r="G93" s="31"/>
      <c r="H93" s="31"/>
      <c r="I93" s="31"/>
      <c r="J93" s="31"/>
    </row>
    <row r="94" ht="15.75" customHeight="1">
      <c r="A94" s="31"/>
      <c r="B94" s="31"/>
      <c r="C94" s="31"/>
      <c r="D94" s="31"/>
      <c r="E94" s="31"/>
      <c r="F94" s="31"/>
      <c r="G94" s="31"/>
      <c r="H94" s="31"/>
      <c r="I94" s="31"/>
      <c r="J94" s="31"/>
    </row>
    <row r="95" ht="15.75" customHeight="1">
      <c r="A95" s="31"/>
      <c r="B95" s="31"/>
      <c r="C95" s="31"/>
      <c r="D95" s="31"/>
      <c r="E95" s="31"/>
      <c r="F95" s="31"/>
      <c r="G95" s="31"/>
      <c r="H95" s="31"/>
      <c r="I95" s="31"/>
      <c r="J95" s="31"/>
    </row>
    <row r="96" ht="15.75" customHeight="1">
      <c r="A96" s="31"/>
      <c r="B96" s="31"/>
      <c r="C96" s="31"/>
      <c r="D96" s="31"/>
      <c r="E96" s="31"/>
      <c r="F96" s="31"/>
      <c r="G96" s="31"/>
      <c r="H96" s="31"/>
      <c r="I96" s="31"/>
      <c r="J96" s="31"/>
    </row>
    <row r="97" ht="15.75" customHeight="1">
      <c r="A97" s="31"/>
      <c r="B97" s="31"/>
      <c r="C97" s="31"/>
      <c r="D97" s="31"/>
      <c r="E97" s="31"/>
      <c r="F97" s="31"/>
      <c r="G97" s="31"/>
      <c r="H97" s="31"/>
      <c r="I97" s="31"/>
      <c r="J97" s="31"/>
    </row>
    <row r="98" ht="15.75" customHeight="1">
      <c r="A98" s="31"/>
      <c r="B98" s="31"/>
      <c r="C98" s="31"/>
      <c r="D98" s="31"/>
      <c r="E98" s="31"/>
      <c r="F98" s="31"/>
      <c r="G98" s="31"/>
      <c r="H98" s="31"/>
      <c r="I98" s="31"/>
      <c r="J98" s="31"/>
    </row>
    <row r="99" ht="15.75" customHeight="1">
      <c r="A99" s="31"/>
      <c r="B99" s="31"/>
      <c r="C99" s="31"/>
      <c r="D99" s="31"/>
      <c r="E99" s="31"/>
      <c r="F99" s="31"/>
      <c r="G99" s="31"/>
      <c r="H99" s="31"/>
      <c r="I99" s="31"/>
      <c r="J99" s="31"/>
    </row>
    <row r="100" ht="15.75" customHeight="1">
      <c r="A100" s="31"/>
      <c r="B100" s="31"/>
      <c r="C100" s="31"/>
      <c r="D100" s="31"/>
      <c r="E100" s="31"/>
      <c r="F100" s="31"/>
      <c r="G100" s="31"/>
      <c r="H100" s="31"/>
      <c r="I100" s="31"/>
      <c r="J100" s="31"/>
    </row>
    <row r="101" ht="15.75" customHeight="1">
      <c r="A101" s="31"/>
      <c r="B101" s="31"/>
      <c r="C101" s="31"/>
      <c r="D101" s="31"/>
      <c r="E101" s="31"/>
      <c r="F101" s="31"/>
      <c r="G101" s="31"/>
      <c r="H101" s="31"/>
      <c r="I101" s="31"/>
      <c r="J101" s="31"/>
    </row>
    <row r="102" ht="15.75" customHeight="1">
      <c r="A102" s="31"/>
      <c r="B102" s="31"/>
      <c r="C102" s="31"/>
      <c r="D102" s="31"/>
      <c r="E102" s="31"/>
      <c r="F102" s="31"/>
      <c r="G102" s="31"/>
      <c r="H102" s="31"/>
      <c r="I102" s="31"/>
      <c r="J102" s="31"/>
    </row>
    <row r="103" ht="15.75" customHeight="1">
      <c r="A103" s="31"/>
      <c r="B103" s="31"/>
      <c r="C103" s="31"/>
      <c r="D103" s="31"/>
      <c r="E103" s="31"/>
      <c r="F103" s="31"/>
      <c r="G103" s="31"/>
      <c r="H103" s="31"/>
      <c r="I103" s="31"/>
      <c r="J103" s="31"/>
    </row>
    <row r="104" ht="15.75" customHeight="1">
      <c r="A104" s="31"/>
      <c r="B104" s="31"/>
      <c r="C104" s="31"/>
      <c r="D104" s="31"/>
      <c r="E104" s="31"/>
      <c r="F104" s="31"/>
      <c r="G104" s="31"/>
      <c r="H104" s="31"/>
      <c r="I104" s="31"/>
      <c r="J104" s="31"/>
    </row>
    <row r="105" ht="15.75" customHeight="1">
      <c r="A105" s="31"/>
      <c r="B105" s="31"/>
      <c r="C105" s="31"/>
      <c r="D105" s="31"/>
      <c r="E105" s="31"/>
      <c r="F105" s="31"/>
      <c r="G105" s="31"/>
      <c r="H105" s="31"/>
      <c r="I105" s="31"/>
      <c r="J105" s="31"/>
    </row>
    <row r="106" ht="15.75" customHeight="1">
      <c r="A106" s="31"/>
      <c r="B106" s="31"/>
      <c r="C106" s="31"/>
      <c r="D106" s="31"/>
      <c r="E106" s="31"/>
      <c r="F106" s="31"/>
      <c r="G106" s="31"/>
      <c r="H106" s="31"/>
      <c r="I106" s="31"/>
      <c r="J106" s="31"/>
    </row>
    <row r="107" ht="15.75" customHeight="1">
      <c r="A107" s="31"/>
      <c r="B107" s="31"/>
      <c r="C107" s="31"/>
      <c r="D107" s="31"/>
      <c r="E107" s="31"/>
      <c r="F107" s="31"/>
      <c r="G107" s="31"/>
      <c r="H107" s="31"/>
      <c r="I107" s="31"/>
      <c r="J107" s="31"/>
    </row>
    <row r="108" ht="15.75" customHeight="1">
      <c r="A108" s="31"/>
      <c r="B108" s="31"/>
      <c r="C108" s="31"/>
      <c r="D108" s="31"/>
      <c r="E108" s="31"/>
      <c r="F108" s="31"/>
      <c r="G108" s="31"/>
      <c r="H108" s="31"/>
      <c r="I108" s="31"/>
      <c r="J108" s="31"/>
    </row>
    <row r="109" ht="15.75" customHeight="1">
      <c r="A109" s="31"/>
      <c r="B109" s="31"/>
      <c r="C109" s="31"/>
      <c r="D109" s="31"/>
      <c r="E109" s="31"/>
      <c r="F109" s="31"/>
      <c r="G109" s="31"/>
      <c r="H109" s="31"/>
      <c r="I109" s="31"/>
      <c r="J109" s="31"/>
    </row>
    <row r="110" ht="15.75" customHeight="1">
      <c r="A110" s="31"/>
      <c r="B110" s="31"/>
      <c r="C110" s="31"/>
      <c r="D110" s="31"/>
      <c r="E110" s="31"/>
      <c r="F110" s="31"/>
      <c r="G110" s="31"/>
      <c r="H110" s="31"/>
      <c r="I110" s="31"/>
      <c r="J110" s="31"/>
    </row>
    <row r="111" ht="15.75" customHeight="1">
      <c r="A111" s="31"/>
      <c r="B111" s="31"/>
      <c r="C111" s="31"/>
      <c r="D111" s="31"/>
      <c r="E111" s="31"/>
      <c r="F111" s="31"/>
      <c r="G111" s="31"/>
      <c r="H111" s="31"/>
      <c r="I111" s="31"/>
      <c r="J111" s="31"/>
    </row>
    <row r="112" ht="15.75" customHeight="1">
      <c r="A112" s="31"/>
      <c r="B112" s="31"/>
      <c r="C112" s="31"/>
      <c r="D112" s="31"/>
      <c r="E112" s="31"/>
      <c r="F112" s="31"/>
      <c r="G112" s="31"/>
      <c r="H112" s="31"/>
      <c r="I112" s="31"/>
      <c r="J112" s="31"/>
    </row>
    <row r="113" ht="15.75" customHeight="1">
      <c r="A113" s="31"/>
      <c r="B113" s="31"/>
      <c r="C113" s="31"/>
      <c r="D113" s="31"/>
      <c r="E113" s="31"/>
      <c r="F113" s="31"/>
      <c r="G113" s="31"/>
      <c r="H113" s="31"/>
      <c r="I113" s="31"/>
      <c r="J113" s="31"/>
    </row>
    <row r="114" ht="15.75" customHeight="1">
      <c r="A114" s="31"/>
      <c r="B114" s="31"/>
      <c r="C114" s="31"/>
      <c r="D114" s="31"/>
      <c r="E114" s="31"/>
      <c r="F114" s="31"/>
      <c r="G114" s="31"/>
      <c r="H114" s="31"/>
      <c r="I114" s="31"/>
      <c r="J114" s="31"/>
    </row>
    <row r="115" ht="15.75" customHeight="1">
      <c r="A115" s="31"/>
      <c r="B115" s="31"/>
      <c r="C115" s="31"/>
      <c r="D115" s="31"/>
      <c r="E115" s="31"/>
      <c r="F115" s="31"/>
      <c r="G115" s="31"/>
      <c r="H115" s="31"/>
      <c r="I115" s="31"/>
      <c r="J115" s="31"/>
    </row>
    <row r="116" ht="15.75" customHeight="1">
      <c r="A116" s="31"/>
      <c r="B116" s="31"/>
      <c r="C116" s="31"/>
      <c r="D116" s="31"/>
      <c r="E116" s="31"/>
      <c r="F116" s="31"/>
      <c r="G116" s="31"/>
      <c r="H116" s="31"/>
      <c r="I116" s="31"/>
      <c r="J116" s="31"/>
    </row>
    <row r="117" ht="15.75" customHeight="1">
      <c r="A117" s="31"/>
      <c r="B117" s="31"/>
      <c r="C117" s="31"/>
      <c r="D117" s="31"/>
      <c r="E117" s="31"/>
      <c r="F117" s="31"/>
      <c r="G117" s="31"/>
      <c r="H117" s="31"/>
      <c r="I117" s="31"/>
      <c r="J117" s="31"/>
    </row>
    <row r="118" ht="15.75" customHeight="1">
      <c r="A118" s="31"/>
      <c r="B118" s="31"/>
      <c r="C118" s="31"/>
      <c r="D118" s="31"/>
      <c r="E118" s="31"/>
      <c r="F118" s="31"/>
      <c r="G118" s="31"/>
      <c r="H118" s="31"/>
      <c r="I118" s="31"/>
      <c r="J118" s="31"/>
    </row>
    <row r="119" ht="15.75" customHeight="1">
      <c r="A119" s="31"/>
      <c r="B119" s="31"/>
      <c r="C119" s="31"/>
      <c r="D119" s="31"/>
      <c r="E119" s="31"/>
      <c r="F119" s="31"/>
      <c r="G119" s="31"/>
      <c r="H119" s="31"/>
      <c r="I119" s="31"/>
      <c r="J119" s="31"/>
    </row>
    <row r="120" ht="15.75" customHeight="1">
      <c r="A120" s="31"/>
      <c r="B120" s="31"/>
      <c r="C120" s="31"/>
      <c r="D120" s="31"/>
      <c r="E120" s="31"/>
      <c r="F120" s="31"/>
      <c r="G120" s="31"/>
      <c r="H120" s="31"/>
      <c r="I120" s="31"/>
      <c r="J120" s="31"/>
    </row>
    <row r="121" ht="15.75" customHeight="1">
      <c r="A121" s="31"/>
      <c r="B121" s="31"/>
      <c r="C121" s="31"/>
      <c r="D121" s="31"/>
      <c r="E121" s="31"/>
      <c r="F121" s="31"/>
      <c r="G121" s="31"/>
      <c r="H121" s="31"/>
      <c r="I121" s="31"/>
      <c r="J121" s="31"/>
    </row>
    <row r="122" ht="15.75" customHeight="1">
      <c r="A122" s="31"/>
      <c r="B122" s="31"/>
      <c r="C122" s="31"/>
      <c r="D122" s="31"/>
      <c r="E122" s="31"/>
      <c r="F122" s="31"/>
      <c r="G122" s="31"/>
      <c r="H122" s="31"/>
      <c r="I122" s="31"/>
      <c r="J122" s="31"/>
    </row>
    <row r="123" ht="15.75" customHeight="1">
      <c r="A123" s="31"/>
      <c r="B123" s="31"/>
      <c r="C123" s="31"/>
      <c r="D123" s="31"/>
      <c r="E123" s="31"/>
      <c r="F123" s="31"/>
      <c r="G123" s="31"/>
      <c r="H123" s="31"/>
      <c r="I123" s="31"/>
      <c r="J123" s="31"/>
    </row>
    <row r="124" ht="15.75" customHeight="1">
      <c r="A124" s="31"/>
      <c r="B124" s="31"/>
      <c r="C124" s="31"/>
      <c r="D124" s="31"/>
      <c r="E124" s="31"/>
      <c r="F124" s="31"/>
      <c r="G124" s="31"/>
      <c r="H124" s="31"/>
      <c r="I124" s="31"/>
      <c r="J124" s="31"/>
    </row>
    <row r="125" ht="15.75" customHeight="1">
      <c r="A125" s="31"/>
      <c r="B125" s="31"/>
      <c r="C125" s="31"/>
      <c r="D125" s="31"/>
      <c r="E125" s="31"/>
      <c r="F125" s="31"/>
      <c r="G125" s="31"/>
      <c r="H125" s="31"/>
      <c r="I125" s="31"/>
      <c r="J125" s="31"/>
    </row>
    <row r="126" ht="15.75" customHeight="1">
      <c r="A126" s="31"/>
      <c r="B126" s="31"/>
      <c r="C126" s="31"/>
      <c r="D126" s="31"/>
      <c r="E126" s="31"/>
      <c r="F126" s="31"/>
      <c r="G126" s="31"/>
      <c r="H126" s="31"/>
      <c r="I126" s="31"/>
      <c r="J126" s="31"/>
    </row>
    <row r="127" ht="15.75" customHeight="1">
      <c r="A127" s="31"/>
      <c r="B127" s="31"/>
      <c r="C127" s="31"/>
      <c r="D127" s="31"/>
      <c r="E127" s="31"/>
      <c r="F127" s="31"/>
      <c r="G127" s="31"/>
      <c r="H127" s="31"/>
      <c r="I127" s="31"/>
      <c r="J127" s="31"/>
    </row>
    <row r="128" ht="15.75" customHeight="1">
      <c r="A128" s="31"/>
      <c r="B128" s="31"/>
      <c r="C128" s="31"/>
      <c r="D128" s="31"/>
      <c r="E128" s="31"/>
      <c r="F128" s="31"/>
      <c r="G128" s="31"/>
      <c r="H128" s="31"/>
      <c r="I128" s="31"/>
      <c r="J128" s="31"/>
    </row>
    <row r="129" ht="15.75" customHeight="1">
      <c r="A129" s="31"/>
      <c r="B129" s="31"/>
      <c r="C129" s="31"/>
      <c r="D129" s="31"/>
      <c r="E129" s="31"/>
      <c r="F129" s="31"/>
      <c r="G129" s="31"/>
      <c r="H129" s="31"/>
      <c r="I129" s="31"/>
      <c r="J129" s="31"/>
    </row>
    <row r="130" ht="15.75" customHeight="1">
      <c r="A130" s="31"/>
      <c r="B130" s="31"/>
      <c r="C130" s="31"/>
      <c r="D130" s="31"/>
      <c r="E130" s="31"/>
      <c r="F130" s="31"/>
      <c r="G130" s="31"/>
      <c r="H130" s="31"/>
      <c r="I130" s="31"/>
      <c r="J130" s="31"/>
    </row>
    <row r="131" ht="15.75" customHeight="1">
      <c r="A131" s="31"/>
      <c r="B131" s="31"/>
      <c r="C131" s="31"/>
      <c r="D131" s="31"/>
      <c r="E131" s="31"/>
      <c r="F131" s="31"/>
      <c r="G131" s="31"/>
      <c r="H131" s="31"/>
      <c r="I131" s="31"/>
      <c r="J131" s="31"/>
    </row>
    <row r="132" ht="15.75" customHeight="1">
      <c r="A132" s="31"/>
      <c r="B132" s="31"/>
      <c r="C132" s="31"/>
      <c r="D132" s="31"/>
      <c r="E132" s="31"/>
      <c r="F132" s="31"/>
      <c r="G132" s="31"/>
      <c r="H132" s="31"/>
      <c r="I132" s="31"/>
      <c r="J132" s="31"/>
    </row>
    <row r="133" ht="15.75" customHeight="1">
      <c r="A133" s="31"/>
      <c r="B133" s="31"/>
      <c r="C133" s="31"/>
      <c r="D133" s="31"/>
      <c r="E133" s="31"/>
      <c r="F133" s="31"/>
      <c r="G133" s="31"/>
      <c r="H133" s="31"/>
      <c r="I133" s="31"/>
      <c r="J133" s="31"/>
    </row>
    <row r="134" ht="15.75" customHeight="1">
      <c r="A134" s="31"/>
      <c r="B134" s="31"/>
      <c r="C134" s="31"/>
      <c r="D134" s="31"/>
      <c r="E134" s="31"/>
      <c r="F134" s="31"/>
      <c r="G134" s="31"/>
      <c r="H134" s="31"/>
      <c r="I134" s="31"/>
      <c r="J134" s="31"/>
    </row>
    <row r="135" ht="15.75" customHeight="1">
      <c r="A135" s="31"/>
      <c r="B135" s="31"/>
      <c r="C135" s="31"/>
      <c r="D135" s="31"/>
      <c r="E135" s="31"/>
      <c r="F135" s="31"/>
      <c r="G135" s="31"/>
      <c r="H135" s="31"/>
      <c r="I135" s="31"/>
      <c r="J135" s="31"/>
    </row>
    <row r="136" ht="15.75" customHeight="1">
      <c r="A136" s="31"/>
      <c r="B136" s="31"/>
      <c r="C136" s="31"/>
      <c r="D136" s="31"/>
      <c r="E136" s="31"/>
      <c r="F136" s="31"/>
      <c r="G136" s="31"/>
      <c r="H136" s="31"/>
      <c r="I136" s="31"/>
      <c r="J136" s="31"/>
    </row>
    <row r="137" ht="15.75" customHeight="1">
      <c r="A137" s="31"/>
      <c r="B137" s="31"/>
      <c r="C137" s="31"/>
      <c r="D137" s="31"/>
      <c r="E137" s="31"/>
      <c r="F137" s="31"/>
      <c r="G137" s="31"/>
      <c r="H137" s="31"/>
      <c r="I137" s="31"/>
      <c r="J137" s="31"/>
    </row>
    <row r="138" ht="15.75" customHeight="1">
      <c r="A138" s="31"/>
      <c r="B138" s="31"/>
      <c r="C138" s="31"/>
      <c r="D138" s="31"/>
      <c r="E138" s="31"/>
      <c r="F138" s="31"/>
      <c r="G138" s="31"/>
      <c r="H138" s="31"/>
      <c r="I138" s="31"/>
      <c r="J138" s="31"/>
    </row>
    <row r="139" ht="15.75" customHeight="1">
      <c r="A139" s="31"/>
      <c r="B139" s="31"/>
      <c r="C139" s="31"/>
      <c r="D139" s="31"/>
      <c r="E139" s="31"/>
      <c r="F139" s="31"/>
      <c r="G139" s="31"/>
      <c r="H139" s="31"/>
      <c r="I139" s="31"/>
      <c r="J139" s="31"/>
    </row>
    <row r="140" ht="15.75" customHeight="1">
      <c r="A140" s="31"/>
      <c r="B140" s="31"/>
      <c r="C140" s="31"/>
      <c r="D140" s="31"/>
      <c r="E140" s="31"/>
      <c r="F140" s="31"/>
      <c r="G140" s="31"/>
      <c r="H140" s="31"/>
      <c r="I140" s="31"/>
      <c r="J140" s="31"/>
    </row>
    <row r="141" ht="15.75" customHeight="1">
      <c r="A141" s="31"/>
      <c r="B141" s="31"/>
      <c r="C141" s="31"/>
      <c r="D141" s="31"/>
      <c r="E141" s="31"/>
      <c r="F141" s="31"/>
      <c r="G141" s="31"/>
      <c r="H141" s="31"/>
      <c r="I141" s="31"/>
      <c r="J141" s="31"/>
    </row>
    <row r="142" ht="15.75" customHeight="1">
      <c r="A142" s="31"/>
      <c r="B142" s="31"/>
      <c r="C142" s="31"/>
      <c r="D142" s="31"/>
      <c r="E142" s="31"/>
      <c r="F142" s="31"/>
      <c r="G142" s="31"/>
      <c r="H142" s="31"/>
      <c r="I142" s="31"/>
      <c r="J142" s="31"/>
    </row>
    <row r="143" ht="15.75" customHeight="1">
      <c r="A143" s="31"/>
      <c r="B143" s="31"/>
      <c r="C143" s="31"/>
      <c r="D143" s="31"/>
      <c r="E143" s="31"/>
      <c r="F143" s="31"/>
      <c r="G143" s="31"/>
      <c r="H143" s="31"/>
      <c r="I143" s="31"/>
      <c r="J143" s="31"/>
    </row>
    <row r="144" ht="15.75" customHeight="1">
      <c r="A144" s="31"/>
      <c r="B144" s="31"/>
      <c r="C144" s="31"/>
      <c r="D144" s="31"/>
      <c r="E144" s="31"/>
      <c r="F144" s="31"/>
      <c r="G144" s="31"/>
      <c r="H144" s="31"/>
      <c r="I144" s="31"/>
      <c r="J144" s="31"/>
    </row>
    <row r="145" ht="15.75" customHeight="1">
      <c r="A145" s="31"/>
      <c r="B145" s="31"/>
      <c r="C145" s="31"/>
      <c r="D145" s="31"/>
      <c r="E145" s="31"/>
      <c r="F145" s="31"/>
      <c r="G145" s="31"/>
      <c r="H145" s="31"/>
      <c r="I145" s="31"/>
      <c r="J145" s="31"/>
    </row>
    <row r="146" ht="15.75" customHeight="1">
      <c r="A146" s="31"/>
      <c r="B146" s="31"/>
      <c r="C146" s="31"/>
      <c r="D146" s="31"/>
      <c r="E146" s="31"/>
      <c r="F146" s="31"/>
      <c r="G146" s="31"/>
      <c r="H146" s="31"/>
      <c r="I146" s="31"/>
      <c r="J146" s="31"/>
    </row>
    <row r="147" ht="15.75" customHeight="1">
      <c r="A147" s="31"/>
      <c r="B147" s="31"/>
      <c r="C147" s="31"/>
      <c r="D147" s="31"/>
      <c r="E147" s="31"/>
      <c r="F147" s="31"/>
      <c r="G147" s="31"/>
      <c r="H147" s="31"/>
      <c r="I147" s="31"/>
      <c r="J147" s="31"/>
    </row>
    <row r="148" ht="15.75" customHeight="1">
      <c r="A148" s="31"/>
      <c r="B148" s="31"/>
      <c r="C148" s="31"/>
      <c r="D148" s="31"/>
      <c r="E148" s="31"/>
      <c r="F148" s="31"/>
      <c r="G148" s="31"/>
      <c r="H148" s="31"/>
      <c r="I148" s="31"/>
      <c r="J148" s="31"/>
    </row>
    <row r="149" ht="15.75" customHeight="1">
      <c r="A149" s="31"/>
      <c r="B149" s="31"/>
      <c r="C149" s="31"/>
      <c r="D149" s="31"/>
      <c r="E149" s="31"/>
      <c r="F149" s="31"/>
      <c r="G149" s="31"/>
      <c r="H149" s="31"/>
      <c r="I149" s="31"/>
      <c r="J149" s="31"/>
    </row>
    <row r="150" ht="15.75" customHeight="1">
      <c r="A150" s="31"/>
      <c r="B150" s="31"/>
      <c r="C150" s="31"/>
      <c r="D150" s="31"/>
      <c r="E150" s="31"/>
      <c r="F150" s="31"/>
      <c r="G150" s="31"/>
      <c r="H150" s="31"/>
      <c r="I150" s="31"/>
      <c r="J150" s="31"/>
    </row>
    <row r="151" ht="15.75" customHeight="1">
      <c r="A151" s="31"/>
      <c r="B151" s="31"/>
      <c r="C151" s="31"/>
      <c r="D151" s="31"/>
      <c r="E151" s="31"/>
      <c r="F151" s="31"/>
      <c r="G151" s="31"/>
      <c r="H151" s="31"/>
      <c r="I151" s="31"/>
      <c r="J151" s="31"/>
    </row>
    <row r="152" ht="15.75" customHeight="1">
      <c r="A152" s="31"/>
      <c r="B152" s="31"/>
      <c r="C152" s="31"/>
      <c r="D152" s="31"/>
      <c r="E152" s="31"/>
      <c r="F152" s="31"/>
      <c r="G152" s="31"/>
      <c r="H152" s="31"/>
      <c r="I152" s="31"/>
      <c r="J152" s="31"/>
    </row>
    <row r="153" ht="15.75" customHeight="1">
      <c r="A153" s="31"/>
      <c r="B153" s="31"/>
      <c r="C153" s="31"/>
      <c r="D153" s="31"/>
      <c r="E153" s="31"/>
      <c r="F153" s="31"/>
      <c r="G153" s="31"/>
      <c r="H153" s="31"/>
      <c r="I153" s="31"/>
      <c r="J153" s="31"/>
    </row>
    <row r="154" ht="15.75" customHeight="1">
      <c r="A154" s="31"/>
      <c r="B154" s="31"/>
      <c r="C154" s="31"/>
      <c r="D154" s="31"/>
      <c r="E154" s="31"/>
      <c r="F154" s="31"/>
      <c r="G154" s="31"/>
      <c r="H154" s="31"/>
      <c r="I154" s="31"/>
      <c r="J154" s="31"/>
    </row>
    <row r="155" ht="15.75" customHeight="1">
      <c r="A155" s="31"/>
      <c r="B155" s="31"/>
      <c r="C155" s="31"/>
      <c r="D155" s="31"/>
      <c r="E155" s="31"/>
      <c r="F155" s="31"/>
      <c r="G155" s="31"/>
      <c r="H155" s="31"/>
      <c r="I155" s="31"/>
      <c r="J155" s="31"/>
    </row>
    <row r="156" ht="15.75" customHeight="1">
      <c r="A156" s="31"/>
      <c r="B156" s="31"/>
      <c r="C156" s="31"/>
      <c r="D156" s="31"/>
      <c r="E156" s="31"/>
      <c r="F156" s="31"/>
      <c r="G156" s="31"/>
      <c r="H156" s="31"/>
      <c r="I156" s="31"/>
      <c r="J156" s="31"/>
    </row>
    <row r="157" ht="15.75" customHeight="1">
      <c r="A157" s="31"/>
      <c r="B157" s="31"/>
      <c r="C157" s="31"/>
      <c r="D157" s="31"/>
      <c r="E157" s="31"/>
      <c r="F157" s="31"/>
      <c r="G157" s="31"/>
      <c r="H157" s="31"/>
      <c r="I157" s="31"/>
      <c r="J157" s="31"/>
    </row>
    <row r="158" ht="15.75" customHeight="1">
      <c r="A158" s="31"/>
      <c r="B158" s="31"/>
      <c r="C158" s="31"/>
      <c r="D158" s="31"/>
      <c r="E158" s="31"/>
      <c r="F158" s="31"/>
      <c r="G158" s="31"/>
      <c r="H158" s="31"/>
      <c r="I158" s="31"/>
      <c r="J158" s="31"/>
    </row>
    <row r="159" ht="15.75" customHeight="1">
      <c r="A159" s="31"/>
      <c r="B159" s="31"/>
      <c r="C159" s="31"/>
      <c r="D159" s="31"/>
      <c r="E159" s="31"/>
      <c r="F159" s="31"/>
      <c r="G159" s="31"/>
      <c r="H159" s="31"/>
      <c r="I159" s="31"/>
      <c r="J159" s="31"/>
    </row>
    <row r="160" ht="15.75" customHeight="1">
      <c r="A160" s="31"/>
      <c r="B160" s="31"/>
      <c r="C160" s="31"/>
      <c r="D160" s="31"/>
      <c r="E160" s="31"/>
      <c r="F160" s="31"/>
      <c r="G160" s="31"/>
      <c r="H160" s="31"/>
      <c r="I160" s="31"/>
      <c r="J160" s="31"/>
    </row>
    <row r="161" ht="15.75" customHeight="1">
      <c r="A161" s="31"/>
      <c r="B161" s="31"/>
      <c r="C161" s="31"/>
      <c r="D161" s="31"/>
      <c r="E161" s="31"/>
      <c r="F161" s="31"/>
      <c r="G161" s="31"/>
      <c r="H161" s="31"/>
      <c r="I161" s="31"/>
      <c r="J161" s="31"/>
    </row>
    <row r="162" ht="15.75" customHeight="1">
      <c r="A162" s="31"/>
      <c r="B162" s="31"/>
      <c r="C162" s="31"/>
      <c r="D162" s="31"/>
      <c r="E162" s="31"/>
      <c r="F162" s="31"/>
      <c r="G162" s="31"/>
      <c r="H162" s="31"/>
      <c r="I162" s="31"/>
      <c r="J162" s="31"/>
    </row>
    <row r="163" ht="15.75" customHeight="1">
      <c r="A163" s="31"/>
      <c r="B163" s="31"/>
      <c r="C163" s="31"/>
      <c r="D163" s="31"/>
      <c r="E163" s="31"/>
      <c r="F163" s="31"/>
      <c r="G163" s="31"/>
      <c r="H163" s="31"/>
      <c r="I163" s="31"/>
      <c r="J163" s="31"/>
    </row>
    <row r="164" ht="15.75" customHeight="1">
      <c r="A164" s="31"/>
      <c r="B164" s="31"/>
      <c r="C164" s="31"/>
      <c r="D164" s="31"/>
      <c r="E164" s="31"/>
      <c r="F164" s="31"/>
      <c r="G164" s="31"/>
      <c r="H164" s="31"/>
      <c r="I164" s="31"/>
      <c r="J164" s="31"/>
    </row>
    <row r="165" ht="15.75" customHeight="1">
      <c r="A165" s="31"/>
      <c r="B165" s="31"/>
      <c r="C165" s="31"/>
      <c r="D165" s="31"/>
      <c r="E165" s="31"/>
      <c r="F165" s="31"/>
      <c r="G165" s="31"/>
      <c r="H165" s="31"/>
      <c r="I165" s="31"/>
      <c r="J165" s="31"/>
    </row>
    <row r="166" ht="15.75" customHeight="1">
      <c r="A166" s="31"/>
      <c r="B166" s="31"/>
      <c r="C166" s="31"/>
      <c r="D166" s="31"/>
      <c r="E166" s="31"/>
      <c r="F166" s="31"/>
      <c r="G166" s="31"/>
      <c r="H166" s="31"/>
      <c r="I166" s="31"/>
      <c r="J166" s="31"/>
    </row>
    <row r="167" ht="15.75" customHeight="1">
      <c r="A167" s="31"/>
      <c r="B167" s="31"/>
      <c r="C167" s="31"/>
      <c r="D167" s="31"/>
      <c r="E167" s="31"/>
      <c r="F167" s="31"/>
      <c r="G167" s="31"/>
      <c r="H167" s="31"/>
      <c r="I167" s="31"/>
      <c r="J167" s="31"/>
    </row>
    <row r="168" ht="15.75" customHeight="1">
      <c r="A168" s="31"/>
      <c r="B168" s="31"/>
      <c r="C168" s="31"/>
      <c r="D168" s="31"/>
      <c r="E168" s="31"/>
      <c r="F168" s="31"/>
      <c r="G168" s="31"/>
      <c r="H168" s="31"/>
      <c r="I168" s="31"/>
      <c r="J168" s="31"/>
    </row>
    <row r="169" ht="15.75" customHeight="1">
      <c r="A169" s="31"/>
      <c r="B169" s="31"/>
      <c r="C169" s="31"/>
      <c r="D169" s="31"/>
      <c r="E169" s="31"/>
      <c r="F169" s="31"/>
      <c r="G169" s="31"/>
      <c r="H169" s="31"/>
      <c r="I169" s="31"/>
      <c r="J169" s="31"/>
    </row>
    <row r="170" ht="15.75" customHeight="1">
      <c r="A170" s="31"/>
      <c r="B170" s="31"/>
      <c r="C170" s="31"/>
      <c r="D170" s="31"/>
      <c r="E170" s="31"/>
      <c r="F170" s="31"/>
      <c r="G170" s="31"/>
      <c r="H170" s="31"/>
      <c r="I170" s="31"/>
      <c r="J170" s="31"/>
    </row>
    <row r="171" ht="15.75" customHeight="1">
      <c r="A171" s="31"/>
      <c r="B171" s="31"/>
      <c r="C171" s="31"/>
      <c r="D171" s="31"/>
      <c r="E171" s="31"/>
      <c r="F171" s="31"/>
      <c r="G171" s="31"/>
      <c r="H171" s="31"/>
      <c r="I171" s="31"/>
      <c r="J171" s="31"/>
    </row>
    <row r="172" ht="15.75" customHeight="1">
      <c r="A172" s="31"/>
      <c r="B172" s="31"/>
      <c r="C172" s="31"/>
      <c r="D172" s="31"/>
      <c r="E172" s="31"/>
      <c r="F172" s="31"/>
      <c r="G172" s="31"/>
      <c r="H172" s="31"/>
      <c r="I172" s="31"/>
      <c r="J172" s="31"/>
    </row>
    <row r="173" ht="15.75" customHeight="1">
      <c r="A173" s="31"/>
      <c r="B173" s="31"/>
      <c r="C173" s="31"/>
      <c r="D173" s="31"/>
      <c r="E173" s="31"/>
      <c r="F173" s="31"/>
      <c r="G173" s="31"/>
      <c r="H173" s="31"/>
      <c r="I173" s="31"/>
      <c r="J173" s="31"/>
    </row>
    <row r="174" ht="15.75" customHeight="1">
      <c r="A174" s="31"/>
      <c r="B174" s="31"/>
      <c r="C174" s="31"/>
      <c r="D174" s="31"/>
      <c r="E174" s="31"/>
      <c r="F174" s="31"/>
      <c r="G174" s="31"/>
      <c r="H174" s="31"/>
      <c r="I174" s="31"/>
      <c r="J174" s="31"/>
    </row>
    <row r="175" ht="15.75" customHeight="1">
      <c r="A175" s="31"/>
      <c r="B175" s="31"/>
      <c r="C175" s="31"/>
      <c r="D175" s="31"/>
      <c r="E175" s="31"/>
      <c r="F175" s="31"/>
      <c r="G175" s="31"/>
      <c r="H175" s="31"/>
      <c r="I175" s="31"/>
      <c r="J175" s="31"/>
    </row>
    <row r="176" ht="15.75" customHeight="1">
      <c r="A176" s="31"/>
      <c r="B176" s="31"/>
      <c r="C176" s="31"/>
      <c r="D176" s="31"/>
      <c r="E176" s="31"/>
      <c r="F176" s="31"/>
      <c r="G176" s="31"/>
      <c r="H176" s="31"/>
      <c r="I176" s="31"/>
      <c r="J176" s="31"/>
    </row>
    <row r="177" ht="15.75" customHeight="1">
      <c r="A177" s="31"/>
      <c r="B177" s="31"/>
      <c r="C177" s="31"/>
      <c r="D177" s="31"/>
      <c r="E177" s="31"/>
      <c r="F177" s="31"/>
      <c r="G177" s="31"/>
      <c r="H177" s="31"/>
      <c r="I177" s="31"/>
      <c r="J177" s="31"/>
    </row>
    <row r="178" ht="15.75" customHeight="1">
      <c r="A178" s="31"/>
      <c r="B178" s="31"/>
      <c r="C178" s="31"/>
      <c r="D178" s="31"/>
      <c r="E178" s="31"/>
      <c r="F178" s="31"/>
      <c r="G178" s="31"/>
      <c r="H178" s="31"/>
      <c r="I178" s="31"/>
      <c r="J178" s="31"/>
    </row>
    <row r="179" ht="15.75" customHeight="1">
      <c r="A179" s="31"/>
      <c r="B179" s="31"/>
      <c r="C179" s="31"/>
      <c r="D179" s="31"/>
      <c r="E179" s="31"/>
      <c r="F179" s="31"/>
      <c r="G179" s="31"/>
      <c r="H179" s="31"/>
      <c r="I179" s="31"/>
      <c r="J179" s="31"/>
    </row>
    <row r="180" ht="15.75" customHeight="1">
      <c r="A180" s="31"/>
      <c r="B180" s="31"/>
      <c r="C180" s="31"/>
      <c r="D180" s="31"/>
      <c r="E180" s="31"/>
      <c r="F180" s="31"/>
      <c r="G180" s="31"/>
      <c r="H180" s="31"/>
      <c r="I180" s="31"/>
      <c r="J180" s="31"/>
    </row>
    <row r="181" ht="15.75" customHeight="1">
      <c r="A181" s="31"/>
      <c r="B181" s="31"/>
      <c r="C181" s="31"/>
      <c r="D181" s="31"/>
      <c r="E181" s="31"/>
      <c r="F181" s="31"/>
      <c r="G181" s="31"/>
      <c r="H181" s="31"/>
      <c r="I181" s="31"/>
      <c r="J181" s="31"/>
    </row>
    <row r="182" ht="15.75" customHeight="1">
      <c r="A182" s="31"/>
      <c r="B182" s="31"/>
      <c r="C182" s="31"/>
      <c r="D182" s="31"/>
      <c r="E182" s="31"/>
      <c r="F182" s="31"/>
      <c r="G182" s="31"/>
      <c r="H182" s="31"/>
      <c r="I182" s="31"/>
      <c r="J182" s="31"/>
    </row>
    <row r="183" ht="15.75" customHeight="1">
      <c r="A183" s="31"/>
      <c r="B183" s="31"/>
      <c r="C183" s="31"/>
      <c r="D183" s="31"/>
      <c r="E183" s="31"/>
      <c r="F183" s="31"/>
      <c r="G183" s="31"/>
      <c r="H183" s="31"/>
      <c r="I183" s="31"/>
      <c r="J183" s="31"/>
    </row>
    <row r="184" ht="15.75" customHeight="1">
      <c r="A184" s="31"/>
      <c r="B184" s="31"/>
      <c r="C184" s="31"/>
      <c r="D184" s="31"/>
      <c r="E184" s="31"/>
      <c r="F184" s="31"/>
      <c r="G184" s="31"/>
      <c r="H184" s="31"/>
      <c r="I184" s="31"/>
      <c r="J184" s="31"/>
    </row>
    <row r="185" ht="15.75" customHeight="1">
      <c r="A185" s="31"/>
      <c r="B185" s="31"/>
      <c r="C185" s="31"/>
      <c r="D185" s="31"/>
      <c r="E185" s="31"/>
      <c r="F185" s="31"/>
      <c r="G185" s="31"/>
      <c r="H185" s="31"/>
      <c r="I185" s="31"/>
      <c r="J185" s="31"/>
    </row>
    <row r="186" ht="15.75" customHeight="1">
      <c r="A186" s="31"/>
      <c r="B186" s="31"/>
      <c r="C186" s="31"/>
      <c r="D186" s="31"/>
      <c r="E186" s="31"/>
      <c r="F186" s="31"/>
      <c r="G186" s="31"/>
      <c r="H186" s="31"/>
      <c r="I186" s="31"/>
      <c r="J186" s="31"/>
    </row>
    <row r="187" ht="15.75" customHeight="1">
      <c r="A187" s="31"/>
      <c r="B187" s="31"/>
      <c r="C187" s="31"/>
      <c r="D187" s="31"/>
      <c r="E187" s="31"/>
      <c r="F187" s="31"/>
      <c r="G187" s="31"/>
      <c r="H187" s="31"/>
      <c r="I187" s="31"/>
      <c r="J187" s="31"/>
    </row>
    <row r="188" ht="15.75" customHeight="1">
      <c r="A188" s="31"/>
      <c r="B188" s="31"/>
      <c r="C188" s="31"/>
      <c r="D188" s="31"/>
      <c r="E188" s="31"/>
      <c r="F188" s="31"/>
      <c r="G188" s="31"/>
      <c r="H188" s="31"/>
      <c r="I188" s="31"/>
      <c r="J188" s="31"/>
    </row>
    <row r="189" ht="15.75" customHeight="1">
      <c r="A189" s="31"/>
      <c r="B189" s="31"/>
      <c r="C189" s="31"/>
      <c r="D189" s="31"/>
      <c r="E189" s="31"/>
      <c r="F189" s="31"/>
      <c r="G189" s="31"/>
      <c r="H189" s="31"/>
      <c r="I189" s="31"/>
      <c r="J189" s="31"/>
    </row>
    <row r="190" ht="15.75" customHeight="1">
      <c r="A190" s="31"/>
      <c r="B190" s="31"/>
      <c r="C190" s="31"/>
      <c r="D190" s="31"/>
      <c r="E190" s="31"/>
      <c r="F190" s="31"/>
      <c r="G190" s="31"/>
      <c r="H190" s="31"/>
      <c r="I190" s="31"/>
      <c r="J190" s="31"/>
    </row>
    <row r="191" ht="15.75" customHeight="1">
      <c r="A191" s="31"/>
      <c r="B191" s="31"/>
      <c r="C191" s="31"/>
      <c r="D191" s="31"/>
      <c r="E191" s="31"/>
      <c r="F191" s="31"/>
      <c r="G191" s="31"/>
      <c r="H191" s="31"/>
      <c r="I191" s="31"/>
      <c r="J191" s="31"/>
    </row>
    <row r="192" ht="15.75" customHeight="1">
      <c r="A192" s="31"/>
      <c r="B192" s="31"/>
      <c r="C192" s="31"/>
      <c r="D192" s="31"/>
      <c r="E192" s="31"/>
      <c r="F192" s="31"/>
      <c r="G192" s="31"/>
      <c r="H192" s="31"/>
      <c r="I192" s="31"/>
      <c r="J192" s="31"/>
    </row>
    <row r="193" ht="15.75" customHeight="1">
      <c r="A193" s="31"/>
      <c r="B193" s="31"/>
      <c r="C193" s="31"/>
      <c r="D193" s="31"/>
      <c r="E193" s="31"/>
      <c r="F193" s="31"/>
      <c r="G193" s="31"/>
      <c r="H193" s="31"/>
      <c r="I193" s="31"/>
      <c r="J193" s="31"/>
    </row>
    <row r="194" ht="15.75" customHeight="1">
      <c r="A194" s="31"/>
      <c r="B194" s="31"/>
      <c r="C194" s="31"/>
      <c r="D194" s="31"/>
      <c r="E194" s="31"/>
      <c r="F194" s="31"/>
      <c r="G194" s="31"/>
      <c r="H194" s="31"/>
      <c r="I194" s="31"/>
      <c r="J194" s="31"/>
    </row>
    <row r="195" ht="15.75" customHeight="1">
      <c r="A195" s="31"/>
      <c r="B195" s="31"/>
      <c r="C195" s="31"/>
      <c r="D195" s="31"/>
      <c r="E195" s="31"/>
      <c r="F195" s="31"/>
      <c r="G195" s="31"/>
      <c r="H195" s="31"/>
      <c r="I195" s="31"/>
      <c r="J195" s="31"/>
    </row>
    <row r="196" ht="15.75" customHeight="1">
      <c r="A196" s="31"/>
      <c r="B196" s="31"/>
      <c r="C196" s="31"/>
      <c r="D196" s="31"/>
      <c r="E196" s="31"/>
      <c r="F196" s="31"/>
      <c r="G196" s="31"/>
      <c r="H196" s="31"/>
      <c r="I196" s="31"/>
      <c r="J196" s="31"/>
    </row>
    <row r="197" ht="15.75" customHeight="1">
      <c r="A197" s="31"/>
      <c r="B197" s="31"/>
      <c r="C197" s="31"/>
      <c r="D197" s="31"/>
      <c r="E197" s="31"/>
      <c r="F197" s="31"/>
      <c r="G197" s="31"/>
      <c r="H197" s="31"/>
      <c r="I197" s="31"/>
      <c r="J197" s="31"/>
    </row>
    <row r="198" ht="15.75" customHeight="1">
      <c r="A198" s="31"/>
      <c r="B198" s="31"/>
      <c r="C198" s="31"/>
      <c r="D198" s="31"/>
      <c r="E198" s="31"/>
      <c r="F198" s="31"/>
      <c r="G198" s="31"/>
      <c r="H198" s="31"/>
      <c r="I198" s="31"/>
      <c r="J198" s="31"/>
    </row>
    <row r="199" ht="15.75" customHeight="1">
      <c r="A199" s="31"/>
      <c r="B199" s="31"/>
      <c r="C199" s="31"/>
      <c r="D199" s="31"/>
      <c r="E199" s="31"/>
      <c r="F199" s="31"/>
      <c r="G199" s="31"/>
      <c r="H199" s="31"/>
      <c r="I199" s="31"/>
      <c r="J199" s="31"/>
    </row>
    <row r="200" ht="15.75" customHeight="1">
      <c r="A200" s="31"/>
      <c r="B200" s="31"/>
      <c r="C200" s="31"/>
      <c r="D200" s="31"/>
      <c r="E200" s="31"/>
      <c r="F200" s="31"/>
      <c r="G200" s="31"/>
      <c r="H200" s="31"/>
      <c r="I200" s="31"/>
      <c r="J200" s="31"/>
    </row>
    <row r="201" ht="15.75" customHeight="1">
      <c r="A201" s="31"/>
      <c r="B201" s="31"/>
      <c r="C201" s="31"/>
      <c r="D201" s="31"/>
      <c r="E201" s="31"/>
      <c r="F201" s="31"/>
      <c r="G201" s="31"/>
      <c r="H201" s="31"/>
      <c r="I201" s="31"/>
      <c r="J201" s="31"/>
    </row>
    <row r="202" ht="15.75" customHeight="1">
      <c r="A202" s="31"/>
      <c r="B202" s="31"/>
      <c r="C202" s="31"/>
      <c r="D202" s="31"/>
      <c r="E202" s="31"/>
      <c r="F202" s="31"/>
      <c r="G202" s="31"/>
      <c r="H202" s="31"/>
      <c r="I202" s="31"/>
      <c r="J202" s="31"/>
    </row>
    <row r="203" ht="15.75" customHeight="1">
      <c r="A203" s="31"/>
      <c r="B203" s="31"/>
      <c r="C203" s="31"/>
      <c r="D203" s="31"/>
      <c r="E203" s="31"/>
      <c r="F203" s="31"/>
      <c r="G203" s="31"/>
      <c r="H203" s="31"/>
      <c r="I203" s="31"/>
      <c r="J203" s="31"/>
    </row>
    <row r="204" ht="15.75" customHeight="1">
      <c r="A204" s="31"/>
      <c r="B204" s="31"/>
      <c r="C204" s="31"/>
      <c r="D204" s="31"/>
      <c r="E204" s="31"/>
      <c r="F204" s="31"/>
      <c r="G204" s="31"/>
      <c r="H204" s="31"/>
      <c r="I204" s="31"/>
      <c r="J204" s="31"/>
    </row>
    <row r="205" ht="15.75" customHeight="1">
      <c r="A205" s="31"/>
      <c r="B205" s="31"/>
      <c r="C205" s="31"/>
      <c r="D205" s="31"/>
      <c r="E205" s="31"/>
      <c r="F205" s="31"/>
      <c r="G205" s="31"/>
      <c r="H205" s="31"/>
      <c r="I205" s="31"/>
      <c r="J205" s="31"/>
    </row>
    <row r="206" ht="15.75" customHeight="1">
      <c r="A206" s="31"/>
      <c r="B206" s="31"/>
      <c r="C206" s="31"/>
      <c r="D206" s="31"/>
      <c r="E206" s="31"/>
      <c r="F206" s="31"/>
      <c r="G206" s="31"/>
      <c r="H206" s="31"/>
      <c r="I206" s="31"/>
      <c r="J206" s="31"/>
    </row>
    <row r="207" ht="15.75" customHeight="1">
      <c r="A207" s="31"/>
      <c r="B207" s="31"/>
      <c r="C207" s="31"/>
      <c r="D207" s="31"/>
      <c r="E207" s="31"/>
      <c r="F207" s="31"/>
      <c r="G207" s="31"/>
      <c r="H207" s="31"/>
      <c r="I207" s="31"/>
      <c r="J207" s="31"/>
    </row>
    <row r="208" ht="15.75" customHeight="1">
      <c r="A208" s="31"/>
      <c r="B208" s="31"/>
      <c r="C208" s="31"/>
      <c r="D208" s="31"/>
      <c r="E208" s="31"/>
      <c r="F208" s="31"/>
      <c r="G208" s="31"/>
      <c r="H208" s="31"/>
      <c r="I208" s="31"/>
      <c r="J208" s="31"/>
    </row>
    <row r="209" ht="15.75" customHeight="1">
      <c r="A209" s="31"/>
      <c r="B209" s="31"/>
      <c r="C209" s="31"/>
      <c r="D209" s="31"/>
      <c r="E209" s="31"/>
      <c r="F209" s="31"/>
      <c r="G209" s="31"/>
      <c r="H209" s="31"/>
      <c r="I209" s="31"/>
      <c r="J209" s="31"/>
    </row>
    <row r="210" ht="15.75" customHeight="1">
      <c r="A210" s="31"/>
      <c r="B210" s="31"/>
      <c r="C210" s="31"/>
      <c r="D210" s="31"/>
      <c r="E210" s="31"/>
      <c r="F210" s="31"/>
      <c r="G210" s="31"/>
      <c r="H210" s="31"/>
      <c r="I210" s="31"/>
      <c r="J210" s="31"/>
    </row>
    <row r="211" ht="15.75" customHeight="1">
      <c r="A211" s="31"/>
      <c r="B211" s="31"/>
      <c r="C211" s="31"/>
      <c r="D211" s="31"/>
      <c r="E211" s="31"/>
      <c r="F211" s="31"/>
      <c r="G211" s="31"/>
      <c r="H211" s="31"/>
      <c r="I211" s="31"/>
      <c r="J211" s="31"/>
    </row>
    <row r="212" ht="15.75" customHeight="1">
      <c r="A212" s="31"/>
      <c r="B212" s="31"/>
      <c r="C212" s="31"/>
      <c r="D212" s="31"/>
      <c r="E212" s="31"/>
      <c r="F212" s="31"/>
      <c r="G212" s="31"/>
      <c r="H212" s="31"/>
      <c r="I212" s="31"/>
      <c r="J212" s="31"/>
    </row>
    <row r="213" ht="15.75" customHeight="1">
      <c r="A213" s="31"/>
      <c r="B213" s="31"/>
      <c r="C213" s="31"/>
      <c r="D213" s="31"/>
      <c r="E213" s="31"/>
      <c r="F213" s="31"/>
      <c r="G213" s="31"/>
      <c r="H213" s="31"/>
      <c r="I213" s="31"/>
      <c r="J213" s="31"/>
    </row>
    <row r="214" ht="15.75" customHeight="1">
      <c r="A214" s="31"/>
      <c r="B214" s="31"/>
      <c r="C214" s="31"/>
      <c r="D214" s="31"/>
      <c r="E214" s="31"/>
      <c r="F214" s="31"/>
      <c r="G214" s="31"/>
      <c r="H214" s="31"/>
      <c r="I214" s="31"/>
      <c r="J214" s="31"/>
    </row>
    <row r="215" ht="15.75" customHeight="1">
      <c r="A215" s="31"/>
      <c r="B215" s="31"/>
      <c r="C215" s="31"/>
      <c r="D215" s="31"/>
      <c r="E215" s="31"/>
      <c r="F215" s="31"/>
      <c r="G215" s="31"/>
      <c r="H215" s="31"/>
      <c r="I215" s="31"/>
      <c r="J215" s="31"/>
    </row>
    <row r="216" ht="15.75" customHeight="1">
      <c r="A216" s="31"/>
      <c r="B216" s="31"/>
      <c r="C216" s="31"/>
      <c r="D216" s="31"/>
      <c r="E216" s="31"/>
      <c r="F216" s="31"/>
      <c r="G216" s="31"/>
      <c r="H216" s="31"/>
      <c r="I216" s="31"/>
      <c r="J216" s="31"/>
    </row>
    <row r="217" ht="15.75" customHeight="1">
      <c r="A217" s="31"/>
      <c r="B217" s="31"/>
      <c r="C217" s="31"/>
      <c r="D217" s="31"/>
      <c r="E217" s="31"/>
      <c r="F217" s="31"/>
      <c r="G217" s="31"/>
      <c r="H217" s="31"/>
      <c r="I217" s="31"/>
      <c r="J217" s="31"/>
    </row>
    <row r="218" ht="15.75" customHeight="1">
      <c r="A218" s="31"/>
      <c r="B218" s="31"/>
      <c r="C218" s="31"/>
      <c r="D218" s="31"/>
      <c r="E218" s="31"/>
      <c r="F218" s="31"/>
      <c r="G218" s="31"/>
      <c r="H218" s="31"/>
      <c r="I218" s="31"/>
      <c r="J218" s="31"/>
    </row>
    <row r="219" ht="15.75" customHeight="1">
      <c r="A219" s="31"/>
      <c r="B219" s="31"/>
      <c r="C219" s="31"/>
      <c r="D219" s="31"/>
      <c r="E219" s="31"/>
      <c r="F219" s="31"/>
      <c r="G219" s="31"/>
      <c r="H219" s="31"/>
      <c r="I219" s="31"/>
      <c r="J219" s="31"/>
    </row>
    <row r="220" ht="15.75" customHeight="1">
      <c r="A220" s="31"/>
      <c r="B220" s="31"/>
      <c r="C220" s="31"/>
      <c r="D220" s="31"/>
      <c r="E220" s="31"/>
      <c r="F220" s="31"/>
      <c r="G220" s="31"/>
      <c r="H220" s="31"/>
      <c r="I220" s="31"/>
      <c r="J220" s="3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autoFilter ref="$A$1:$J$17"/>
  <conditionalFormatting sqref="G2:G17">
    <cfRule type="cellIs" dxfId="0" priority="1" operator="equal">
      <formula>"Pass"</formula>
    </cfRule>
  </conditionalFormatting>
  <conditionalFormatting sqref="G2:G17">
    <cfRule type="cellIs" dxfId="1" priority="2" operator="equal">
      <formula>"Fail"</formula>
    </cfRule>
  </conditionalFormatting>
  <conditionalFormatting sqref="G2:G17">
    <cfRule type="cellIs" dxfId="2" priority="3" operator="equal">
      <formula>"Blocked"</formula>
    </cfRule>
  </conditionalFormatting>
  <conditionalFormatting sqref="G2:G17">
    <cfRule type="cellIs" dxfId="3" priority="4" operator="equal">
      <formula>"Retest"</formula>
    </cfRule>
  </conditionalFormatting>
  <conditionalFormatting sqref="G2:G17">
    <cfRule type="cellIs" dxfId="4" priority="5" operator="equal">
      <formula>"Not Run"</formula>
    </cfRule>
  </conditionalFormatting>
  <dataValidations>
    <dataValidation type="list" allowBlank="1" showErrorMessage="1" sqref="G2:G400">
      <formula1>"Pass,Fail,Blocked,Not Run,Retest"</formula1>
    </dataValidation>
  </dataValidations>
  <hyperlinks>
    <hyperlink r:id="rId1" location="gid=0&amp;range=A2:J2" ref="I2"/>
    <hyperlink r:id="rId2" location="gid=0&amp;range=A3:J3" ref="I3"/>
    <hyperlink r:id="rId3" location="gid=0&amp;range=A4:J4" ref="I4"/>
    <hyperlink r:id="rId4" location="gid=0&amp;range=A5:J5" ref="I5"/>
    <hyperlink r:id="rId5" location="gid=0&amp;range=A6:J6" ref="I6"/>
    <hyperlink r:id="rId6" location="gid=0&amp;range=A7:J7" ref="I7"/>
    <hyperlink r:id="rId7" location="gid=0&amp;range=A8:J8" ref="I8"/>
    <hyperlink r:id="rId8" location="gid=0&amp;range=A9:J9" ref="I9"/>
    <hyperlink r:id="rId9" location="gid=0&amp;range=A10:J10" ref="I10"/>
    <hyperlink r:id="rId10" location="gid=0&amp;range=A11:J11" ref="I11"/>
    <hyperlink r:id="rId11" location="gid=0&amp;range=A12:J12" ref="I12"/>
    <hyperlink r:id="rId12" location="gid=0&amp;range=A13:J13" ref="I13"/>
    <hyperlink r:id="rId13" location="gid=0&amp;range=A14:J14" ref="I14"/>
    <hyperlink r:id="rId14" location="gid=0&amp;range=A15:J15" ref="I15"/>
    <hyperlink r:id="rId15" location="gid=0&amp;range=A16:J16" ref="I16"/>
    <hyperlink r:id="rId16" location="gid=0&amp;range=A17:J17" ref="I17"/>
  </hyperlinks>
  <printOptions/>
  <pageMargins bottom="1.0" footer="0.0" header="0.0" left="0.75" right="0.75" top="1.0"/>
  <pageSetup orientation="landscape"/>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3.86"/>
    <col customWidth="1" min="2" max="2" width="38.86"/>
    <col customWidth="1" min="3" max="3" width="33.86"/>
    <col customWidth="1" min="4" max="4" width="13.86"/>
    <col customWidth="1" min="5" max="5" width="15.14"/>
    <col customWidth="1" min="6" max="6" width="32.57"/>
    <col customWidth="1" min="7" max="7" width="18.86"/>
    <col customWidth="1" min="8" max="8" width="23.86"/>
    <col customWidth="1" min="9" max="26" width="12.57"/>
  </cols>
  <sheetData>
    <row r="1" ht="25.5" customHeight="1">
      <c r="A1" s="5" t="s">
        <v>1312</v>
      </c>
      <c r="B1" s="7"/>
      <c r="C1" s="9"/>
      <c r="D1" s="17"/>
      <c r="E1" s="17"/>
      <c r="F1" s="17"/>
      <c r="G1" s="17"/>
      <c r="H1" s="17"/>
    </row>
    <row r="2" ht="15.0" customHeight="1">
      <c r="A2" s="55" t="s">
        <v>1313</v>
      </c>
      <c r="B2" s="7"/>
      <c r="C2" s="9"/>
      <c r="D2" s="17"/>
      <c r="E2" s="17"/>
      <c r="F2" s="17"/>
      <c r="G2" s="17"/>
      <c r="H2" s="17"/>
    </row>
    <row r="3" ht="15.0" customHeight="1">
      <c r="A3" s="18" t="s">
        <v>1314</v>
      </c>
      <c r="B3" s="18" t="s">
        <v>1315</v>
      </c>
      <c r="C3" s="18" t="s">
        <v>1316</v>
      </c>
      <c r="D3" s="17"/>
      <c r="E3" s="17"/>
      <c r="F3" s="17"/>
      <c r="G3" s="17"/>
      <c r="H3" s="17"/>
    </row>
    <row r="4" ht="45.75" customHeight="1">
      <c r="A4" s="17" t="s">
        <v>1317</v>
      </c>
      <c r="B4" s="17" t="s">
        <v>1318</v>
      </c>
      <c r="C4" s="17"/>
      <c r="D4" s="17"/>
      <c r="E4" s="17"/>
      <c r="F4" s="17"/>
      <c r="G4" s="17"/>
      <c r="H4" s="17"/>
    </row>
    <row r="5" ht="15.0" customHeight="1">
      <c r="A5" s="17" t="s">
        <v>1319</v>
      </c>
      <c r="B5" s="17" t="s">
        <v>1320</v>
      </c>
      <c r="C5" s="17"/>
      <c r="D5" s="17"/>
      <c r="E5" s="17"/>
      <c r="F5" s="17"/>
      <c r="G5" s="17"/>
      <c r="H5" s="17"/>
    </row>
    <row r="6" ht="15.0" customHeight="1">
      <c r="A6" s="17" t="s">
        <v>1321</v>
      </c>
      <c r="B6" s="17" t="s">
        <v>1322</v>
      </c>
      <c r="C6" s="17"/>
      <c r="D6" s="17"/>
      <c r="E6" s="17"/>
      <c r="F6" s="17"/>
      <c r="G6" s="17"/>
      <c r="H6" s="17"/>
    </row>
    <row r="7" ht="23.25" customHeight="1">
      <c r="A7" s="17" t="s">
        <v>1323</v>
      </c>
      <c r="B7" s="17" t="s">
        <v>1324</v>
      </c>
      <c r="C7" s="17" t="s">
        <v>1325</v>
      </c>
      <c r="D7" s="17"/>
      <c r="E7" s="17"/>
      <c r="F7" s="17"/>
      <c r="G7" s="17"/>
      <c r="H7" s="17"/>
    </row>
    <row r="8" ht="57.0" customHeight="1">
      <c r="A8" s="17" t="s">
        <v>1326</v>
      </c>
      <c r="B8" s="17" t="s">
        <v>1327</v>
      </c>
      <c r="C8" s="17" t="s">
        <v>1328</v>
      </c>
      <c r="D8" s="17"/>
      <c r="E8" s="17"/>
      <c r="F8" s="17"/>
      <c r="G8" s="17"/>
      <c r="H8" s="17"/>
    </row>
    <row r="9" ht="15.0" customHeight="1">
      <c r="A9" s="17" t="s">
        <v>1329</v>
      </c>
      <c r="B9" s="17" t="s">
        <v>1330</v>
      </c>
      <c r="C9" s="17" t="s">
        <v>1331</v>
      </c>
      <c r="D9" s="17"/>
      <c r="E9" s="17"/>
      <c r="F9" s="17"/>
      <c r="G9" s="17"/>
      <c r="H9" s="17"/>
    </row>
    <row r="10" ht="34.5" customHeight="1">
      <c r="A10" s="17" t="s">
        <v>1332</v>
      </c>
      <c r="B10" s="17" t="s">
        <v>1333</v>
      </c>
      <c r="C10" s="17"/>
      <c r="D10" s="17"/>
      <c r="E10" s="17"/>
      <c r="F10" s="17"/>
      <c r="G10" s="17"/>
      <c r="H10" s="17"/>
    </row>
    <row r="11" ht="23.25" customHeight="1">
      <c r="A11" s="17" t="s">
        <v>1334</v>
      </c>
      <c r="B11" s="56" t="str">
        <f>HYPERLINK("https://docs.google.com/document/d/1d2nSnoi95E_QJikl9Hp93zW18MHXJaUi3lDJlhqWKWQ/edit","Open UAT Acceptance and Sign-Off Record")</f>
        <v>Open UAT Acceptance and Sign-Off Record</v>
      </c>
      <c r="C11" s="17" t="s">
        <v>1335</v>
      </c>
      <c r="D11" s="17"/>
      <c r="E11" s="17"/>
      <c r="F11" s="17"/>
      <c r="G11" s="17"/>
      <c r="H11" s="17"/>
    </row>
    <row r="12" ht="15.0" customHeight="1">
      <c r="A12" s="17" t="s">
        <v>1336</v>
      </c>
      <c r="B12" s="17" t="s">
        <v>1337</v>
      </c>
      <c r="C12" s="17"/>
      <c r="D12" s="17"/>
      <c r="E12" s="17"/>
      <c r="F12" s="17"/>
      <c r="G12" s="17"/>
      <c r="H12" s="17"/>
    </row>
    <row r="13" ht="48.0" customHeight="1">
      <c r="A13" s="57" t="s">
        <v>1338</v>
      </c>
      <c r="B13" s="58" t="s">
        <v>1339</v>
      </c>
      <c r="C13" s="57" t="s">
        <v>1340</v>
      </c>
      <c r="D13" s="17"/>
      <c r="E13" s="17"/>
      <c r="F13" s="17"/>
      <c r="G13" s="17"/>
      <c r="H13" s="17"/>
    </row>
    <row r="14" ht="31.5" customHeight="1">
      <c r="A14" s="18" t="s">
        <v>1341</v>
      </c>
      <c r="B14" s="18" t="s">
        <v>1342</v>
      </c>
      <c r="C14" s="18" t="s">
        <v>1343</v>
      </c>
      <c r="D14" s="18" t="s">
        <v>1344</v>
      </c>
      <c r="E14" s="18" t="s">
        <v>1345</v>
      </c>
      <c r="F14" s="18" t="s">
        <v>79</v>
      </c>
      <c r="G14" s="59" t="s">
        <v>1346</v>
      </c>
      <c r="H14" s="59" t="s">
        <v>1347</v>
      </c>
    </row>
    <row r="15" ht="15.0" customHeight="1">
      <c r="A15" s="57" t="s">
        <v>1348</v>
      </c>
      <c r="B15" s="57" t="s">
        <v>1349</v>
      </c>
      <c r="C15" s="57" t="s">
        <v>1350</v>
      </c>
      <c r="D15" s="60" t="s">
        <v>1351</v>
      </c>
      <c r="E15" s="61">
        <v>5.0</v>
      </c>
      <c r="F15" s="57" t="s">
        <v>1352</v>
      </c>
      <c r="G15" s="21" t="s">
        <v>1353</v>
      </c>
      <c r="H15" s="21" t="s">
        <v>1354</v>
      </c>
    </row>
    <row r="16" ht="15.0" customHeight="1">
      <c r="A16" s="17" t="s">
        <v>1355</v>
      </c>
      <c r="B16" s="17" t="s">
        <v>1349</v>
      </c>
      <c r="C16" s="17" t="s">
        <v>1350</v>
      </c>
      <c r="D16" s="62" t="s">
        <v>1351</v>
      </c>
      <c r="E16" s="63">
        <v>5.0</v>
      </c>
      <c r="F16" s="17" t="s">
        <v>1356</v>
      </c>
      <c r="G16" s="21" t="s">
        <v>1357</v>
      </c>
      <c r="H16" s="21" t="s">
        <v>1354</v>
      </c>
    </row>
    <row r="17" ht="15.0" customHeight="1">
      <c r="A17" s="57" t="s">
        <v>1358</v>
      </c>
      <c r="B17" s="57" t="s">
        <v>1349</v>
      </c>
      <c r="C17" s="17" t="s">
        <v>1350</v>
      </c>
      <c r="D17" s="60" t="s">
        <v>1359</v>
      </c>
      <c r="E17" s="61">
        <v>5.0</v>
      </c>
      <c r="F17" s="57" t="s">
        <v>1360</v>
      </c>
      <c r="G17" s="21" t="s">
        <v>1361</v>
      </c>
      <c r="H17" s="21" t="s">
        <v>1354</v>
      </c>
    </row>
    <row r="18" ht="15.0" customHeight="1">
      <c r="A18" s="57" t="s">
        <v>1362</v>
      </c>
      <c r="B18" s="57" t="s">
        <v>1363</v>
      </c>
      <c r="C18" s="17" t="s">
        <v>1350</v>
      </c>
      <c r="D18" s="60" t="s">
        <v>1359</v>
      </c>
      <c r="E18" s="61">
        <v>5.0</v>
      </c>
      <c r="F18" s="57" t="s">
        <v>1364</v>
      </c>
      <c r="G18" s="21" t="s">
        <v>1365</v>
      </c>
      <c r="H18" s="21" t="s">
        <v>1366</v>
      </c>
    </row>
    <row r="19" ht="15.0" customHeight="1">
      <c r="A19" s="17"/>
      <c r="B19" s="17"/>
      <c r="C19" s="17"/>
      <c r="D19" s="17"/>
      <c r="E19" s="17"/>
      <c r="F19" s="17"/>
      <c r="G19" s="17"/>
      <c r="H19" s="17"/>
    </row>
    <row r="20" ht="31.5" customHeight="1">
      <c r="A20" s="18" t="s">
        <v>1367</v>
      </c>
      <c r="B20" s="18" t="s">
        <v>1368</v>
      </c>
      <c r="C20" s="18" t="s">
        <v>1369</v>
      </c>
      <c r="D20" s="18" t="s">
        <v>1370</v>
      </c>
      <c r="E20" s="17"/>
      <c r="F20" s="17"/>
      <c r="G20" s="17"/>
      <c r="H20" s="17"/>
    </row>
    <row r="21" ht="34.5" customHeight="1">
      <c r="A21" s="57" t="s">
        <v>1371</v>
      </c>
      <c r="B21" s="57" t="s">
        <v>1372</v>
      </c>
      <c r="C21" s="57" t="s">
        <v>1373</v>
      </c>
      <c r="D21" s="57" t="s">
        <v>1374</v>
      </c>
      <c r="E21" s="17"/>
      <c r="F21" s="17"/>
      <c r="G21" s="17"/>
      <c r="H21" s="17"/>
    </row>
    <row r="22" ht="57.0" customHeight="1">
      <c r="A22" s="17" t="s">
        <v>1375</v>
      </c>
      <c r="B22" s="17" t="s">
        <v>1372</v>
      </c>
      <c r="C22" s="57" t="s">
        <v>1373</v>
      </c>
      <c r="D22" s="17" t="s">
        <v>1376</v>
      </c>
      <c r="E22" s="17"/>
      <c r="F22" s="17"/>
      <c r="G22" s="17"/>
      <c r="H22" s="17"/>
    </row>
    <row r="23" ht="34.5" customHeight="1">
      <c r="A23" s="57" t="s">
        <v>1377</v>
      </c>
      <c r="B23" s="57" t="s">
        <v>1372</v>
      </c>
      <c r="C23" s="57" t="s">
        <v>1373</v>
      </c>
      <c r="D23" s="57" t="s">
        <v>1378</v>
      </c>
      <c r="E23" s="17"/>
      <c r="F23" s="17"/>
      <c r="G23" s="17"/>
      <c r="H23" s="17"/>
    </row>
    <row r="24" ht="236.25" customHeight="1">
      <c r="A24" s="64" t="s">
        <v>1379</v>
      </c>
      <c r="B24" s="17" t="s">
        <v>1372</v>
      </c>
      <c r="C24" s="17" t="s">
        <v>1373</v>
      </c>
      <c r="D24" s="64" t="s">
        <v>1380</v>
      </c>
      <c r="E24" s="17"/>
      <c r="F24" s="17"/>
      <c r="G24" s="17"/>
      <c r="H24" s="17"/>
    </row>
    <row r="25" ht="292.5" customHeight="1">
      <c r="A25" s="65" t="s">
        <v>1381</v>
      </c>
      <c r="B25" s="65" t="s">
        <v>1382</v>
      </c>
      <c r="C25" s="65" t="s">
        <v>1373</v>
      </c>
      <c r="D25" s="65" t="s">
        <v>1383</v>
      </c>
      <c r="E25" s="17"/>
      <c r="F25" s="17"/>
      <c r="G25" s="17"/>
      <c r="H25" s="17"/>
    </row>
    <row r="26" ht="57.0" customHeight="1">
      <c r="A26" s="66" t="s">
        <v>1384</v>
      </c>
      <c r="B26" s="66" t="s">
        <v>1385</v>
      </c>
      <c r="C26" s="66" t="s">
        <v>1373</v>
      </c>
      <c r="D26" s="66" t="s">
        <v>1386</v>
      </c>
      <c r="E26" s="17"/>
      <c r="F26" s="17"/>
      <c r="G26" s="17"/>
      <c r="H26" s="17"/>
    </row>
    <row r="27" ht="34.5" customHeight="1">
      <c r="A27" s="57" t="s">
        <v>1387</v>
      </c>
      <c r="B27" s="57" t="s">
        <v>1372</v>
      </c>
      <c r="C27" s="57" t="s">
        <v>1373</v>
      </c>
      <c r="D27" s="57" t="s">
        <v>1388</v>
      </c>
      <c r="E27" s="17"/>
      <c r="F27" s="17"/>
      <c r="G27" s="17"/>
      <c r="H27" s="17"/>
    </row>
    <row r="28" ht="45.75" customHeight="1">
      <c r="A28" s="17" t="s">
        <v>1389</v>
      </c>
      <c r="B28" s="17" t="s">
        <v>1372</v>
      </c>
      <c r="C28" s="17" t="s">
        <v>1373</v>
      </c>
      <c r="D28" s="17" t="s">
        <v>1390</v>
      </c>
      <c r="E28" s="17"/>
      <c r="F28" s="17"/>
      <c r="G28" s="17"/>
      <c r="H28" s="17"/>
    </row>
    <row r="29" ht="34.5" customHeight="1">
      <c r="A29" s="57" t="s">
        <v>1391</v>
      </c>
      <c r="B29" s="57" t="s">
        <v>1392</v>
      </c>
      <c r="C29" s="57" t="s">
        <v>1373</v>
      </c>
      <c r="D29" s="57" t="s">
        <v>1393</v>
      </c>
      <c r="E29" s="17"/>
      <c r="F29" s="17"/>
      <c r="G29" s="17"/>
      <c r="H29" s="17"/>
    </row>
    <row r="30" ht="15.0" customHeight="1">
      <c r="A30" s="17"/>
      <c r="B30" s="17"/>
      <c r="C30" s="17"/>
      <c r="D30" s="17"/>
      <c r="E30" s="17"/>
      <c r="F30" s="17"/>
      <c r="G30" s="17"/>
      <c r="H30" s="17"/>
    </row>
    <row r="31" ht="15.75" customHeight="1">
      <c r="A31" s="31"/>
      <c r="B31" s="31"/>
      <c r="C31" s="31"/>
      <c r="D31" s="31"/>
      <c r="E31" s="31"/>
      <c r="F31" s="31"/>
      <c r="G31" s="31"/>
      <c r="H31" s="31"/>
    </row>
    <row r="32" ht="15.75" customHeight="1">
      <c r="A32" s="31"/>
      <c r="B32" s="31"/>
      <c r="C32" s="31"/>
      <c r="D32" s="31"/>
      <c r="E32" s="31"/>
      <c r="F32" s="31"/>
      <c r="G32" s="31"/>
      <c r="H32" s="31"/>
    </row>
    <row r="33" ht="15.75" customHeight="1">
      <c r="A33" s="31"/>
      <c r="B33" s="31"/>
      <c r="C33" s="31"/>
      <c r="D33" s="31"/>
      <c r="E33" s="31"/>
      <c r="F33" s="31"/>
      <c r="G33" s="31"/>
      <c r="H33" s="31"/>
    </row>
    <row r="34" ht="15.75" customHeight="1">
      <c r="A34" s="31"/>
      <c r="B34" s="31"/>
      <c r="C34" s="31"/>
      <c r="D34" s="31"/>
      <c r="E34" s="31"/>
      <c r="F34" s="31"/>
      <c r="G34" s="31"/>
      <c r="H34" s="31"/>
    </row>
    <row r="35" ht="15.75" customHeight="1">
      <c r="A35" s="31"/>
      <c r="B35" s="31"/>
      <c r="C35" s="31"/>
      <c r="D35" s="31"/>
      <c r="E35" s="31"/>
      <c r="F35" s="31"/>
      <c r="G35" s="31"/>
      <c r="H35" s="31"/>
    </row>
    <row r="36" ht="15.75" customHeight="1">
      <c r="A36" s="31"/>
      <c r="B36" s="31"/>
      <c r="C36" s="31"/>
      <c r="D36" s="31"/>
      <c r="E36" s="31"/>
      <c r="F36" s="31"/>
      <c r="G36" s="31"/>
      <c r="H36" s="31"/>
    </row>
    <row r="37" ht="15.75" customHeight="1">
      <c r="A37" s="31"/>
      <c r="B37" s="31"/>
      <c r="C37" s="31"/>
      <c r="D37" s="31"/>
      <c r="E37" s="31"/>
      <c r="F37" s="31"/>
      <c r="G37" s="31"/>
      <c r="H37" s="31"/>
    </row>
    <row r="38" ht="15.75" customHeight="1">
      <c r="A38" s="31"/>
      <c r="B38" s="31"/>
      <c r="C38" s="31"/>
      <c r="D38" s="31"/>
      <c r="E38" s="31"/>
      <c r="F38" s="31"/>
      <c r="G38" s="31"/>
      <c r="H38" s="31"/>
    </row>
    <row r="39" ht="15.75" customHeight="1">
      <c r="A39" s="31"/>
      <c r="B39" s="31"/>
      <c r="C39" s="31"/>
      <c r="D39" s="31"/>
      <c r="E39" s="31"/>
      <c r="F39" s="31"/>
      <c r="G39" s="31"/>
      <c r="H39" s="31"/>
    </row>
    <row r="40" ht="15.75" customHeight="1">
      <c r="A40" s="31"/>
      <c r="B40" s="31"/>
      <c r="C40" s="31"/>
      <c r="D40" s="31"/>
      <c r="E40" s="31"/>
      <c r="F40" s="31"/>
      <c r="G40" s="31"/>
      <c r="H40" s="31"/>
    </row>
    <row r="41" ht="15.75" customHeight="1">
      <c r="A41" s="31"/>
      <c r="B41" s="31"/>
      <c r="C41" s="31"/>
      <c r="D41" s="31"/>
      <c r="E41" s="31"/>
      <c r="F41" s="31"/>
      <c r="G41" s="31"/>
      <c r="H41" s="31"/>
    </row>
    <row r="42" ht="15.75" customHeight="1">
      <c r="A42" s="31"/>
      <c r="B42" s="31"/>
      <c r="C42" s="31"/>
      <c r="D42" s="31"/>
      <c r="E42" s="31"/>
      <c r="F42" s="31"/>
      <c r="G42" s="31"/>
      <c r="H42" s="31"/>
    </row>
    <row r="43" ht="15.75" customHeight="1">
      <c r="A43" s="31"/>
      <c r="B43" s="31"/>
      <c r="C43" s="31"/>
      <c r="D43" s="31"/>
      <c r="E43" s="31"/>
      <c r="F43" s="31"/>
      <c r="G43" s="31"/>
      <c r="H43" s="31"/>
    </row>
    <row r="44" ht="15.75" customHeight="1">
      <c r="A44" s="31"/>
      <c r="B44" s="31"/>
      <c r="C44" s="31"/>
      <c r="D44" s="31"/>
      <c r="E44" s="31"/>
      <c r="F44" s="31"/>
      <c r="G44" s="31"/>
      <c r="H44" s="31"/>
    </row>
    <row r="45" ht="15.75" customHeight="1">
      <c r="A45" s="31"/>
      <c r="B45" s="31"/>
      <c r="C45" s="31"/>
      <c r="D45" s="31"/>
      <c r="E45" s="31"/>
      <c r="F45" s="31"/>
      <c r="G45" s="31"/>
      <c r="H45" s="31"/>
    </row>
    <row r="46" ht="15.75" customHeight="1">
      <c r="A46" s="31"/>
      <c r="B46" s="31"/>
      <c r="C46" s="31"/>
      <c r="D46" s="31"/>
      <c r="E46" s="31"/>
      <c r="F46" s="31"/>
      <c r="G46" s="31"/>
      <c r="H46" s="31"/>
    </row>
    <row r="47" ht="15.75" customHeight="1">
      <c r="A47" s="31"/>
      <c r="B47" s="31"/>
      <c r="C47" s="31"/>
      <c r="D47" s="31"/>
      <c r="E47" s="31"/>
      <c r="F47" s="31"/>
      <c r="G47" s="31"/>
      <c r="H47" s="31"/>
    </row>
    <row r="48" ht="15.75" customHeight="1">
      <c r="A48" s="31"/>
      <c r="B48" s="31"/>
      <c r="C48" s="31"/>
      <c r="D48" s="31"/>
      <c r="E48" s="31"/>
      <c r="F48" s="31"/>
      <c r="G48" s="31"/>
      <c r="H48" s="31"/>
    </row>
    <row r="49" ht="15.75" customHeight="1">
      <c r="A49" s="31"/>
      <c r="B49" s="31"/>
      <c r="C49" s="31"/>
      <c r="D49" s="31"/>
      <c r="E49" s="31"/>
      <c r="F49" s="31"/>
      <c r="G49" s="31"/>
      <c r="H49" s="31"/>
    </row>
    <row r="50" ht="15.75" customHeight="1">
      <c r="A50" s="31"/>
      <c r="B50" s="31"/>
      <c r="C50" s="31"/>
      <c r="D50" s="31"/>
      <c r="E50" s="31"/>
      <c r="F50" s="31"/>
      <c r="G50" s="31"/>
      <c r="H50" s="31"/>
    </row>
    <row r="51" ht="15.75" customHeight="1">
      <c r="A51" s="31"/>
      <c r="B51" s="31"/>
      <c r="C51" s="31"/>
      <c r="D51" s="31"/>
      <c r="E51" s="31"/>
      <c r="F51" s="31"/>
      <c r="G51" s="31"/>
      <c r="H51" s="31"/>
    </row>
    <row r="52" ht="15.75" customHeight="1">
      <c r="A52" s="31"/>
      <c r="B52" s="31"/>
      <c r="C52" s="31"/>
      <c r="D52" s="31"/>
      <c r="E52" s="31"/>
      <c r="F52" s="31"/>
      <c r="G52" s="31"/>
      <c r="H52" s="31"/>
    </row>
    <row r="53" ht="15.75" customHeight="1">
      <c r="A53" s="31"/>
      <c r="B53" s="31"/>
      <c r="C53" s="31"/>
      <c r="D53" s="31"/>
      <c r="E53" s="31"/>
      <c r="F53" s="31"/>
      <c r="G53" s="31"/>
      <c r="H53" s="31"/>
    </row>
    <row r="54" ht="15.75" customHeight="1">
      <c r="A54" s="31"/>
      <c r="B54" s="31"/>
      <c r="C54" s="31"/>
      <c r="D54" s="31"/>
      <c r="E54" s="31"/>
      <c r="F54" s="31"/>
      <c r="G54" s="31"/>
      <c r="H54" s="31"/>
    </row>
    <row r="55" ht="15.75" customHeight="1">
      <c r="A55" s="31"/>
      <c r="B55" s="31"/>
      <c r="C55" s="31"/>
      <c r="D55" s="31"/>
      <c r="E55" s="31"/>
      <c r="F55" s="31"/>
      <c r="G55" s="31"/>
      <c r="H55" s="31"/>
    </row>
    <row r="56" ht="15.75" customHeight="1">
      <c r="A56" s="31"/>
      <c r="B56" s="31"/>
      <c r="C56" s="31"/>
      <c r="D56" s="31"/>
      <c r="E56" s="31"/>
      <c r="F56" s="31"/>
      <c r="G56" s="31"/>
      <c r="H56" s="31"/>
    </row>
    <row r="57" ht="15.75" customHeight="1">
      <c r="A57" s="31"/>
      <c r="B57" s="31"/>
      <c r="C57" s="31"/>
      <c r="D57" s="31"/>
      <c r="E57" s="31"/>
      <c r="F57" s="31"/>
      <c r="G57" s="31"/>
      <c r="H57" s="31"/>
    </row>
    <row r="58" ht="15.75" customHeight="1">
      <c r="A58" s="31"/>
      <c r="B58" s="31"/>
      <c r="C58" s="31"/>
      <c r="D58" s="31"/>
      <c r="E58" s="31"/>
      <c r="F58" s="31"/>
      <c r="G58" s="31"/>
      <c r="H58" s="31"/>
    </row>
    <row r="59" ht="15.75" customHeight="1">
      <c r="A59" s="31"/>
      <c r="B59" s="31"/>
      <c r="C59" s="31"/>
      <c r="D59" s="31"/>
      <c r="E59" s="31"/>
      <c r="F59" s="31"/>
      <c r="G59" s="31"/>
      <c r="H59" s="31"/>
    </row>
    <row r="60" ht="15.75" customHeight="1">
      <c r="A60" s="31"/>
      <c r="B60" s="31"/>
      <c r="C60" s="31"/>
      <c r="D60" s="31"/>
      <c r="E60" s="31"/>
      <c r="F60" s="31"/>
      <c r="G60" s="31"/>
      <c r="H60" s="31"/>
    </row>
    <row r="61" ht="15.75" customHeight="1">
      <c r="A61" s="31"/>
      <c r="B61" s="31"/>
      <c r="C61" s="31"/>
      <c r="D61" s="31"/>
      <c r="E61" s="31"/>
      <c r="F61" s="31"/>
      <c r="G61" s="31"/>
      <c r="H61" s="31"/>
    </row>
    <row r="62" ht="15.75" customHeight="1">
      <c r="A62" s="31"/>
      <c r="B62" s="31"/>
      <c r="C62" s="31"/>
      <c r="D62" s="31"/>
      <c r="E62" s="31"/>
      <c r="F62" s="31"/>
      <c r="G62" s="31"/>
      <c r="H62" s="31"/>
    </row>
    <row r="63" ht="15.75" customHeight="1">
      <c r="A63" s="31"/>
      <c r="B63" s="31"/>
      <c r="C63" s="31"/>
      <c r="D63" s="31"/>
      <c r="E63" s="31"/>
      <c r="F63" s="31"/>
      <c r="G63" s="31"/>
      <c r="H63" s="31"/>
    </row>
    <row r="64" ht="15.75" customHeight="1">
      <c r="A64" s="31"/>
      <c r="B64" s="31"/>
      <c r="C64" s="31"/>
      <c r="D64" s="31"/>
      <c r="E64" s="31"/>
      <c r="F64" s="31"/>
      <c r="G64" s="31"/>
      <c r="H64" s="31"/>
    </row>
    <row r="65" ht="15.75" customHeight="1">
      <c r="A65" s="31"/>
      <c r="B65" s="31"/>
      <c r="C65" s="31"/>
      <c r="D65" s="31"/>
      <c r="E65" s="31"/>
      <c r="F65" s="31"/>
      <c r="G65" s="31"/>
      <c r="H65" s="31"/>
    </row>
    <row r="66" ht="15.75" customHeight="1">
      <c r="A66" s="31"/>
      <c r="B66" s="31"/>
      <c r="C66" s="31"/>
      <c r="D66" s="31"/>
      <c r="E66" s="31"/>
      <c r="F66" s="31"/>
      <c r="G66" s="31"/>
      <c r="H66" s="31"/>
    </row>
    <row r="67" ht="15.75" customHeight="1">
      <c r="A67" s="31"/>
      <c r="B67" s="31"/>
      <c r="C67" s="31"/>
      <c r="D67" s="31"/>
      <c r="E67" s="31"/>
      <c r="F67" s="31"/>
      <c r="G67" s="31"/>
      <c r="H67" s="31"/>
    </row>
    <row r="68" ht="15.75" customHeight="1">
      <c r="A68" s="31"/>
      <c r="B68" s="31"/>
      <c r="C68" s="31"/>
      <c r="D68" s="31"/>
      <c r="E68" s="31"/>
      <c r="F68" s="31"/>
      <c r="G68" s="31"/>
      <c r="H68" s="31"/>
    </row>
    <row r="69" ht="15.75" customHeight="1">
      <c r="A69" s="31"/>
      <c r="B69" s="31"/>
      <c r="C69" s="31"/>
      <c r="D69" s="31"/>
      <c r="E69" s="31"/>
      <c r="F69" s="31"/>
      <c r="G69" s="31"/>
      <c r="H69" s="31"/>
    </row>
    <row r="70" ht="15.75" customHeight="1">
      <c r="A70" s="31"/>
      <c r="B70" s="31"/>
      <c r="C70" s="31"/>
      <c r="D70" s="31"/>
      <c r="E70" s="31"/>
      <c r="F70" s="31"/>
      <c r="G70" s="31"/>
      <c r="H70" s="31"/>
    </row>
    <row r="71" ht="15.75" customHeight="1">
      <c r="A71" s="31"/>
      <c r="B71" s="31"/>
      <c r="C71" s="31"/>
      <c r="D71" s="31"/>
      <c r="E71" s="31"/>
      <c r="F71" s="31"/>
      <c r="G71" s="31"/>
      <c r="H71" s="31"/>
    </row>
    <row r="72" ht="15.75" customHeight="1">
      <c r="A72" s="31"/>
      <c r="B72" s="31"/>
      <c r="C72" s="31"/>
      <c r="D72" s="31"/>
      <c r="E72" s="31"/>
      <c r="F72" s="31"/>
      <c r="G72" s="31"/>
      <c r="H72" s="31"/>
    </row>
    <row r="73" ht="15.75" customHeight="1">
      <c r="A73" s="31"/>
      <c r="B73" s="31"/>
      <c r="C73" s="31"/>
      <c r="D73" s="31"/>
      <c r="E73" s="31"/>
      <c r="F73" s="31"/>
      <c r="G73" s="31"/>
      <c r="H73" s="31"/>
    </row>
    <row r="74" ht="15.75" customHeight="1">
      <c r="A74" s="31"/>
      <c r="B74" s="31"/>
      <c r="C74" s="31"/>
      <c r="D74" s="31"/>
      <c r="E74" s="31"/>
      <c r="F74" s="31"/>
      <c r="G74" s="31"/>
      <c r="H74" s="31"/>
    </row>
    <row r="75" ht="15.75" customHeight="1">
      <c r="A75" s="31"/>
      <c r="B75" s="31"/>
      <c r="C75" s="31"/>
      <c r="D75" s="31"/>
      <c r="E75" s="31"/>
      <c r="F75" s="31"/>
      <c r="G75" s="31"/>
      <c r="H75" s="31"/>
    </row>
    <row r="76" ht="15.75" customHeight="1">
      <c r="A76" s="31"/>
      <c r="B76" s="31"/>
      <c r="C76" s="31"/>
      <c r="D76" s="31"/>
      <c r="E76" s="31"/>
      <c r="F76" s="31"/>
      <c r="G76" s="31"/>
      <c r="H76" s="31"/>
    </row>
    <row r="77" ht="15.75" customHeight="1">
      <c r="A77" s="31"/>
      <c r="B77" s="31"/>
      <c r="C77" s="31"/>
      <c r="D77" s="31"/>
      <c r="E77" s="31"/>
      <c r="F77" s="31"/>
      <c r="G77" s="31"/>
      <c r="H77" s="31"/>
    </row>
    <row r="78" ht="15.75" customHeight="1">
      <c r="A78" s="31"/>
      <c r="B78" s="31"/>
      <c r="C78" s="31"/>
      <c r="D78" s="31"/>
      <c r="E78" s="31"/>
      <c r="F78" s="31"/>
      <c r="G78" s="31"/>
      <c r="H78" s="31"/>
    </row>
    <row r="79" ht="15.75" customHeight="1">
      <c r="A79" s="31"/>
      <c r="B79" s="31"/>
      <c r="C79" s="31"/>
      <c r="D79" s="31"/>
      <c r="E79" s="31"/>
      <c r="F79" s="31"/>
      <c r="G79" s="31"/>
      <c r="H79" s="31"/>
    </row>
    <row r="80" ht="15.75" customHeight="1">
      <c r="A80" s="31"/>
      <c r="B80" s="31"/>
      <c r="C80" s="31"/>
      <c r="D80" s="31"/>
      <c r="E80" s="31"/>
      <c r="F80" s="31"/>
      <c r="G80" s="31"/>
      <c r="H80" s="31"/>
    </row>
    <row r="81" ht="15.75" customHeight="1">
      <c r="A81" s="31"/>
      <c r="B81" s="31"/>
      <c r="C81" s="31"/>
      <c r="D81" s="31"/>
      <c r="E81" s="31"/>
      <c r="F81" s="31"/>
      <c r="G81" s="31"/>
      <c r="H81" s="31"/>
    </row>
    <row r="82" ht="15.75" customHeight="1">
      <c r="A82" s="31"/>
      <c r="B82" s="31"/>
      <c r="C82" s="31"/>
      <c r="D82" s="31"/>
      <c r="E82" s="31"/>
      <c r="F82" s="31"/>
      <c r="G82" s="31"/>
      <c r="H82" s="31"/>
    </row>
    <row r="83" ht="15.75" customHeight="1">
      <c r="A83" s="31"/>
      <c r="B83" s="31"/>
      <c r="C83" s="31"/>
      <c r="D83" s="31"/>
      <c r="E83" s="31"/>
      <c r="F83" s="31"/>
      <c r="G83" s="31"/>
      <c r="H83" s="31"/>
    </row>
    <row r="84" ht="15.75" customHeight="1">
      <c r="A84" s="31"/>
      <c r="B84" s="31"/>
      <c r="C84" s="31"/>
      <c r="D84" s="31"/>
      <c r="E84" s="31"/>
      <c r="F84" s="31"/>
      <c r="G84" s="31"/>
      <c r="H84" s="31"/>
    </row>
    <row r="85" ht="15.75" customHeight="1">
      <c r="A85" s="31"/>
      <c r="B85" s="31"/>
      <c r="C85" s="31"/>
      <c r="D85" s="31"/>
      <c r="E85" s="31"/>
      <c r="F85" s="31"/>
      <c r="G85" s="31"/>
      <c r="H85" s="31"/>
    </row>
    <row r="86" ht="15.75" customHeight="1">
      <c r="A86" s="31"/>
      <c r="B86" s="31"/>
      <c r="C86" s="31"/>
      <c r="D86" s="31"/>
      <c r="E86" s="31"/>
      <c r="F86" s="31"/>
      <c r="G86" s="31"/>
      <c r="H86" s="31"/>
    </row>
    <row r="87" ht="15.75" customHeight="1">
      <c r="A87" s="31"/>
      <c r="B87" s="31"/>
      <c r="C87" s="31"/>
      <c r="D87" s="31"/>
      <c r="E87" s="31"/>
      <c r="F87" s="31"/>
      <c r="G87" s="31"/>
      <c r="H87" s="31"/>
    </row>
    <row r="88" ht="15.75" customHeight="1">
      <c r="A88" s="31"/>
      <c r="B88" s="31"/>
      <c r="C88" s="31"/>
      <c r="D88" s="31"/>
      <c r="E88" s="31"/>
      <c r="F88" s="31"/>
      <c r="G88" s="31"/>
      <c r="H88" s="31"/>
    </row>
    <row r="89" ht="15.75" customHeight="1">
      <c r="A89" s="31"/>
      <c r="B89" s="31"/>
      <c r="C89" s="31"/>
      <c r="D89" s="31"/>
      <c r="E89" s="31"/>
      <c r="F89" s="31"/>
      <c r="G89" s="31"/>
      <c r="H89" s="31"/>
    </row>
    <row r="90" ht="15.75" customHeight="1">
      <c r="A90" s="31"/>
      <c r="B90" s="31"/>
      <c r="C90" s="31"/>
      <c r="D90" s="31"/>
      <c r="E90" s="31"/>
      <c r="F90" s="31"/>
      <c r="G90" s="31"/>
      <c r="H90" s="31"/>
    </row>
    <row r="91" ht="15.75" customHeight="1">
      <c r="A91" s="31"/>
      <c r="B91" s="31"/>
      <c r="C91" s="31"/>
      <c r="D91" s="31"/>
      <c r="E91" s="31"/>
      <c r="F91" s="31"/>
      <c r="G91" s="31"/>
      <c r="H91" s="31"/>
    </row>
    <row r="92" ht="15.75" customHeight="1">
      <c r="A92" s="31"/>
      <c r="B92" s="31"/>
      <c r="C92" s="31"/>
      <c r="D92" s="31"/>
      <c r="E92" s="31"/>
      <c r="F92" s="31"/>
      <c r="G92" s="31"/>
      <c r="H92" s="31"/>
    </row>
    <row r="93" ht="15.75" customHeight="1">
      <c r="A93" s="31"/>
      <c r="B93" s="31"/>
      <c r="C93" s="31"/>
      <c r="D93" s="31"/>
      <c r="E93" s="31"/>
      <c r="F93" s="31"/>
      <c r="G93" s="31"/>
      <c r="H93" s="31"/>
    </row>
    <row r="94" ht="15.75" customHeight="1">
      <c r="A94" s="31"/>
      <c r="B94" s="31"/>
      <c r="C94" s="31"/>
      <c r="D94" s="31"/>
      <c r="E94" s="31"/>
      <c r="F94" s="31"/>
      <c r="G94" s="31"/>
      <c r="H94" s="31"/>
    </row>
    <row r="95" ht="15.75" customHeight="1">
      <c r="A95" s="31"/>
      <c r="B95" s="31"/>
      <c r="C95" s="31"/>
      <c r="D95" s="31"/>
      <c r="E95" s="31"/>
      <c r="F95" s="31"/>
      <c r="G95" s="31"/>
      <c r="H95" s="31"/>
    </row>
    <row r="96" ht="15.75" customHeight="1">
      <c r="A96" s="31"/>
      <c r="B96" s="31"/>
      <c r="C96" s="31"/>
      <c r="D96" s="31"/>
      <c r="E96" s="31"/>
      <c r="F96" s="31"/>
      <c r="G96" s="31"/>
      <c r="H96" s="31"/>
    </row>
    <row r="97" ht="15.75" customHeight="1">
      <c r="A97" s="31"/>
      <c r="B97" s="31"/>
      <c r="C97" s="31"/>
      <c r="D97" s="31"/>
      <c r="E97" s="31"/>
      <c r="F97" s="31"/>
      <c r="G97" s="31"/>
      <c r="H97" s="31"/>
    </row>
    <row r="98" ht="15.75" customHeight="1">
      <c r="A98" s="31"/>
      <c r="B98" s="31"/>
      <c r="C98" s="31"/>
      <c r="D98" s="31"/>
      <c r="E98" s="31"/>
      <c r="F98" s="31"/>
      <c r="G98" s="31"/>
      <c r="H98" s="31"/>
    </row>
    <row r="99" ht="15.75" customHeight="1">
      <c r="A99" s="31"/>
      <c r="B99" s="31"/>
      <c r="C99" s="31"/>
      <c r="D99" s="31"/>
      <c r="E99" s="31"/>
      <c r="F99" s="31"/>
      <c r="G99" s="31"/>
      <c r="H99" s="31"/>
    </row>
    <row r="100" ht="15.75" customHeight="1">
      <c r="A100" s="31"/>
      <c r="B100" s="31"/>
      <c r="C100" s="31"/>
      <c r="D100" s="31"/>
      <c r="E100" s="31"/>
      <c r="F100" s="31"/>
      <c r="G100" s="31"/>
      <c r="H100" s="31"/>
    </row>
    <row r="101" ht="15.75" customHeight="1">
      <c r="A101" s="31"/>
      <c r="B101" s="31"/>
      <c r="C101" s="31"/>
      <c r="D101" s="31"/>
      <c r="E101" s="31"/>
      <c r="F101" s="31"/>
      <c r="G101" s="31"/>
      <c r="H101" s="31"/>
    </row>
    <row r="102" ht="15.75" customHeight="1">
      <c r="A102" s="31"/>
      <c r="B102" s="31"/>
      <c r="C102" s="31"/>
      <c r="D102" s="31"/>
      <c r="E102" s="31"/>
      <c r="F102" s="31"/>
      <c r="G102" s="31"/>
      <c r="H102" s="31"/>
    </row>
    <row r="103" ht="15.75" customHeight="1">
      <c r="A103" s="31"/>
      <c r="B103" s="31"/>
      <c r="C103" s="31"/>
      <c r="D103" s="31"/>
      <c r="E103" s="31"/>
      <c r="F103" s="31"/>
      <c r="G103" s="31"/>
      <c r="H103" s="31"/>
    </row>
    <row r="104" ht="15.75" customHeight="1">
      <c r="A104" s="31"/>
      <c r="B104" s="31"/>
      <c r="C104" s="31"/>
      <c r="D104" s="31"/>
      <c r="E104" s="31"/>
      <c r="F104" s="31"/>
      <c r="G104" s="31"/>
      <c r="H104" s="31"/>
    </row>
    <row r="105" ht="15.75" customHeight="1">
      <c r="A105" s="31"/>
      <c r="B105" s="31"/>
      <c r="C105" s="31"/>
      <c r="D105" s="31"/>
      <c r="E105" s="31"/>
      <c r="F105" s="31"/>
      <c r="G105" s="31"/>
      <c r="H105" s="31"/>
    </row>
    <row r="106" ht="15.75" customHeight="1">
      <c r="A106" s="31"/>
      <c r="B106" s="31"/>
      <c r="C106" s="31"/>
      <c r="D106" s="31"/>
      <c r="E106" s="31"/>
      <c r="F106" s="31"/>
      <c r="G106" s="31"/>
      <c r="H106" s="31"/>
    </row>
    <row r="107" ht="15.75" customHeight="1">
      <c r="A107" s="31"/>
      <c r="B107" s="31"/>
      <c r="C107" s="31"/>
      <c r="D107" s="31"/>
      <c r="E107" s="31"/>
      <c r="F107" s="31"/>
      <c r="G107" s="31"/>
      <c r="H107" s="31"/>
    </row>
    <row r="108" ht="15.75" customHeight="1">
      <c r="A108" s="31"/>
      <c r="B108" s="31"/>
      <c r="C108" s="31"/>
      <c r="D108" s="31"/>
      <c r="E108" s="31"/>
      <c r="F108" s="31"/>
      <c r="G108" s="31"/>
      <c r="H108" s="31"/>
    </row>
    <row r="109" ht="15.75" customHeight="1">
      <c r="A109" s="31"/>
      <c r="B109" s="31"/>
      <c r="C109" s="31"/>
      <c r="D109" s="31"/>
      <c r="E109" s="31"/>
      <c r="F109" s="31"/>
      <c r="G109" s="31"/>
      <c r="H109" s="31"/>
    </row>
    <row r="110" ht="15.75" customHeight="1">
      <c r="A110" s="31"/>
      <c r="B110" s="31"/>
      <c r="C110" s="31"/>
      <c r="D110" s="31"/>
      <c r="E110" s="31"/>
      <c r="F110" s="31"/>
      <c r="G110" s="31"/>
      <c r="H110" s="31"/>
    </row>
    <row r="111" ht="15.75" customHeight="1">
      <c r="A111" s="31"/>
      <c r="B111" s="31"/>
      <c r="C111" s="31"/>
      <c r="D111" s="31"/>
      <c r="E111" s="31"/>
      <c r="F111" s="31"/>
      <c r="G111" s="31"/>
      <c r="H111" s="31"/>
    </row>
    <row r="112" ht="15.75" customHeight="1">
      <c r="A112" s="31"/>
      <c r="B112" s="31"/>
      <c r="C112" s="31"/>
      <c r="D112" s="31"/>
      <c r="E112" s="31"/>
      <c r="F112" s="31"/>
      <c r="G112" s="31"/>
      <c r="H112" s="31"/>
    </row>
    <row r="113" ht="15.75" customHeight="1">
      <c r="A113" s="31"/>
      <c r="B113" s="31"/>
      <c r="C113" s="31"/>
      <c r="D113" s="31"/>
      <c r="E113" s="31"/>
      <c r="F113" s="31"/>
      <c r="G113" s="31"/>
      <c r="H113" s="31"/>
    </row>
    <row r="114" ht="15.75" customHeight="1">
      <c r="A114" s="31"/>
      <c r="B114" s="31"/>
      <c r="C114" s="31"/>
      <c r="D114" s="31"/>
      <c r="E114" s="31"/>
      <c r="F114" s="31"/>
      <c r="G114" s="31"/>
      <c r="H114" s="31"/>
    </row>
    <row r="115" ht="15.75" customHeight="1">
      <c r="A115" s="31"/>
      <c r="B115" s="31"/>
      <c r="C115" s="31"/>
      <c r="D115" s="31"/>
      <c r="E115" s="31"/>
      <c r="F115" s="31"/>
      <c r="G115" s="31"/>
      <c r="H115" s="31"/>
    </row>
    <row r="116" ht="15.75" customHeight="1">
      <c r="A116" s="31"/>
      <c r="B116" s="31"/>
      <c r="C116" s="31"/>
      <c r="D116" s="31"/>
      <c r="E116" s="31"/>
      <c r="F116" s="31"/>
      <c r="G116" s="31"/>
      <c r="H116" s="31"/>
    </row>
    <row r="117" ht="15.75" customHeight="1">
      <c r="A117" s="31"/>
      <c r="B117" s="31"/>
      <c r="C117" s="31"/>
      <c r="D117" s="31"/>
      <c r="E117" s="31"/>
      <c r="F117" s="31"/>
      <c r="G117" s="31"/>
      <c r="H117" s="31"/>
    </row>
    <row r="118" ht="15.75" customHeight="1">
      <c r="A118" s="31"/>
      <c r="B118" s="31"/>
      <c r="C118" s="31"/>
      <c r="D118" s="31"/>
      <c r="E118" s="31"/>
      <c r="F118" s="31"/>
      <c r="G118" s="31"/>
      <c r="H118" s="31"/>
    </row>
    <row r="119" ht="15.75" customHeight="1">
      <c r="A119" s="31"/>
      <c r="B119" s="31"/>
      <c r="C119" s="31"/>
      <c r="D119" s="31"/>
      <c r="E119" s="31"/>
      <c r="F119" s="31"/>
      <c r="G119" s="31"/>
      <c r="H119" s="31"/>
    </row>
    <row r="120" ht="15.75" customHeight="1">
      <c r="A120" s="31"/>
      <c r="B120" s="31"/>
      <c r="C120" s="31"/>
      <c r="D120" s="31"/>
      <c r="E120" s="31"/>
      <c r="F120" s="31"/>
      <c r="G120" s="31"/>
      <c r="H120" s="31"/>
    </row>
    <row r="121" ht="15.75" customHeight="1">
      <c r="A121" s="31"/>
      <c r="B121" s="31"/>
      <c r="C121" s="31"/>
      <c r="D121" s="31"/>
      <c r="E121" s="31"/>
      <c r="F121" s="31"/>
      <c r="G121" s="31"/>
      <c r="H121" s="31"/>
    </row>
    <row r="122" ht="15.75" customHeight="1">
      <c r="A122" s="31"/>
      <c r="B122" s="31"/>
      <c r="C122" s="31"/>
      <c r="D122" s="31"/>
      <c r="E122" s="31"/>
      <c r="F122" s="31"/>
      <c r="G122" s="31"/>
      <c r="H122" s="31"/>
    </row>
    <row r="123" ht="15.75" customHeight="1">
      <c r="A123" s="31"/>
      <c r="B123" s="31"/>
      <c r="C123" s="31"/>
      <c r="D123" s="31"/>
      <c r="E123" s="31"/>
      <c r="F123" s="31"/>
      <c r="G123" s="31"/>
      <c r="H123" s="31"/>
    </row>
    <row r="124" ht="15.75" customHeight="1">
      <c r="A124" s="31"/>
      <c r="B124" s="31"/>
      <c r="C124" s="31"/>
      <c r="D124" s="31"/>
      <c r="E124" s="31"/>
      <c r="F124" s="31"/>
      <c r="G124" s="31"/>
      <c r="H124" s="31"/>
    </row>
    <row r="125" ht="15.75" customHeight="1">
      <c r="A125" s="31"/>
      <c r="B125" s="31"/>
      <c r="C125" s="31"/>
      <c r="D125" s="31"/>
      <c r="E125" s="31"/>
      <c r="F125" s="31"/>
      <c r="G125" s="31"/>
      <c r="H125" s="31"/>
    </row>
    <row r="126" ht="15.75" customHeight="1">
      <c r="A126" s="31"/>
      <c r="B126" s="31"/>
      <c r="C126" s="31"/>
      <c r="D126" s="31"/>
      <c r="E126" s="31"/>
      <c r="F126" s="31"/>
      <c r="G126" s="31"/>
      <c r="H126" s="31"/>
    </row>
    <row r="127" ht="15.75" customHeight="1">
      <c r="A127" s="31"/>
      <c r="B127" s="31"/>
      <c r="C127" s="31"/>
      <c r="D127" s="31"/>
      <c r="E127" s="31"/>
      <c r="F127" s="31"/>
      <c r="G127" s="31"/>
      <c r="H127" s="31"/>
    </row>
    <row r="128" ht="15.75" customHeight="1">
      <c r="A128" s="31"/>
      <c r="B128" s="31"/>
      <c r="C128" s="31"/>
      <c r="D128" s="31"/>
      <c r="E128" s="31"/>
      <c r="F128" s="31"/>
      <c r="G128" s="31"/>
      <c r="H128" s="31"/>
    </row>
    <row r="129" ht="15.75" customHeight="1">
      <c r="A129" s="31"/>
      <c r="B129" s="31"/>
      <c r="C129" s="31"/>
      <c r="D129" s="31"/>
      <c r="E129" s="31"/>
      <c r="F129" s="31"/>
      <c r="G129" s="31"/>
      <c r="H129" s="31"/>
    </row>
    <row r="130" ht="15.75" customHeight="1">
      <c r="A130" s="31"/>
      <c r="B130" s="31"/>
      <c r="C130" s="31"/>
      <c r="D130" s="31"/>
      <c r="E130" s="31"/>
      <c r="F130" s="31"/>
      <c r="G130" s="31"/>
      <c r="H130" s="31"/>
    </row>
    <row r="131" ht="15.75" customHeight="1">
      <c r="A131" s="31"/>
      <c r="B131" s="31"/>
      <c r="C131" s="31"/>
      <c r="D131" s="31"/>
      <c r="E131" s="31"/>
      <c r="F131" s="31"/>
      <c r="G131" s="31"/>
      <c r="H131" s="31"/>
    </row>
    <row r="132" ht="15.75" customHeight="1">
      <c r="A132" s="31"/>
      <c r="B132" s="31"/>
      <c r="C132" s="31"/>
      <c r="D132" s="31"/>
      <c r="E132" s="31"/>
      <c r="F132" s="31"/>
      <c r="G132" s="31"/>
      <c r="H132" s="31"/>
    </row>
    <row r="133" ht="15.75" customHeight="1">
      <c r="A133" s="31"/>
      <c r="B133" s="31"/>
      <c r="C133" s="31"/>
      <c r="D133" s="31"/>
      <c r="E133" s="31"/>
      <c r="F133" s="31"/>
      <c r="G133" s="31"/>
      <c r="H133" s="31"/>
    </row>
    <row r="134" ht="15.75" customHeight="1">
      <c r="A134" s="31"/>
      <c r="B134" s="31"/>
      <c r="C134" s="31"/>
      <c r="D134" s="31"/>
      <c r="E134" s="31"/>
      <c r="F134" s="31"/>
      <c r="G134" s="31"/>
      <c r="H134" s="31"/>
    </row>
    <row r="135" ht="15.75" customHeight="1">
      <c r="A135" s="31"/>
      <c r="B135" s="31"/>
      <c r="C135" s="31"/>
      <c r="D135" s="31"/>
      <c r="E135" s="31"/>
      <c r="F135" s="31"/>
      <c r="G135" s="31"/>
      <c r="H135" s="31"/>
    </row>
    <row r="136" ht="15.75" customHeight="1">
      <c r="A136" s="31"/>
      <c r="B136" s="31"/>
      <c r="C136" s="31"/>
      <c r="D136" s="31"/>
      <c r="E136" s="31"/>
      <c r="F136" s="31"/>
      <c r="G136" s="31"/>
      <c r="H136" s="31"/>
    </row>
    <row r="137" ht="15.75" customHeight="1">
      <c r="A137" s="31"/>
      <c r="B137" s="31"/>
      <c r="C137" s="31"/>
      <c r="D137" s="31"/>
      <c r="E137" s="31"/>
      <c r="F137" s="31"/>
      <c r="G137" s="31"/>
      <c r="H137" s="31"/>
    </row>
    <row r="138" ht="15.75" customHeight="1">
      <c r="A138" s="31"/>
      <c r="B138" s="31"/>
      <c r="C138" s="31"/>
      <c r="D138" s="31"/>
      <c r="E138" s="31"/>
      <c r="F138" s="31"/>
      <c r="G138" s="31"/>
      <c r="H138" s="31"/>
    </row>
    <row r="139" ht="15.75" customHeight="1">
      <c r="A139" s="31"/>
      <c r="B139" s="31"/>
      <c r="C139" s="31"/>
      <c r="D139" s="31"/>
      <c r="E139" s="31"/>
      <c r="F139" s="31"/>
      <c r="G139" s="31"/>
      <c r="H139" s="31"/>
    </row>
    <row r="140" ht="15.75" customHeight="1">
      <c r="A140" s="31"/>
      <c r="B140" s="31"/>
      <c r="C140" s="31"/>
      <c r="D140" s="31"/>
      <c r="E140" s="31"/>
      <c r="F140" s="31"/>
      <c r="G140" s="31"/>
      <c r="H140" s="31"/>
    </row>
    <row r="141" ht="15.75" customHeight="1">
      <c r="A141" s="31"/>
      <c r="B141" s="31"/>
      <c r="C141" s="31"/>
      <c r="D141" s="31"/>
      <c r="E141" s="31"/>
      <c r="F141" s="31"/>
      <c r="G141" s="31"/>
      <c r="H141" s="31"/>
    </row>
    <row r="142" ht="15.75" customHeight="1">
      <c r="A142" s="31"/>
      <c r="B142" s="31"/>
      <c r="C142" s="31"/>
      <c r="D142" s="31"/>
      <c r="E142" s="31"/>
      <c r="F142" s="31"/>
      <c r="G142" s="31"/>
      <c r="H142" s="31"/>
    </row>
    <row r="143" ht="15.75" customHeight="1">
      <c r="A143" s="31"/>
      <c r="B143" s="31"/>
      <c r="C143" s="31"/>
      <c r="D143" s="31"/>
      <c r="E143" s="31"/>
      <c r="F143" s="31"/>
      <c r="G143" s="31"/>
      <c r="H143" s="31"/>
    </row>
    <row r="144" ht="15.75" customHeight="1">
      <c r="A144" s="31"/>
      <c r="B144" s="31"/>
      <c r="C144" s="31"/>
      <c r="D144" s="31"/>
      <c r="E144" s="31"/>
      <c r="F144" s="31"/>
      <c r="G144" s="31"/>
      <c r="H144" s="31"/>
    </row>
    <row r="145" ht="15.75" customHeight="1">
      <c r="A145" s="31"/>
      <c r="B145" s="31"/>
      <c r="C145" s="31"/>
      <c r="D145" s="31"/>
      <c r="E145" s="31"/>
      <c r="F145" s="31"/>
      <c r="G145" s="31"/>
      <c r="H145" s="31"/>
    </row>
    <row r="146" ht="15.75" customHeight="1">
      <c r="A146" s="31"/>
      <c r="B146" s="31"/>
      <c r="C146" s="31"/>
      <c r="D146" s="31"/>
      <c r="E146" s="31"/>
      <c r="F146" s="31"/>
      <c r="G146" s="31"/>
      <c r="H146" s="31"/>
    </row>
    <row r="147" ht="15.75" customHeight="1">
      <c r="A147" s="31"/>
      <c r="B147" s="31"/>
      <c r="C147" s="31"/>
      <c r="D147" s="31"/>
      <c r="E147" s="31"/>
      <c r="F147" s="31"/>
      <c r="G147" s="31"/>
      <c r="H147" s="31"/>
    </row>
    <row r="148" ht="15.75" customHeight="1">
      <c r="A148" s="31"/>
      <c r="B148" s="31"/>
      <c r="C148" s="31"/>
      <c r="D148" s="31"/>
      <c r="E148" s="31"/>
      <c r="F148" s="31"/>
      <c r="G148" s="31"/>
      <c r="H148" s="31"/>
    </row>
    <row r="149" ht="15.75" customHeight="1">
      <c r="A149" s="31"/>
      <c r="B149" s="31"/>
      <c r="C149" s="31"/>
      <c r="D149" s="31"/>
      <c r="E149" s="31"/>
      <c r="F149" s="31"/>
      <c r="G149" s="31"/>
      <c r="H149" s="31"/>
    </row>
    <row r="150" ht="15.75" customHeight="1">
      <c r="A150" s="31"/>
      <c r="B150" s="31"/>
      <c r="C150" s="31"/>
      <c r="D150" s="31"/>
      <c r="E150" s="31"/>
      <c r="F150" s="31"/>
      <c r="G150" s="31"/>
      <c r="H150" s="31"/>
    </row>
    <row r="151" ht="15.75" customHeight="1">
      <c r="A151" s="31"/>
      <c r="B151" s="31"/>
      <c r="C151" s="31"/>
      <c r="D151" s="31"/>
      <c r="E151" s="31"/>
      <c r="F151" s="31"/>
      <c r="G151" s="31"/>
      <c r="H151" s="31"/>
    </row>
    <row r="152" ht="15.75" customHeight="1">
      <c r="A152" s="31"/>
      <c r="B152" s="31"/>
      <c r="C152" s="31"/>
      <c r="D152" s="31"/>
      <c r="E152" s="31"/>
      <c r="F152" s="31"/>
      <c r="G152" s="31"/>
      <c r="H152" s="31"/>
    </row>
    <row r="153" ht="15.75" customHeight="1">
      <c r="A153" s="31"/>
      <c r="B153" s="31"/>
      <c r="C153" s="31"/>
      <c r="D153" s="31"/>
      <c r="E153" s="31"/>
      <c r="F153" s="31"/>
      <c r="G153" s="31"/>
      <c r="H153" s="31"/>
    </row>
    <row r="154" ht="15.75" customHeight="1">
      <c r="A154" s="31"/>
      <c r="B154" s="31"/>
      <c r="C154" s="31"/>
      <c r="D154" s="31"/>
      <c r="E154" s="31"/>
      <c r="F154" s="31"/>
      <c r="G154" s="31"/>
      <c r="H154" s="31"/>
    </row>
    <row r="155" ht="15.75" customHeight="1">
      <c r="A155" s="31"/>
      <c r="B155" s="31"/>
      <c r="C155" s="31"/>
      <c r="D155" s="31"/>
      <c r="E155" s="31"/>
      <c r="F155" s="31"/>
      <c r="G155" s="31"/>
      <c r="H155" s="31"/>
    </row>
    <row r="156" ht="15.75" customHeight="1">
      <c r="A156" s="31"/>
      <c r="B156" s="31"/>
      <c r="C156" s="31"/>
      <c r="D156" s="31"/>
      <c r="E156" s="31"/>
      <c r="F156" s="31"/>
      <c r="G156" s="31"/>
      <c r="H156" s="31"/>
    </row>
    <row r="157" ht="15.75" customHeight="1">
      <c r="A157" s="31"/>
      <c r="B157" s="31"/>
      <c r="C157" s="31"/>
      <c r="D157" s="31"/>
      <c r="E157" s="31"/>
      <c r="F157" s="31"/>
      <c r="G157" s="31"/>
      <c r="H157" s="31"/>
    </row>
    <row r="158" ht="15.75" customHeight="1">
      <c r="A158" s="31"/>
      <c r="B158" s="31"/>
      <c r="C158" s="31"/>
      <c r="D158" s="31"/>
      <c r="E158" s="31"/>
      <c r="F158" s="31"/>
      <c r="G158" s="31"/>
      <c r="H158" s="31"/>
    </row>
    <row r="159" ht="15.75" customHeight="1">
      <c r="A159" s="31"/>
      <c r="B159" s="31"/>
      <c r="C159" s="31"/>
      <c r="D159" s="31"/>
      <c r="E159" s="31"/>
      <c r="F159" s="31"/>
      <c r="G159" s="31"/>
      <c r="H159" s="31"/>
    </row>
    <row r="160" ht="15.75" customHeight="1">
      <c r="A160" s="31"/>
      <c r="B160" s="31"/>
      <c r="C160" s="31"/>
      <c r="D160" s="31"/>
      <c r="E160" s="31"/>
      <c r="F160" s="31"/>
      <c r="G160" s="31"/>
      <c r="H160" s="31"/>
    </row>
    <row r="161" ht="15.75" customHeight="1">
      <c r="A161" s="31"/>
      <c r="B161" s="31"/>
      <c r="C161" s="31"/>
      <c r="D161" s="31"/>
      <c r="E161" s="31"/>
      <c r="F161" s="31"/>
      <c r="G161" s="31"/>
      <c r="H161" s="31"/>
    </row>
    <row r="162" ht="15.75" customHeight="1">
      <c r="A162" s="31"/>
      <c r="B162" s="31"/>
      <c r="C162" s="31"/>
      <c r="D162" s="31"/>
      <c r="E162" s="31"/>
      <c r="F162" s="31"/>
      <c r="G162" s="31"/>
      <c r="H162" s="31"/>
    </row>
    <row r="163" ht="15.75" customHeight="1">
      <c r="A163" s="31"/>
      <c r="B163" s="31"/>
      <c r="C163" s="31"/>
      <c r="D163" s="31"/>
      <c r="E163" s="31"/>
      <c r="F163" s="31"/>
      <c r="G163" s="31"/>
      <c r="H163" s="31"/>
    </row>
    <row r="164" ht="15.75" customHeight="1">
      <c r="A164" s="31"/>
      <c r="B164" s="31"/>
      <c r="C164" s="31"/>
      <c r="D164" s="31"/>
      <c r="E164" s="31"/>
      <c r="F164" s="31"/>
      <c r="G164" s="31"/>
      <c r="H164" s="31"/>
    </row>
    <row r="165" ht="15.75" customHeight="1">
      <c r="A165" s="31"/>
      <c r="B165" s="31"/>
      <c r="C165" s="31"/>
      <c r="D165" s="31"/>
      <c r="E165" s="31"/>
      <c r="F165" s="31"/>
      <c r="G165" s="31"/>
      <c r="H165" s="31"/>
    </row>
    <row r="166" ht="15.75" customHeight="1">
      <c r="A166" s="31"/>
      <c r="B166" s="31"/>
      <c r="C166" s="31"/>
      <c r="D166" s="31"/>
      <c r="E166" s="31"/>
      <c r="F166" s="31"/>
      <c r="G166" s="31"/>
      <c r="H166" s="31"/>
    </row>
    <row r="167" ht="15.75" customHeight="1">
      <c r="A167" s="31"/>
      <c r="B167" s="31"/>
      <c r="C167" s="31"/>
      <c r="D167" s="31"/>
      <c r="E167" s="31"/>
      <c r="F167" s="31"/>
      <c r="G167" s="31"/>
      <c r="H167" s="31"/>
    </row>
    <row r="168" ht="15.75" customHeight="1">
      <c r="A168" s="31"/>
      <c r="B168" s="31"/>
      <c r="C168" s="31"/>
      <c r="D168" s="31"/>
      <c r="E168" s="31"/>
      <c r="F168" s="31"/>
      <c r="G168" s="31"/>
      <c r="H168" s="31"/>
    </row>
    <row r="169" ht="15.75" customHeight="1">
      <c r="A169" s="31"/>
      <c r="B169" s="31"/>
      <c r="C169" s="31"/>
      <c r="D169" s="31"/>
      <c r="E169" s="31"/>
      <c r="F169" s="31"/>
      <c r="G169" s="31"/>
      <c r="H169" s="31"/>
    </row>
    <row r="170" ht="15.75" customHeight="1">
      <c r="A170" s="31"/>
      <c r="B170" s="31"/>
      <c r="C170" s="31"/>
      <c r="D170" s="31"/>
      <c r="E170" s="31"/>
      <c r="F170" s="31"/>
      <c r="G170" s="31"/>
      <c r="H170" s="31"/>
    </row>
    <row r="171" ht="15.75" customHeight="1">
      <c r="A171" s="31"/>
      <c r="B171" s="31"/>
      <c r="C171" s="31"/>
      <c r="D171" s="31"/>
      <c r="E171" s="31"/>
      <c r="F171" s="31"/>
      <c r="G171" s="31"/>
      <c r="H171" s="31"/>
    </row>
    <row r="172" ht="15.75" customHeight="1">
      <c r="A172" s="31"/>
      <c r="B172" s="31"/>
      <c r="C172" s="31"/>
      <c r="D172" s="31"/>
      <c r="E172" s="31"/>
      <c r="F172" s="31"/>
      <c r="G172" s="31"/>
      <c r="H172" s="31"/>
    </row>
    <row r="173" ht="15.75" customHeight="1">
      <c r="A173" s="31"/>
      <c r="B173" s="31"/>
      <c r="C173" s="31"/>
      <c r="D173" s="31"/>
      <c r="E173" s="31"/>
      <c r="F173" s="31"/>
      <c r="G173" s="31"/>
      <c r="H173" s="31"/>
    </row>
    <row r="174" ht="15.75" customHeight="1">
      <c r="A174" s="31"/>
      <c r="B174" s="31"/>
      <c r="C174" s="31"/>
      <c r="D174" s="31"/>
      <c r="E174" s="31"/>
      <c r="F174" s="31"/>
      <c r="G174" s="31"/>
      <c r="H174" s="31"/>
    </row>
    <row r="175" ht="15.75" customHeight="1">
      <c r="A175" s="31"/>
      <c r="B175" s="31"/>
      <c r="C175" s="31"/>
      <c r="D175" s="31"/>
      <c r="E175" s="31"/>
      <c r="F175" s="31"/>
      <c r="G175" s="31"/>
      <c r="H175" s="31"/>
    </row>
    <row r="176" ht="15.75" customHeight="1">
      <c r="A176" s="31"/>
      <c r="B176" s="31"/>
      <c r="C176" s="31"/>
      <c r="D176" s="31"/>
      <c r="E176" s="31"/>
      <c r="F176" s="31"/>
      <c r="G176" s="31"/>
      <c r="H176" s="31"/>
    </row>
    <row r="177" ht="15.75" customHeight="1">
      <c r="A177" s="31"/>
      <c r="B177" s="31"/>
      <c r="C177" s="31"/>
      <c r="D177" s="31"/>
      <c r="E177" s="31"/>
      <c r="F177" s="31"/>
      <c r="G177" s="31"/>
      <c r="H177" s="31"/>
    </row>
    <row r="178" ht="15.75" customHeight="1">
      <c r="A178" s="31"/>
      <c r="B178" s="31"/>
      <c r="C178" s="31"/>
      <c r="D178" s="31"/>
      <c r="E178" s="31"/>
      <c r="F178" s="31"/>
      <c r="G178" s="31"/>
      <c r="H178" s="31"/>
    </row>
    <row r="179" ht="15.75" customHeight="1">
      <c r="A179" s="31"/>
      <c r="B179" s="31"/>
      <c r="C179" s="31"/>
      <c r="D179" s="31"/>
      <c r="E179" s="31"/>
      <c r="F179" s="31"/>
      <c r="G179" s="31"/>
      <c r="H179" s="31"/>
    </row>
    <row r="180" ht="15.75" customHeight="1">
      <c r="A180" s="31"/>
      <c r="B180" s="31"/>
      <c r="C180" s="31"/>
      <c r="D180" s="31"/>
      <c r="E180" s="31"/>
      <c r="F180" s="31"/>
      <c r="G180" s="31"/>
      <c r="H180" s="31"/>
    </row>
    <row r="181" ht="15.75" customHeight="1">
      <c r="A181" s="31"/>
      <c r="B181" s="31"/>
      <c r="C181" s="31"/>
      <c r="D181" s="31"/>
      <c r="E181" s="31"/>
      <c r="F181" s="31"/>
      <c r="G181" s="31"/>
      <c r="H181" s="31"/>
    </row>
    <row r="182" ht="15.75" customHeight="1">
      <c r="A182" s="31"/>
      <c r="B182" s="31"/>
      <c r="C182" s="31"/>
      <c r="D182" s="31"/>
      <c r="E182" s="31"/>
      <c r="F182" s="31"/>
      <c r="G182" s="31"/>
      <c r="H182" s="31"/>
    </row>
    <row r="183" ht="15.75" customHeight="1">
      <c r="A183" s="31"/>
      <c r="B183" s="31"/>
      <c r="C183" s="31"/>
      <c r="D183" s="31"/>
      <c r="E183" s="31"/>
      <c r="F183" s="31"/>
      <c r="G183" s="31"/>
      <c r="H183" s="31"/>
    </row>
    <row r="184" ht="15.75" customHeight="1">
      <c r="A184" s="31"/>
      <c r="B184" s="31"/>
      <c r="C184" s="31"/>
      <c r="D184" s="31"/>
      <c r="E184" s="31"/>
      <c r="F184" s="31"/>
      <c r="G184" s="31"/>
      <c r="H184" s="31"/>
    </row>
    <row r="185" ht="15.75" customHeight="1">
      <c r="A185" s="31"/>
      <c r="B185" s="31"/>
      <c r="C185" s="31"/>
      <c r="D185" s="31"/>
      <c r="E185" s="31"/>
      <c r="F185" s="31"/>
      <c r="G185" s="31"/>
      <c r="H185" s="31"/>
    </row>
    <row r="186" ht="15.75" customHeight="1">
      <c r="A186" s="31"/>
      <c r="B186" s="31"/>
      <c r="C186" s="31"/>
      <c r="D186" s="31"/>
      <c r="E186" s="31"/>
      <c r="F186" s="31"/>
      <c r="G186" s="31"/>
      <c r="H186" s="31"/>
    </row>
    <row r="187" ht="15.75" customHeight="1">
      <c r="A187" s="31"/>
      <c r="B187" s="31"/>
      <c r="C187" s="31"/>
      <c r="D187" s="31"/>
      <c r="E187" s="31"/>
      <c r="F187" s="31"/>
      <c r="G187" s="31"/>
      <c r="H187" s="31"/>
    </row>
    <row r="188" ht="15.75" customHeight="1">
      <c r="A188" s="31"/>
      <c r="B188" s="31"/>
      <c r="C188" s="31"/>
      <c r="D188" s="31"/>
      <c r="E188" s="31"/>
      <c r="F188" s="31"/>
      <c r="G188" s="31"/>
      <c r="H188" s="31"/>
    </row>
    <row r="189" ht="15.75" customHeight="1">
      <c r="A189" s="31"/>
      <c r="B189" s="31"/>
      <c r="C189" s="31"/>
      <c r="D189" s="31"/>
      <c r="E189" s="31"/>
      <c r="F189" s="31"/>
      <c r="G189" s="31"/>
      <c r="H189" s="31"/>
    </row>
    <row r="190" ht="15.75" customHeight="1">
      <c r="A190" s="31"/>
      <c r="B190" s="31"/>
      <c r="C190" s="31"/>
      <c r="D190" s="31"/>
      <c r="E190" s="31"/>
      <c r="F190" s="31"/>
      <c r="G190" s="31"/>
      <c r="H190" s="31"/>
    </row>
    <row r="191" ht="15.75" customHeight="1">
      <c r="A191" s="31"/>
      <c r="B191" s="31"/>
      <c r="C191" s="31"/>
      <c r="D191" s="31"/>
      <c r="E191" s="31"/>
      <c r="F191" s="31"/>
      <c r="G191" s="31"/>
      <c r="H191" s="31"/>
    </row>
    <row r="192" ht="15.75" customHeight="1">
      <c r="A192" s="31"/>
      <c r="B192" s="31"/>
      <c r="C192" s="31"/>
      <c r="D192" s="31"/>
      <c r="E192" s="31"/>
      <c r="F192" s="31"/>
      <c r="G192" s="31"/>
      <c r="H192" s="31"/>
    </row>
    <row r="193" ht="15.75" customHeight="1">
      <c r="A193" s="31"/>
      <c r="B193" s="31"/>
      <c r="C193" s="31"/>
      <c r="D193" s="31"/>
      <c r="E193" s="31"/>
      <c r="F193" s="31"/>
      <c r="G193" s="31"/>
      <c r="H193" s="31"/>
    </row>
    <row r="194" ht="15.75" customHeight="1">
      <c r="A194" s="31"/>
      <c r="B194" s="31"/>
      <c r="C194" s="31"/>
      <c r="D194" s="31"/>
      <c r="E194" s="31"/>
      <c r="F194" s="31"/>
      <c r="G194" s="31"/>
      <c r="H194" s="31"/>
    </row>
    <row r="195" ht="15.75" customHeight="1">
      <c r="A195" s="31"/>
      <c r="B195" s="31"/>
      <c r="C195" s="31"/>
      <c r="D195" s="31"/>
      <c r="E195" s="31"/>
      <c r="F195" s="31"/>
      <c r="G195" s="31"/>
      <c r="H195" s="31"/>
    </row>
    <row r="196" ht="15.75" customHeight="1">
      <c r="A196" s="31"/>
      <c r="B196" s="31"/>
      <c r="C196" s="31"/>
      <c r="D196" s="31"/>
      <c r="E196" s="31"/>
      <c r="F196" s="31"/>
      <c r="G196" s="31"/>
      <c r="H196" s="31"/>
    </row>
    <row r="197" ht="15.75" customHeight="1">
      <c r="A197" s="31"/>
      <c r="B197" s="31"/>
      <c r="C197" s="31"/>
      <c r="D197" s="31"/>
      <c r="E197" s="31"/>
      <c r="F197" s="31"/>
      <c r="G197" s="31"/>
      <c r="H197" s="31"/>
    </row>
    <row r="198" ht="15.75" customHeight="1">
      <c r="A198" s="31"/>
      <c r="B198" s="31"/>
      <c r="C198" s="31"/>
      <c r="D198" s="31"/>
      <c r="E198" s="31"/>
      <c r="F198" s="31"/>
      <c r="G198" s="31"/>
      <c r="H198" s="31"/>
    </row>
    <row r="199" ht="15.75" customHeight="1">
      <c r="A199" s="31"/>
      <c r="B199" s="31"/>
      <c r="C199" s="31"/>
      <c r="D199" s="31"/>
      <c r="E199" s="31"/>
      <c r="F199" s="31"/>
      <c r="G199" s="31"/>
      <c r="H199" s="31"/>
    </row>
    <row r="200" ht="15.75" customHeight="1">
      <c r="A200" s="31"/>
      <c r="B200" s="31"/>
      <c r="C200" s="31"/>
      <c r="D200" s="31"/>
      <c r="E200" s="31"/>
      <c r="F200" s="31"/>
      <c r="G200" s="31"/>
      <c r="H200" s="31"/>
    </row>
    <row r="201" ht="15.75" customHeight="1">
      <c r="A201" s="31"/>
      <c r="B201" s="31"/>
      <c r="C201" s="31"/>
      <c r="D201" s="31"/>
      <c r="E201" s="31"/>
      <c r="F201" s="31"/>
      <c r="G201" s="31"/>
      <c r="H201" s="31"/>
    </row>
    <row r="202" ht="15.75" customHeight="1">
      <c r="A202" s="31"/>
      <c r="B202" s="31"/>
      <c r="C202" s="31"/>
      <c r="D202" s="31"/>
      <c r="E202" s="31"/>
      <c r="F202" s="31"/>
      <c r="G202" s="31"/>
      <c r="H202" s="31"/>
    </row>
    <row r="203" ht="15.75" customHeight="1">
      <c r="A203" s="31"/>
      <c r="B203" s="31"/>
      <c r="C203" s="31"/>
      <c r="D203" s="31"/>
      <c r="E203" s="31"/>
      <c r="F203" s="31"/>
      <c r="G203" s="31"/>
      <c r="H203" s="31"/>
    </row>
    <row r="204" ht="15.75" customHeight="1">
      <c r="A204" s="31"/>
      <c r="B204" s="31"/>
      <c r="C204" s="31"/>
      <c r="D204" s="31"/>
      <c r="E204" s="31"/>
      <c r="F204" s="31"/>
      <c r="G204" s="31"/>
      <c r="H204" s="31"/>
    </row>
    <row r="205" ht="15.75" customHeight="1">
      <c r="A205" s="31"/>
      <c r="B205" s="31"/>
      <c r="C205" s="31"/>
      <c r="D205" s="31"/>
      <c r="E205" s="31"/>
      <c r="F205" s="31"/>
      <c r="G205" s="31"/>
      <c r="H205" s="31"/>
    </row>
    <row r="206" ht="15.75" customHeight="1">
      <c r="A206" s="31"/>
      <c r="B206" s="31"/>
      <c r="C206" s="31"/>
      <c r="D206" s="31"/>
      <c r="E206" s="31"/>
      <c r="F206" s="31"/>
      <c r="G206" s="31"/>
      <c r="H206" s="31"/>
    </row>
    <row r="207" ht="15.75" customHeight="1">
      <c r="A207" s="31"/>
      <c r="B207" s="31"/>
      <c r="C207" s="31"/>
      <c r="D207" s="31"/>
      <c r="E207" s="31"/>
      <c r="F207" s="31"/>
      <c r="G207" s="31"/>
      <c r="H207" s="31"/>
    </row>
    <row r="208" ht="15.75" customHeight="1">
      <c r="A208" s="31"/>
      <c r="B208" s="31"/>
      <c r="C208" s="31"/>
      <c r="D208" s="31"/>
      <c r="E208" s="31"/>
      <c r="F208" s="31"/>
      <c r="G208" s="31"/>
      <c r="H208" s="31"/>
    </row>
    <row r="209" ht="15.75" customHeight="1">
      <c r="A209" s="31"/>
      <c r="B209" s="31"/>
      <c r="C209" s="31"/>
      <c r="D209" s="31"/>
      <c r="E209" s="31"/>
      <c r="F209" s="31"/>
      <c r="G209" s="31"/>
      <c r="H209" s="31"/>
    </row>
    <row r="210" ht="15.75" customHeight="1">
      <c r="A210" s="31"/>
      <c r="B210" s="31"/>
      <c r="C210" s="31"/>
      <c r="D210" s="31"/>
      <c r="E210" s="31"/>
      <c r="F210" s="31"/>
      <c r="G210" s="31"/>
      <c r="H210" s="31"/>
    </row>
    <row r="211" ht="15.75" customHeight="1">
      <c r="A211" s="31"/>
      <c r="B211" s="31"/>
      <c r="C211" s="31"/>
      <c r="D211" s="31"/>
      <c r="E211" s="31"/>
      <c r="F211" s="31"/>
      <c r="G211" s="31"/>
      <c r="H211" s="31"/>
    </row>
    <row r="212" ht="15.75" customHeight="1">
      <c r="A212" s="31"/>
      <c r="B212" s="31"/>
      <c r="C212" s="31"/>
      <c r="D212" s="31"/>
      <c r="E212" s="31"/>
      <c r="F212" s="31"/>
      <c r="G212" s="31"/>
      <c r="H212" s="31"/>
    </row>
    <row r="213" ht="15.75" customHeight="1">
      <c r="A213" s="31"/>
      <c r="B213" s="31"/>
      <c r="C213" s="31"/>
      <c r="D213" s="31"/>
      <c r="E213" s="31"/>
      <c r="F213" s="31"/>
      <c r="G213" s="31"/>
      <c r="H213" s="31"/>
    </row>
    <row r="214" ht="15.75" customHeight="1">
      <c r="A214" s="31"/>
      <c r="B214" s="31"/>
      <c r="C214" s="31"/>
      <c r="D214" s="31"/>
      <c r="E214" s="31"/>
      <c r="F214" s="31"/>
      <c r="G214" s="31"/>
      <c r="H214" s="31"/>
    </row>
    <row r="215" ht="15.75" customHeight="1">
      <c r="A215" s="31"/>
      <c r="B215" s="31"/>
      <c r="C215" s="31"/>
      <c r="D215" s="31"/>
      <c r="E215" s="31"/>
      <c r="F215" s="31"/>
      <c r="G215" s="31"/>
      <c r="H215" s="31"/>
    </row>
    <row r="216" ht="15.75" customHeight="1">
      <c r="A216" s="31"/>
      <c r="B216" s="31"/>
      <c r="C216" s="31"/>
      <c r="D216" s="31"/>
      <c r="E216" s="31"/>
      <c r="F216" s="31"/>
      <c r="G216" s="31"/>
      <c r="H216" s="31"/>
    </row>
    <row r="217" ht="15.75" customHeight="1">
      <c r="A217" s="31"/>
      <c r="B217" s="31"/>
      <c r="C217" s="31"/>
      <c r="D217" s="31"/>
      <c r="E217" s="31"/>
      <c r="F217" s="31"/>
      <c r="G217" s="31"/>
      <c r="H217" s="31"/>
    </row>
    <row r="218" ht="15.75" customHeight="1">
      <c r="A218" s="31"/>
      <c r="B218" s="31"/>
      <c r="C218" s="31"/>
      <c r="D218" s="31"/>
      <c r="E218" s="31"/>
      <c r="F218" s="31"/>
      <c r="G218" s="31"/>
      <c r="H218" s="31"/>
    </row>
    <row r="219" ht="15.75" customHeight="1">
      <c r="A219" s="31"/>
      <c r="B219" s="31"/>
      <c r="C219" s="31"/>
      <c r="D219" s="31"/>
      <c r="E219" s="31"/>
      <c r="F219" s="31"/>
      <c r="G219" s="31"/>
      <c r="H219" s="31"/>
    </row>
    <row r="220" ht="15.75" customHeight="1">
      <c r="A220" s="31"/>
      <c r="B220" s="31"/>
      <c r="C220" s="31"/>
      <c r="D220" s="31"/>
      <c r="E220" s="31"/>
      <c r="F220" s="31"/>
      <c r="G220" s="31"/>
      <c r="H220" s="31"/>
    </row>
    <row r="221" ht="15.75" customHeight="1">
      <c r="A221" s="31"/>
      <c r="B221" s="31"/>
      <c r="C221" s="31"/>
      <c r="D221" s="31"/>
      <c r="E221" s="31"/>
      <c r="F221" s="31"/>
      <c r="G221" s="31"/>
      <c r="H221" s="31"/>
    </row>
    <row r="222" ht="15.75" customHeight="1">
      <c r="A222" s="31"/>
      <c r="B222" s="31"/>
      <c r="C222" s="31"/>
      <c r="D222" s="31"/>
      <c r="E222" s="31"/>
      <c r="F222" s="31"/>
      <c r="G222" s="31"/>
      <c r="H222" s="31"/>
    </row>
    <row r="223" ht="15.75" customHeight="1">
      <c r="A223" s="31"/>
      <c r="B223" s="31"/>
      <c r="C223" s="31"/>
      <c r="D223" s="31"/>
      <c r="E223" s="31"/>
      <c r="F223" s="31"/>
      <c r="G223" s="31"/>
      <c r="H223" s="31"/>
    </row>
    <row r="224" ht="15.75" customHeight="1">
      <c r="A224" s="31"/>
      <c r="B224" s="31"/>
      <c r="C224" s="31"/>
      <c r="D224" s="31"/>
      <c r="E224" s="31"/>
      <c r="F224" s="31"/>
      <c r="G224" s="31"/>
      <c r="H224" s="31"/>
    </row>
    <row r="225" ht="15.75" customHeight="1">
      <c r="A225" s="31"/>
      <c r="B225" s="31"/>
      <c r="C225" s="31"/>
      <c r="D225" s="31"/>
      <c r="E225" s="31"/>
      <c r="F225" s="31"/>
      <c r="G225" s="31"/>
      <c r="H225" s="31"/>
    </row>
    <row r="226" ht="15.75" customHeight="1">
      <c r="A226" s="31"/>
      <c r="B226" s="31"/>
      <c r="C226" s="31"/>
      <c r="D226" s="31"/>
      <c r="E226" s="31"/>
      <c r="F226" s="31"/>
      <c r="G226" s="31"/>
      <c r="H226" s="31"/>
    </row>
    <row r="227" ht="15.75" customHeight="1">
      <c r="A227" s="31"/>
      <c r="B227" s="31"/>
      <c r="C227" s="31"/>
      <c r="D227" s="31"/>
      <c r="E227" s="31"/>
      <c r="F227" s="31"/>
      <c r="G227" s="31"/>
      <c r="H227" s="31"/>
    </row>
    <row r="228" ht="15.75" customHeight="1">
      <c r="A228" s="31"/>
      <c r="B228" s="31"/>
      <c r="C228" s="31"/>
      <c r="D228" s="31"/>
      <c r="E228" s="31"/>
      <c r="F228" s="31"/>
      <c r="G228" s="31"/>
      <c r="H228" s="31"/>
    </row>
    <row r="229" ht="15.75" customHeight="1">
      <c r="A229" s="31"/>
      <c r="B229" s="31"/>
      <c r="C229" s="31"/>
      <c r="D229" s="31"/>
      <c r="E229" s="31"/>
      <c r="F229" s="31"/>
      <c r="G229" s="31"/>
      <c r="H229" s="31"/>
    </row>
    <row r="230" ht="15.75" customHeight="1">
      <c r="A230" s="31"/>
      <c r="B230" s="31"/>
      <c r="C230" s="31"/>
      <c r="D230" s="31"/>
      <c r="E230" s="31"/>
      <c r="F230" s="31"/>
      <c r="G230" s="31"/>
      <c r="H230" s="31"/>
    </row>
    <row r="231" ht="15.75" customHeight="1">
      <c r="A231" s="31"/>
      <c r="B231" s="31"/>
      <c r="C231" s="31"/>
      <c r="D231" s="31"/>
      <c r="E231" s="31"/>
      <c r="F231" s="31"/>
      <c r="G231" s="31"/>
      <c r="H231" s="31"/>
    </row>
    <row r="232" ht="15.75" customHeight="1">
      <c r="A232" s="31"/>
      <c r="B232" s="31"/>
      <c r="C232" s="31"/>
      <c r="D232" s="31"/>
      <c r="E232" s="31"/>
      <c r="F232" s="31"/>
      <c r="G232" s="31"/>
      <c r="H232" s="31"/>
    </row>
    <row r="233" ht="15.75" customHeight="1">
      <c r="A233" s="31"/>
      <c r="B233" s="31"/>
      <c r="C233" s="31"/>
      <c r="D233" s="31"/>
      <c r="E233" s="31"/>
      <c r="F233" s="31"/>
      <c r="G233" s="31"/>
      <c r="H233" s="31"/>
    </row>
    <row r="234" ht="15.75" customHeight="1">
      <c r="A234" s="31"/>
      <c r="B234" s="31"/>
      <c r="C234" s="31"/>
      <c r="D234" s="31"/>
      <c r="E234" s="31"/>
      <c r="F234" s="31"/>
      <c r="G234" s="31"/>
      <c r="H234" s="31"/>
    </row>
    <row r="235" ht="15.75" customHeight="1">
      <c r="A235" s="31"/>
      <c r="B235" s="31"/>
      <c r="C235" s="31"/>
      <c r="D235" s="31"/>
      <c r="E235" s="31"/>
      <c r="F235" s="31"/>
      <c r="G235" s="31"/>
      <c r="H235" s="31"/>
    </row>
    <row r="236" ht="15.75" customHeight="1">
      <c r="A236" s="31"/>
      <c r="B236" s="31"/>
      <c r="C236" s="31"/>
      <c r="D236" s="31"/>
      <c r="E236" s="31"/>
      <c r="F236" s="31"/>
      <c r="G236" s="31"/>
      <c r="H236" s="31"/>
    </row>
    <row r="237" ht="15.75" customHeight="1">
      <c r="A237" s="31"/>
      <c r="B237" s="31"/>
      <c r="C237" s="31"/>
      <c r="D237" s="31"/>
      <c r="E237" s="31"/>
      <c r="F237" s="31"/>
      <c r="G237" s="31"/>
      <c r="H237" s="31"/>
    </row>
    <row r="238" ht="15.75" customHeight="1">
      <c r="A238" s="31"/>
      <c r="B238" s="31"/>
      <c r="C238" s="31"/>
      <c r="D238" s="31"/>
      <c r="E238" s="31"/>
      <c r="F238" s="31"/>
      <c r="G238" s="31"/>
      <c r="H238" s="31"/>
    </row>
    <row r="239" ht="15.75" customHeight="1">
      <c r="A239" s="31"/>
      <c r="B239" s="31"/>
      <c r="C239" s="31"/>
      <c r="D239" s="31"/>
      <c r="E239" s="31"/>
      <c r="F239" s="31"/>
      <c r="G239" s="31"/>
      <c r="H239" s="31"/>
    </row>
    <row r="240" ht="15.75" customHeight="1">
      <c r="A240" s="31"/>
      <c r="B240" s="31"/>
      <c r="C240" s="31"/>
      <c r="D240" s="31"/>
      <c r="E240" s="31"/>
      <c r="F240" s="31"/>
      <c r="G240" s="31"/>
      <c r="H240" s="31"/>
    </row>
    <row r="241" ht="15.75" customHeight="1">
      <c r="A241" s="31"/>
      <c r="B241" s="31"/>
      <c r="C241" s="31"/>
      <c r="D241" s="31"/>
      <c r="E241" s="31"/>
      <c r="F241" s="31"/>
      <c r="G241" s="31"/>
      <c r="H241" s="31"/>
    </row>
    <row r="242" ht="15.75" customHeight="1">
      <c r="A242" s="31"/>
      <c r="B242" s="31"/>
      <c r="C242" s="31"/>
      <c r="D242" s="31"/>
      <c r="E242" s="31"/>
      <c r="F242" s="31"/>
      <c r="G242" s="31"/>
      <c r="H242" s="31"/>
    </row>
    <row r="243" ht="15.75" customHeight="1">
      <c r="A243" s="31"/>
      <c r="B243" s="31"/>
      <c r="C243" s="31"/>
      <c r="D243" s="31"/>
      <c r="E243" s="31"/>
      <c r="F243" s="31"/>
      <c r="G243" s="31"/>
      <c r="H243" s="31"/>
    </row>
    <row r="244" ht="15.75" customHeight="1">
      <c r="A244" s="31"/>
      <c r="B244" s="31"/>
      <c r="C244" s="31"/>
      <c r="D244" s="31"/>
      <c r="E244" s="31"/>
      <c r="F244" s="31"/>
      <c r="G244" s="31"/>
      <c r="H244" s="31"/>
    </row>
    <row r="245" ht="15.75" customHeight="1">
      <c r="A245" s="31"/>
      <c r="B245" s="31"/>
      <c r="C245" s="31"/>
      <c r="D245" s="31"/>
      <c r="E245" s="31"/>
      <c r="F245" s="31"/>
      <c r="G245" s="31"/>
      <c r="H245" s="31"/>
    </row>
    <row r="246" ht="15.75" customHeight="1">
      <c r="A246" s="31"/>
      <c r="B246" s="31"/>
      <c r="C246" s="31"/>
      <c r="D246" s="31"/>
      <c r="E246" s="31"/>
      <c r="F246" s="31"/>
      <c r="G246" s="31"/>
      <c r="H246" s="31"/>
    </row>
    <row r="247" ht="15.75" customHeight="1">
      <c r="A247" s="31"/>
      <c r="B247" s="31"/>
      <c r="C247" s="31"/>
      <c r="D247" s="31"/>
      <c r="E247" s="31"/>
      <c r="F247" s="31"/>
      <c r="G247" s="31"/>
      <c r="H247" s="31"/>
    </row>
    <row r="248" ht="15.75" customHeight="1">
      <c r="A248" s="31"/>
      <c r="B248" s="31"/>
      <c r="C248" s="31"/>
      <c r="D248" s="31"/>
      <c r="E248" s="31"/>
      <c r="F248" s="31"/>
      <c r="G248" s="31"/>
      <c r="H248" s="31"/>
    </row>
    <row r="249" ht="15.75" customHeight="1">
      <c r="A249" s="31"/>
      <c r="B249" s="31"/>
      <c r="C249" s="31"/>
      <c r="D249" s="31"/>
      <c r="E249" s="31"/>
      <c r="F249" s="31"/>
      <c r="G249" s="31"/>
      <c r="H249" s="31"/>
    </row>
    <row r="250" ht="15.75" customHeight="1">
      <c r="A250" s="31"/>
      <c r="B250" s="31"/>
      <c r="C250" s="31"/>
      <c r="D250" s="31"/>
      <c r="E250" s="31"/>
      <c r="F250" s="31"/>
      <c r="G250" s="31"/>
      <c r="H250" s="31"/>
    </row>
    <row r="251" ht="15.75" customHeight="1">
      <c r="A251" s="31"/>
      <c r="B251" s="31"/>
      <c r="C251" s="31"/>
      <c r="D251" s="31"/>
      <c r="E251" s="31"/>
      <c r="F251" s="31"/>
      <c r="G251" s="31"/>
      <c r="H251" s="31"/>
    </row>
    <row r="252" ht="15.75" customHeight="1">
      <c r="A252" s="31"/>
      <c r="B252" s="31"/>
      <c r="C252" s="31"/>
      <c r="D252" s="31"/>
      <c r="E252" s="31"/>
      <c r="F252" s="31"/>
      <c r="G252" s="31"/>
      <c r="H252" s="31"/>
    </row>
    <row r="253" ht="15.75" customHeight="1">
      <c r="A253" s="31"/>
      <c r="B253" s="31"/>
      <c r="C253" s="31"/>
      <c r="D253" s="31"/>
      <c r="E253" s="31"/>
      <c r="F253" s="31"/>
      <c r="G253" s="31"/>
      <c r="H253" s="31"/>
    </row>
    <row r="254" ht="15.75" customHeight="1">
      <c r="A254" s="31"/>
      <c r="B254" s="31"/>
      <c r="C254" s="31"/>
      <c r="D254" s="31"/>
      <c r="E254" s="31"/>
      <c r="F254" s="31"/>
      <c r="G254" s="31"/>
      <c r="H254" s="31"/>
    </row>
    <row r="255" ht="15.75" customHeight="1">
      <c r="A255" s="31"/>
      <c r="B255" s="31"/>
      <c r="C255" s="31"/>
      <c r="D255" s="31"/>
      <c r="E255" s="31"/>
      <c r="F255" s="31"/>
      <c r="G255" s="31"/>
      <c r="H255" s="31"/>
    </row>
    <row r="256" ht="15.75" customHeight="1">
      <c r="A256" s="31"/>
      <c r="B256" s="31"/>
      <c r="C256" s="31"/>
      <c r="D256" s="31"/>
      <c r="E256" s="31"/>
      <c r="F256" s="31"/>
      <c r="G256" s="31"/>
      <c r="H256" s="31"/>
    </row>
    <row r="257" ht="15.75" customHeight="1">
      <c r="A257" s="31"/>
      <c r="B257" s="31"/>
      <c r="C257" s="31"/>
      <c r="D257" s="31"/>
      <c r="E257" s="31"/>
      <c r="F257" s="31"/>
      <c r="G257" s="31"/>
      <c r="H257" s="31"/>
    </row>
    <row r="258" ht="15.75" customHeight="1">
      <c r="A258" s="31"/>
      <c r="B258" s="31"/>
      <c r="C258" s="31"/>
      <c r="D258" s="31"/>
      <c r="E258" s="31"/>
      <c r="F258" s="31"/>
      <c r="G258" s="31"/>
      <c r="H258" s="31"/>
    </row>
    <row r="259" ht="15.75" customHeight="1">
      <c r="A259" s="31"/>
      <c r="B259" s="31"/>
      <c r="C259" s="31"/>
      <c r="D259" s="31"/>
      <c r="E259" s="31"/>
      <c r="F259" s="31"/>
      <c r="G259" s="31"/>
      <c r="H259" s="31"/>
    </row>
    <row r="260" ht="15.75" customHeight="1">
      <c r="A260" s="31"/>
      <c r="B260" s="31"/>
      <c r="C260" s="31"/>
      <c r="D260" s="31"/>
      <c r="E260" s="31"/>
      <c r="F260" s="31"/>
      <c r="G260" s="31"/>
      <c r="H260" s="31"/>
    </row>
    <row r="261" ht="15.75" customHeight="1">
      <c r="A261" s="31"/>
      <c r="B261" s="31"/>
      <c r="C261" s="31"/>
      <c r="D261" s="31"/>
      <c r="E261" s="31"/>
      <c r="F261" s="31"/>
      <c r="G261" s="31"/>
      <c r="H261" s="31"/>
    </row>
    <row r="262" ht="15.75" customHeight="1">
      <c r="A262" s="31"/>
      <c r="B262" s="31"/>
      <c r="C262" s="31"/>
      <c r="D262" s="31"/>
      <c r="E262" s="31"/>
      <c r="F262" s="31"/>
      <c r="G262" s="31"/>
      <c r="H262" s="31"/>
    </row>
    <row r="263" ht="15.75" customHeight="1">
      <c r="A263" s="31"/>
      <c r="B263" s="31"/>
      <c r="C263" s="31"/>
      <c r="D263" s="31"/>
      <c r="E263" s="31"/>
      <c r="F263" s="31"/>
      <c r="G263" s="31"/>
      <c r="H263" s="31"/>
    </row>
    <row r="264" ht="15.75" customHeight="1">
      <c r="A264" s="31"/>
      <c r="B264" s="31"/>
      <c r="C264" s="31"/>
      <c r="D264" s="31"/>
      <c r="E264" s="31"/>
      <c r="F264" s="31"/>
      <c r="G264" s="31"/>
      <c r="H264" s="31"/>
    </row>
    <row r="265" ht="15.75" customHeight="1">
      <c r="A265" s="31"/>
      <c r="B265" s="31"/>
      <c r="C265" s="31"/>
      <c r="D265" s="31"/>
      <c r="E265" s="31"/>
      <c r="F265" s="31"/>
      <c r="G265" s="31"/>
      <c r="H265" s="31"/>
    </row>
    <row r="266" ht="15.75" customHeight="1">
      <c r="A266" s="31"/>
      <c r="B266" s="31"/>
      <c r="C266" s="31"/>
      <c r="D266" s="31"/>
      <c r="E266" s="31"/>
      <c r="F266" s="31"/>
      <c r="G266" s="31"/>
      <c r="H266" s="31"/>
    </row>
    <row r="267" ht="15.75" customHeight="1">
      <c r="A267" s="31"/>
      <c r="B267" s="31"/>
      <c r="C267" s="31"/>
      <c r="D267" s="31"/>
      <c r="E267" s="31"/>
      <c r="F267" s="31"/>
      <c r="G267" s="31"/>
      <c r="H267" s="31"/>
    </row>
    <row r="268" ht="15.75" customHeight="1">
      <c r="A268" s="31"/>
      <c r="B268" s="31"/>
      <c r="C268" s="31"/>
      <c r="D268" s="31"/>
      <c r="E268" s="31"/>
      <c r="F268" s="31"/>
      <c r="G268" s="31"/>
      <c r="H268" s="31"/>
    </row>
    <row r="269" ht="15.75" customHeight="1">
      <c r="A269" s="31"/>
      <c r="B269" s="31"/>
      <c r="C269" s="31"/>
      <c r="D269" s="31"/>
      <c r="E269" s="31"/>
      <c r="F269" s="31"/>
      <c r="G269" s="31"/>
      <c r="H269" s="31"/>
    </row>
    <row r="270" ht="15.75" customHeight="1">
      <c r="A270" s="31"/>
      <c r="B270" s="31"/>
      <c r="C270" s="31"/>
      <c r="D270" s="31"/>
      <c r="E270" s="31"/>
      <c r="F270" s="31"/>
      <c r="G270" s="31"/>
      <c r="H270" s="31"/>
    </row>
    <row r="271" ht="15.75" customHeight="1">
      <c r="A271" s="31"/>
      <c r="B271" s="31"/>
      <c r="C271" s="31"/>
      <c r="D271" s="31"/>
      <c r="E271" s="31"/>
      <c r="F271" s="31"/>
      <c r="G271" s="31"/>
      <c r="H271" s="31"/>
    </row>
    <row r="272" ht="15.75" customHeight="1">
      <c r="A272" s="31"/>
      <c r="B272" s="31"/>
      <c r="C272" s="31"/>
      <c r="D272" s="31"/>
      <c r="E272" s="31"/>
      <c r="F272" s="31"/>
      <c r="G272" s="31"/>
      <c r="H272" s="31"/>
    </row>
    <row r="273" ht="15.75" customHeight="1">
      <c r="A273" s="31"/>
      <c r="B273" s="31"/>
      <c r="C273" s="31"/>
      <c r="D273" s="31"/>
      <c r="E273" s="31"/>
      <c r="F273" s="31"/>
      <c r="G273" s="31"/>
      <c r="H273" s="31"/>
    </row>
    <row r="274" ht="15.75" customHeight="1">
      <c r="A274" s="31"/>
      <c r="B274" s="31"/>
      <c r="C274" s="31"/>
      <c r="D274" s="31"/>
      <c r="E274" s="31"/>
      <c r="F274" s="31"/>
      <c r="G274" s="31"/>
      <c r="H274" s="31"/>
    </row>
    <row r="275" ht="15.75" customHeight="1">
      <c r="A275" s="31"/>
      <c r="B275" s="31"/>
      <c r="C275" s="31"/>
      <c r="D275" s="31"/>
      <c r="E275" s="31"/>
      <c r="F275" s="31"/>
      <c r="G275" s="31"/>
      <c r="H275" s="31"/>
    </row>
    <row r="276" ht="15.75" customHeight="1">
      <c r="A276" s="31"/>
      <c r="B276" s="31"/>
      <c r="C276" s="31"/>
      <c r="D276" s="31"/>
      <c r="E276" s="31"/>
      <c r="F276" s="31"/>
      <c r="G276" s="31"/>
      <c r="H276" s="31"/>
    </row>
    <row r="277" ht="15.75" customHeight="1">
      <c r="A277" s="31"/>
      <c r="B277" s="31"/>
      <c r="C277" s="31"/>
      <c r="D277" s="31"/>
      <c r="E277" s="31"/>
      <c r="F277" s="31"/>
      <c r="G277" s="31"/>
      <c r="H277" s="31"/>
    </row>
    <row r="278" ht="15.75" customHeight="1">
      <c r="A278" s="31"/>
      <c r="B278" s="31"/>
      <c r="C278" s="31"/>
      <c r="D278" s="31"/>
      <c r="E278" s="31"/>
      <c r="F278" s="31"/>
      <c r="G278" s="31"/>
      <c r="H278" s="31"/>
    </row>
    <row r="279" ht="15.75" customHeight="1">
      <c r="A279" s="31"/>
      <c r="B279" s="31"/>
      <c r="C279" s="31"/>
      <c r="D279" s="31"/>
      <c r="E279" s="31"/>
      <c r="F279" s="31"/>
      <c r="G279" s="31"/>
      <c r="H279" s="31"/>
    </row>
    <row r="280" ht="15.75" customHeight="1">
      <c r="A280" s="31"/>
      <c r="B280" s="31"/>
      <c r="C280" s="31"/>
      <c r="D280" s="31"/>
      <c r="E280" s="31"/>
      <c r="F280" s="31"/>
      <c r="G280" s="31"/>
      <c r="H280" s="31"/>
    </row>
    <row r="281" ht="15.75" customHeight="1">
      <c r="A281" s="31"/>
      <c r="B281" s="31"/>
      <c r="C281" s="31"/>
      <c r="D281" s="31"/>
      <c r="E281" s="31"/>
      <c r="F281" s="31"/>
      <c r="G281" s="31"/>
      <c r="H281" s="31"/>
    </row>
    <row r="282" ht="15.75" customHeight="1">
      <c r="A282" s="31"/>
      <c r="B282" s="31"/>
      <c r="C282" s="31"/>
      <c r="D282" s="31"/>
      <c r="E282" s="31"/>
      <c r="F282" s="31"/>
      <c r="G282" s="31"/>
      <c r="H282" s="31"/>
    </row>
    <row r="283" ht="15.75" customHeight="1">
      <c r="A283" s="31"/>
      <c r="B283" s="31"/>
      <c r="C283" s="31"/>
      <c r="D283" s="31"/>
      <c r="E283" s="31"/>
      <c r="F283" s="31"/>
      <c r="G283" s="31"/>
      <c r="H283" s="31"/>
    </row>
    <row r="284" ht="15.75" customHeight="1">
      <c r="A284" s="31"/>
      <c r="B284" s="31"/>
      <c r="C284" s="31"/>
      <c r="D284" s="31"/>
      <c r="E284" s="31"/>
      <c r="F284" s="31"/>
      <c r="G284" s="31"/>
      <c r="H284" s="31"/>
    </row>
    <row r="285" ht="15.75" customHeight="1">
      <c r="A285" s="31"/>
      <c r="B285" s="31"/>
      <c r="C285" s="31"/>
      <c r="D285" s="31"/>
      <c r="E285" s="31"/>
      <c r="F285" s="31"/>
      <c r="G285" s="31"/>
      <c r="H285" s="31"/>
    </row>
    <row r="286" ht="15.75" customHeight="1">
      <c r="A286" s="31"/>
      <c r="B286" s="31"/>
      <c r="C286" s="31"/>
      <c r="D286" s="31"/>
      <c r="E286" s="31"/>
      <c r="F286" s="31"/>
      <c r="G286" s="31"/>
      <c r="H286" s="31"/>
    </row>
    <row r="287" ht="15.75" customHeight="1">
      <c r="A287" s="31"/>
      <c r="B287" s="31"/>
      <c r="C287" s="31"/>
      <c r="D287" s="31"/>
      <c r="E287" s="31"/>
      <c r="F287" s="31"/>
      <c r="G287" s="31"/>
      <c r="H287" s="31"/>
    </row>
    <row r="288" ht="15.75" customHeight="1">
      <c r="A288" s="31"/>
      <c r="B288" s="31"/>
      <c r="C288" s="31"/>
      <c r="D288" s="31"/>
      <c r="E288" s="31"/>
      <c r="F288" s="31"/>
      <c r="G288" s="31"/>
      <c r="H288" s="31"/>
    </row>
    <row r="289" ht="15.75" customHeight="1">
      <c r="A289" s="31"/>
      <c r="B289" s="31"/>
      <c r="C289" s="31"/>
      <c r="D289" s="31"/>
      <c r="E289" s="31"/>
      <c r="F289" s="31"/>
      <c r="G289" s="31"/>
      <c r="H289" s="31"/>
    </row>
    <row r="290" ht="15.75" customHeight="1">
      <c r="A290" s="31"/>
      <c r="B290" s="31"/>
      <c r="C290" s="31"/>
      <c r="D290" s="31"/>
      <c r="E290" s="31"/>
      <c r="F290" s="31"/>
      <c r="G290" s="31"/>
      <c r="H290" s="31"/>
    </row>
    <row r="291" ht="15.75" customHeight="1">
      <c r="A291" s="31"/>
      <c r="B291" s="31"/>
      <c r="C291" s="31"/>
      <c r="D291" s="31"/>
      <c r="E291" s="31"/>
      <c r="F291" s="31"/>
      <c r="G291" s="31"/>
      <c r="H291" s="31"/>
    </row>
    <row r="292" ht="15.75" customHeight="1">
      <c r="A292" s="31"/>
      <c r="B292" s="31"/>
      <c r="C292" s="31"/>
      <c r="D292" s="31"/>
      <c r="E292" s="31"/>
      <c r="F292" s="31"/>
      <c r="G292" s="31"/>
      <c r="H292" s="31"/>
    </row>
    <row r="293" ht="15.75" customHeight="1">
      <c r="A293" s="31"/>
      <c r="B293" s="31"/>
      <c r="C293" s="31"/>
      <c r="D293" s="31"/>
      <c r="E293" s="31"/>
      <c r="F293" s="31"/>
      <c r="G293" s="31"/>
      <c r="H293" s="31"/>
    </row>
    <row r="294" ht="15.75" customHeight="1">
      <c r="A294" s="31"/>
      <c r="B294" s="31"/>
      <c r="C294" s="31"/>
      <c r="D294" s="31"/>
      <c r="E294" s="31"/>
      <c r="F294" s="31"/>
      <c r="G294" s="31"/>
      <c r="H294" s="31"/>
    </row>
    <row r="295" ht="15.75" customHeight="1">
      <c r="A295" s="31"/>
      <c r="B295" s="31"/>
      <c r="C295" s="31"/>
      <c r="D295" s="31"/>
      <c r="E295" s="31"/>
      <c r="F295" s="31"/>
      <c r="G295" s="31"/>
      <c r="H295" s="31"/>
    </row>
    <row r="296" ht="15.75" customHeight="1">
      <c r="A296" s="31"/>
      <c r="B296" s="31"/>
      <c r="C296" s="31"/>
      <c r="D296" s="31"/>
      <c r="E296" s="31"/>
      <c r="F296" s="31"/>
      <c r="G296" s="31"/>
      <c r="H296" s="31"/>
    </row>
    <row r="297" ht="15.75" customHeight="1">
      <c r="A297" s="31"/>
      <c r="B297" s="31"/>
      <c r="C297" s="31"/>
      <c r="D297" s="31"/>
      <c r="E297" s="31"/>
      <c r="F297" s="31"/>
      <c r="G297" s="31"/>
      <c r="H297" s="31"/>
    </row>
    <row r="298" ht="15.75" customHeight="1">
      <c r="A298" s="31"/>
      <c r="B298" s="31"/>
      <c r="C298" s="31"/>
      <c r="D298" s="31"/>
      <c r="E298" s="31"/>
      <c r="F298" s="31"/>
      <c r="G298" s="31"/>
      <c r="H298" s="31"/>
    </row>
    <row r="299" ht="15.75" customHeight="1">
      <c r="A299" s="31"/>
      <c r="B299" s="31"/>
      <c r="C299" s="31"/>
      <c r="D299" s="31"/>
      <c r="E299" s="31"/>
      <c r="F299" s="31"/>
      <c r="G299" s="31"/>
      <c r="H299" s="31"/>
    </row>
    <row r="300" ht="15.75" customHeight="1">
      <c r="A300" s="31"/>
      <c r="B300" s="31"/>
      <c r="C300" s="31"/>
      <c r="D300" s="31"/>
      <c r="E300" s="31"/>
      <c r="F300" s="31"/>
      <c r="G300" s="31"/>
      <c r="H300" s="31"/>
    </row>
    <row r="301" ht="15.75" customHeight="1">
      <c r="A301" s="31"/>
      <c r="B301" s="31"/>
      <c r="C301" s="31"/>
      <c r="D301" s="31"/>
      <c r="E301" s="31"/>
      <c r="F301" s="31"/>
      <c r="G301" s="31"/>
      <c r="H301" s="31"/>
    </row>
    <row r="302" ht="15.75" customHeight="1">
      <c r="A302" s="31"/>
      <c r="B302" s="31"/>
      <c r="C302" s="31"/>
      <c r="D302" s="31"/>
      <c r="E302" s="31"/>
      <c r="F302" s="31"/>
      <c r="G302" s="31"/>
      <c r="H302" s="31"/>
    </row>
    <row r="303" ht="15.75" customHeight="1">
      <c r="A303" s="31"/>
      <c r="B303" s="31"/>
      <c r="C303" s="31"/>
      <c r="D303" s="31"/>
      <c r="E303" s="31"/>
      <c r="F303" s="31"/>
      <c r="G303" s="31"/>
      <c r="H303" s="31"/>
    </row>
    <row r="304" ht="15.75" customHeight="1">
      <c r="A304" s="31"/>
      <c r="B304" s="31"/>
      <c r="C304" s="31"/>
      <c r="D304" s="31"/>
      <c r="E304" s="31"/>
      <c r="F304" s="31"/>
      <c r="G304" s="31"/>
      <c r="H304" s="31"/>
    </row>
    <row r="305" ht="15.75" customHeight="1">
      <c r="A305" s="31"/>
      <c r="B305" s="31"/>
      <c r="C305" s="31"/>
      <c r="D305" s="31"/>
      <c r="E305" s="31"/>
      <c r="F305" s="31"/>
      <c r="G305" s="31"/>
      <c r="H305" s="31"/>
    </row>
    <row r="306" ht="15.75" customHeight="1">
      <c r="A306" s="31"/>
      <c r="B306" s="31"/>
      <c r="C306" s="31"/>
      <c r="D306" s="31"/>
      <c r="E306" s="31"/>
      <c r="F306" s="31"/>
      <c r="G306" s="31"/>
      <c r="H306" s="31"/>
    </row>
    <row r="307" ht="15.75" customHeight="1">
      <c r="A307" s="31"/>
      <c r="B307" s="31"/>
      <c r="C307" s="31"/>
      <c r="D307" s="31"/>
      <c r="E307" s="31"/>
      <c r="F307" s="31"/>
      <c r="G307" s="31"/>
      <c r="H307" s="31"/>
    </row>
    <row r="308" ht="15.75" customHeight="1">
      <c r="A308" s="31"/>
      <c r="B308" s="31"/>
      <c r="C308" s="31"/>
      <c r="D308" s="31"/>
      <c r="E308" s="31"/>
      <c r="F308" s="31"/>
      <c r="G308" s="31"/>
      <c r="H308" s="31"/>
    </row>
    <row r="309" ht="15.75" customHeight="1">
      <c r="A309" s="31"/>
      <c r="B309" s="31"/>
      <c r="C309" s="31"/>
      <c r="D309" s="31"/>
      <c r="E309" s="31"/>
      <c r="F309" s="31"/>
      <c r="G309" s="31"/>
      <c r="H309" s="31"/>
    </row>
    <row r="310" ht="15.75" customHeight="1">
      <c r="A310" s="31"/>
      <c r="B310" s="31"/>
      <c r="C310" s="31"/>
      <c r="D310" s="31"/>
      <c r="E310" s="31"/>
      <c r="F310" s="31"/>
      <c r="G310" s="31"/>
      <c r="H310" s="31"/>
    </row>
    <row r="311" ht="15.75" customHeight="1">
      <c r="A311" s="31"/>
      <c r="B311" s="31"/>
      <c r="C311" s="31"/>
      <c r="D311" s="31"/>
      <c r="E311" s="31"/>
      <c r="F311" s="31"/>
      <c r="G311" s="31"/>
      <c r="H311" s="31"/>
    </row>
    <row r="312" ht="15.75" customHeight="1">
      <c r="A312" s="31"/>
      <c r="B312" s="31"/>
      <c r="C312" s="31"/>
      <c r="D312" s="31"/>
      <c r="E312" s="31"/>
      <c r="F312" s="31"/>
      <c r="G312" s="31"/>
      <c r="H312" s="31"/>
    </row>
    <row r="313" ht="15.75" customHeight="1">
      <c r="A313" s="31"/>
      <c r="B313" s="31"/>
      <c r="C313" s="31"/>
      <c r="D313" s="31"/>
      <c r="E313" s="31"/>
      <c r="F313" s="31"/>
      <c r="G313" s="31"/>
      <c r="H313" s="31"/>
    </row>
    <row r="314" ht="15.75" customHeight="1">
      <c r="A314" s="31"/>
      <c r="B314" s="31"/>
      <c r="C314" s="31"/>
      <c r="D314" s="31"/>
      <c r="E314" s="31"/>
      <c r="F314" s="31"/>
      <c r="G314" s="31"/>
      <c r="H314" s="31"/>
    </row>
    <row r="315" ht="15.75" customHeight="1">
      <c r="A315" s="31"/>
      <c r="B315" s="31"/>
      <c r="C315" s="31"/>
      <c r="D315" s="31"/>
      <c r="E315" s="31"/>
      <c r="F315" s="31"/>
      <c r="G315" s="31"/>
      <c r="H315" s="31"/>
    </row>
    <row r="316" ht="15.75" customHeight="1">
      <c r="A316" s="31"/>
      <c r="B316" s="31"/>
      <c r="C316" s="31"/>
      <c r="D316" s="31"/>
      <c r="E316" s="31"/>
      <c r="F316" s="31"/>
      <c r="G316" s="31"/>
      <c r="H316" s="31"/>
    </row>
    <row r="317" ht="15.75" customHeight="1">
      <c r="A317" s="31"/>
      <c r="B317" s="31"/>
      <c r="C317" s="31"/>
      <c r="D317" s="31"/>
      <c r="E317" s="31"/>
      <c r="F317" s="31"/>
      <c r="G317" s="31"/>
      <c r="H317" s="31"/>
    </row>
    <row r="318" ht="15.75" customHeight="1">
      <c r="A318" s="31"/>
      <c r="B318" s="31"/>
      <c r="C318" s="31"/>
      <c r="D318" s="31"/>
      <c r="E318" s="31"/>
      <c r="F318" s="31"/>
      <c r="G318" s="31"/>
      <c r="H318" s="31"/>
    </row>
    <row r="319" ht="15.75" customHeight="1">
      <c r="A319" s="31"/>
      <c r="B319" s="31"/>
      <c r="C319" s="31"/>
      <c r="D319" s="31"/>
      <c r="E319" s="31"/>
      <c r="F319" s="31"/>
      <c r="G319" s="31"/>
      <c r="H319" s="31"/>
    </row>
    <row r="320" ht="15.75" customHeight="1">
      <c r="A320" s="31"/>
      <c r="B320" s="31"/>
      <c r="C320" s="31"/>
      <c r="D320" s="31"/>
      <c r="E320" s="31"/>
      <c r="F320" s="31"/>
      <c r="G320" s="31"/>
      <c r="H320" s="31"/>
    </row>
    <row r="321" ht="15.75" customHeight="1">
      <c r="A321" s="31"/>
      <c r="B321" s="31"/>
      <c r="C321" s="31"/>
      <c r="D321" s="31"/>
      <c r="E321" s="31"/>
      <c r="F321" s="31"/>
      <c r="G321" s="31"/>
      <c r="H321" s="31"/>
    </row>
    <row r="322" ht="15.75" customHeight="1">
      <c r="A322" s="31"/>
      <c r="B322" s="31"/>
      <c r="C322" s="31"/>
      <c r="D322" s="31"/>
      <c r="E322" s="31"/>
      <c r="F322" s="31"/>
      <c r="G322" s="31"/>
      <c r="H322" s="31"/>
    </row>
    <row r="323" ht="15.75" customHeight="1">
      <c r="A323" s="31"/>
      <c r="B323" s="31"/>
      <c r="C323" s="31"/>
      <c r="D323" s="31"/>
      <c r="E323" s="31"/>
      <c r="F323" s="31"/>
      <c r="G323" s="31"/>
      <c r="H323" s="31"/>
    </row>
    <row r="324" ht="15.75" customHeight="1">
      <c r="A324" s="31"/>
      <c r="B324" s="31"/>
      <c r="C324" s="31"/>
      <c r="D324" s="31"/>
      <c r="E324" s="31"/>
      <c r="F324" s="31"/>
      <c r="G324" s="31"/>
      <c r="H324" s="31"/>
    </row>
    <row r="325" ht="15.75" customHeight="1">
      <c r="A325" s="31"/>
      <c r="B325" s="31"/>
      <c r="C325" s="31"/>
      <c r="D325" s="31"/>
      <c r="E325" s="31"/>
      <c r="F325" s="31"/>
      <c r="G325" s="31"/>
      <c r="H325" s="31"/>
    </row>
    <row r="326" ht="15.75" customHeight="1">
      <c r="A326" s="31"/>
      <c r="B326" s="31"/>
      <c r="C326" s="31"/>
      <c r="D326" s="31"/>
      <c r="E326" s="31"/>
      <c r="F326" s="31"/>
      <c r="G326" s="31"/>
      <c r="H326" s="31"/>
    </row>
    <row r="327" ht="15.75" customHeight="1">
      <c r="A327" s="31"/>
      <c r="B327" s="31"/>
      <c r="C327" s="31"/>
      <c r="D327" s="31"/>
      <c r="E327" s="31"/>
      <c r="F327" s="31"/>
      <c r="G327" s="31"/>
      <c r="H327" s="31"/>
    </row>
    <row r="328" ht="15.75" customHeight="1">
      <c r="A328" s="31"/>
      <c r="B328" s="31"/>
      <c r="C328" s="31"/>
      <c r="D328" s="31"/>
      <c r="E328" s="31"/>
      <c r="F328" s="31"/>
      <c r="G328" s="31"/>
      <c r="H328" s="31"/>
    </row>
    <row r="329" ht="15.75" customHeight="1">
      <c r="A329" s="31"/>
      <c r="B329" s="31"/>
      <c r="C329" s="31"/>
      <c r="D329" s="31"/>
      <c r="E329" s="31"/>
      <c r="F329" s="31"/>
      <c r="G329" s="31"/>
      <c r="H329" s="31"/>
    </row>
    <row r="330" ht="15.75" customHeight="1">
      <c r="A330" s="31"/>
      <c r="B330" s="31"/>
      <c r="C330" s="31"/>
      <c r="D330" s="31"/>
      <c r="E330" s="31"/>
      <c r="F330" s="31"/>
      <c r="G330" s="31"/>
      <c r="H330" s="31"/>
    </row>
    <row r="331" ht="15.75" customHeight="1">
      <c r="A331" s="31"/>
      <c r="B331" s="31"/>
      <c r="C331" s="31"/>
      <c r="D331" s="31"/>
      <c r="E331" s="31"/>
      <c r="F331" s="31"/>
      <c r="G331" s="31"/>
      <c r="H331" s="31"/>
    </row>
    <row r="332" ht="15.75" customHeight="1">
      <c r="A332" s="31"/>
      <c r="B332" s="31"/>
      <c r="C332" s="31"/>
      <c r="D332" s="31"/>
      <c r="E332" s="31"/>
      <c r="F332" s="31"/>
      <c r="G332" s="31"/>
      <c r="H332" s="31"/>
    </row>
    <row r="333" ht="15.75" customHeight="1">
      <c r="A333" s="31"/>
      <c r="B333" s="31"/>
      <c r="C333" s="31"/>
      <c r="D333" s="31"/>
      <c r="E333" s="31"/>
      <c r="F333" s="31"/>
      <c r="G333" s="31"/>
      <c r="H333" s="31"/>
    </row>
    <row r="334" ht="15.75" customHeight="1">
      <c r="A334" s="31"/>
      <c r="B334" s="31"/>
      <c r="C334" s="31"/>
      <c r="D334" s="31"/>
      <c r="E334" s="31"/>
      <c r="F334" s="31"/>
      <c r="G334" s="31"/>
      <c r="H334" s="31"/>
    </row>
    <row r="335" ht="15.75" customHeight="1">
      <c r="A335" s="31"/>
      <c r="B335" s="31"/>
      <c r="C335" s="31"/>
      <c r="D335" s="31"/>
      <c r="E335" s="31"/>
      <c r="F335" s="31"/>
      <c r="G335" s="31"/>
      <c r="H335" s="31"/>
    </row>
    <row r="336" ht="15.75" customHeight="1">
      <c r="A336" s="31"/>
      <c r="B336" s="31"/>
      <c r="C336" s="31"/>
      <c r="D336" s="31"/>
      <c r="E336" s="31"/>
      <c r="F336" s="31"/>
      <c r="G336" s="31"/>
      <c r="H336" s="31"/>
    </row>
    <row r="337" ht="15.75" customHeight="1">
      <c r="A337" s="31"/>
      <c r="B337" s="31"/>
      <c r="C337" s="31"/>
      <c r="D337" s="31"/>
      <c r="E337" s="31"/>
      <c r="F337" s="31"/>
      <c r="G337" s="31"/>
      <c r="H337" s="31"/>
    </row>
    <row r="338" ht="15.75" customHeight="1">
      <c r="A338" s="31"/>
      <c r="B338" s="31"/>
      <c r="C338" s="31"/>
      <c r="D338" s="31"/>
      <c r="E338" s="31"/>
      <c r="F338" s="31"/>
      <c r="G338" s="31"/>
      <c r="H338" s="31"/>
    </row>
    <row r="339" ht="15.75" customHeight="1">
      <c r="A339" s="31"/>
      <c r="B339" s="31"/>
      <c r="C339" s="31"/>
      <c r="D339" s="31"/>
      <c r="E339" s="31"/>
      <c r="F339" s="31"/>
      <c r="G339" s="31"/>
      <c r="H339" s="31"/>
    </row>
    <row r="340" ht="15.75" customHeight="1">
      <c r="A340" s="31"/>
      <c r="B340" s="31"/>
      <c r="C340" s="31"/>
      <c r="D340" s="31"/>
      <c r="E340" s="31"/>
      <c r="F340" s="31"/>
      <c r="G340" s="31"/>
      <c r="H340" s="31"/>
    </row>
    <row r="341" ht="15.75" customHeight="1">
      <c r="A341" s="31"/>
      <c r="B341" s="31"/>
      <c r="C341" s="31"/>
      <c r="D341" s="31"/>
      <c r="E341" s="31"/>
      <c r="F341" s="31"/>
      <c r="G341" s="31"/>
      <c r="H341" s="31"/>
    </row>
    <row r="342" ht="15.75" customHeight="1">
      <c r="A342" s="31"/>
      <c r="B342" s="31"/>
      <c r="C342" s="31"/>
      <c r="D342" s="31"/>
      <c r="E342" s="31"/>
      <c r="F342" s="31"/>
      <c r="G342" s="31"/>
      <c r="H342" s="31"/>
    </row>
    <row r="343" ht="15.75" customHeight="1">
      <c r="A343" s="31"/>
      <c r="B343" s="31"/>
      <c r="C343" s="31"/>
      <c r="D343" s="31"/>
      <c r="E343" s="31"/>
      <c r="F343" s="31"/>
      <c r="G343" s="31"/>
      <c r="H343" s="31"/>
    </row>
    <row r="344" ht="15.75" customHeight="1">
      <c r="A344" s="31"/>
      <c r="B344" s="31"/>
      <c r="C344" s="31"/>
      <c r="D344" s="31"/>
      <c r="E344" s="31"/>
      <c r="F344" s="31"/>
      <c r="G344" s="31"/>
      <c r="H344" s="31"/>
    </row>
    <row r="345" ht="15.75" customHeight="1">
      <c r="A345" s="31"/>
      <c r="B345" s="31"/>
      <c r="C345" s="31"/>
      <c r="D345" s="31"/>
      <c r="E345" s="31"/>
      <c r="F345" s="31"/>
      <c r="G345" s="31"/>
      <c r="H345" s="31"/>
    </row>
    <row r="346" ht="15.75" customHeight="1">
      <c r="A346" s="31"/>
      <c r="B346" s="31"/>
      <c r="C346" s="31"/>
      <c r="D346" s="31"/>
      <c r="E346" s="31"/>
      <c r="F346" s="31"/>
      <c r="G346" s="31"/>
      <c r="H346" s="31"/>
    </row>
    <row r="347" ht="15.75" customHeight="1">
      <c r="A347" s="31"/>
      <c r="B347" s="31"/>
      <c r="C347" s="31"/>
      <c r="D347" s="31"/>
      <c r="E347" s="31"/>
      <c r="F347" s="31"/>
      <c r="G347" s="31"/>
      <c r="H347" s="31"/>
    </row>
    <row r="348" ht="15.75" customHeight="1">
      <c r="A348" s="31"/>
      <c r="B348" s="31"/>
      <c r="C348" s="31"/>
      <c r="D348" s="31"/>
      <c r="E348" s="31"/>
      <c r="F348" s="31"/>
      <c r="G348" s="31"/>
      <c r="H348" s="31"/>
    </row>
    <row r="349" ht="15.75" customHeight="1">
      <c r="A349" s="31"/>
      <c r="B349" s="31"/>
      <c r="C349" s="31"/>
      <c r="D349" s="31"/>
      <c r="E349" s="31"/>
      <c r="F349" s="31"/>
      <c r="G349" s="31"/>
      <c r="H349" s="31"/>
    </row>
    <row r="350" ht="15.75" customHeight="1">
      <c r="A350" s="31"/>
      <c r="B350" s="31"/>
      <c r="C350" s="31"/>
      <c r="D350" s="31"/>
      <c r="E350" s="31"/>
      <c r="F350" s="31"/>
      <c r="G350" s="31"/>
      <c r="H350" s="31"/>
    </row>
    <row r="351" ht="15.75" customHeight="1">
      <c r="A351" s="31"/>
      <c r="B351" s="31"/>
      <c r="C351" s="31"/>
      <c r="D351" s="31"/>
      <c r="E351" s="31"/>
      <c r="F351" s="31"/>
      <c r="G351" s="31"/>
      <c r="H351" s="31"/>
    </row>
    <row r="352" ht="15.75" customHeight="1">
      <c r="A352" s="31"/>
      <c r="B352" s="31"/>
      <c r="C352" s="31"/>
      <c r="D352" s="31"/>
      <c r="E352" s="31"/>
      <c r="F352" s="31"/>
      <c r="G352" s="31"/>
      <c r="H352" s="31"/>
    </row>
    <row r="353" ht="15.75" customHeight="1">
      <c r="A353" s="31"/>
      <c r="B353" s="31"/>
      <c r="C353" s="31"/>
      <c r="D353" s="31"/>
      <c r="E353" s="31"/>
      <c r="F353" s="31"/>
      <c r="G353" s="31"/>
      <c r="H353" s="31"/>
    </row>
    <row r="354" ht="15.75" customHeight="1">
      <c r="A354" s="31"/>
      <c r="B354" s="31"/>
      <c r="C354" s="31"/>
      <c r="D354" s="31"/>
      <c r="E354" s="31"/>
      <c r="F354" s="31"/>
      <c r="G354" s="31"/>
      <c r="H354" s="31"/>
    </row>
    <row r="355" ht="15.75" customHeight="1">
      <c r="A355" s="31"/>
      <c r="B355" s="31"/>
      <c r="C355" s="31"/>
      <c r="D355" s="31"/>
      <c r="E355" s="31"/>
      <c r="F355" s="31"/>
      <c r="G355" s="31"/>
      <c r="H355" s="31"/>
    </row>
    <row r="356" ht="15.75" customHeight="1">
      <c r="A356" s="31"/>
      <c r="B356" s="31"/>
      <c r="C356" s="31"/>
      <c r="D356" s="31"/>
      <c r="E356" s="31"/>
      <c r="F356" s="31"/>
      <c r="G356" s="31"/>
      <c r="H356" s="31"/>
    </row>
    <row r="357" ht="15.75" customHeight="1">
      <c r="A357" s="31"/>
      <c r="B357" s="31"/>
      <c r="C357" s="31"/>
      <c r="D357" s="31"/>
      <c r="E357" s="31"/>
      <c r="F357" s="31"/>
      <c r="G357" s="31"/>
      <c r="H357" s="31"/>
    </row>
    <row r="358" ht="15.75" customHeight="1">
      <c r="A358" s="31"/>
      <c r="B358" s="31"/>
      <c r="C358" s="31"/>
      <c r="D358" s="31"/>
      <c r="E358" s="31"/>
      <c r="F358" s="31"/>
      <c r="G358" s="31"/>
      <c r="H358" s="31"/>
    </row>
    <row r="359" ht="15.75" customHeight="1">
      <c r="A359" s="31"/>
      <c r="B359" s="31"/>
      <c r="C359" s="31"/>
      <c r="D359" s="31"/>
      <c r="E359" s="31"/>
      <c r="F359" s="31"/>
      <c r="G359" s="31"/>
      <c r="H359" s="31"/>
    </row>
    <row r="360" ht="15.75" customHeight="1">
      <c r="A360" s="31"/>
      <c r="B360" s="31"/>
      <c r="C360" s="31"/>
      <c r="D360" s="31"/>
      <c r="E360" s="31"/>
      <c r="F360" s="31"/>
      <c r="G360" s="31"/>
      <c r="H360" s="31"/>
    </row>
    <row r="361" ht="15.75" customHeight="1">
      <c r="A361" s="31"/>
      <c r="B361" s="31"/>
      <c r="C361" s="31"/>
      <c r="D361" s="31"/>
      <c r="E361" s="31"/>
      <c r="F361" s="31"/>
      <c r="G361" s="31"/>
      <c r="H361" s="31"/>
    </row>
    <row r="362" ht="15.75" customHeight="1">
      <c r="A362" s="31"/>
      <c r="B362" s="31"/>
      <c r="C362" s="31"/>
      <c r="D362" s="31"/>
      <c r="E362" s="31"/>
      <c r="F362" s="31"/>
      <c r="G362" s="31"/>
      <c r="H362" s="31"/>
    </row>
    <row r="363" ht="15.75" customHeight="1">
      <c r="A363" s="31"/>
      <c r="B363" s="31"/>
      <c r="C363" s="31"/>
      <c r="D363" s="31"/>
      <c r="E363" s="31"/>
      <c r="F363" s="31"/>
      <c r="G363" s="31"/>
      <c r="H363" s="31"/>
    </row>
    <row r="364" ht="15.75" customHeight="1">
      <c r="A364" s="31"/>
      <c r="B364" s="31"/>
      <c r="C364" s="31"/>
      <c r="D364" s="31"/>
      <c r="E364" s="31"/>
      <c r="F364" s="31"/>
      <c r="G364" s="31"/>
      <c r="H364" s="31"/>
    </row>
    <row r="365" ht="15.75" customHeight="1">
      <c r="A365" s="31"/>
      <c r="B365" s="31"/>
      <c r="C365" s="31"/>
      <c r="D365" s="31"/>
      <c r="E365" s="31"/>
      <c r="F365" s="31"/>
      <c r="G365" s="31"/>
      <c r="H365" s="31"/>
    </row>
    <row r="366" ht="15.75" customHeight="1">
      <c r="A366" s="31"/>
      <c r="B366" s="31"/>
      <c r="C366" s="31"/>
      <c r="D366" s="31"/>
      <c r="E366" s="31"/>
      <c r="F366" s="31"/>
      <c r="G366" s="31"/>
      <c r="H366" s="31"/>
    </row>
    <row r="367" ht="15.75" customHeight="1">
      <c r="A367" s="31"/>
      <c r="B367" s="31"/>
      <c r="C367" s="31"/>
      <c r="D367" s="31"/>
      <c r="E367" s="31"/>
      <c r="F367" s="31"/>
      <c r="G367" s="31"/>
      <c r="H367" s="31"/>
    </row>
    <row r="368" ht="15.75" customHeight="1">
      <c r="A368" s="31"/>
      <c r="B368" s="31"/>
      <c r="C368" s="31"/>
      <c r="D368" s="31"/>
      <c r="E368" s="31"/>
      <c r="F368" s="31"/>
      <c r="G368" s="31"/>
      <c r="H368" s="31"/>
    </row>
    <row r="369" ht="15.75" customHeight="1">
      <c r="A369" s="31"/>
      <c r="B369" s="31"/>
      <c r="C369" s="31"/>
      <c r="D369" s="31"/>
      <c r="E369" s="31"/>
      <c r="F369" s="31"/>
      <c r="G369" s="31"/>
      <c r="H369" s="31"/>
    </row>
    <row r="370" ht="15.75" customHeight="1">
      <c r="A370" s="31"/>
      <c r="B370" s="31"/>
      <c r="C370" s="31"/>
      <c r="D370" s="31"/>
      <c r="E370" s="31"/>
      <c r="F370" s="31"/>
      <c r="G370" s="31"/>
      <c r="H370" s="31"/>
    </row>
    <row r="371" ht="15.75" customHeight="1">
      <c r="A371" s="31"/>
      <c r="B371" s="31"/>
      <c r="C371" s="31"/>
      <c r="D371" s="31"/>
      <c r="E371" s="31"/>
      <c r="F371" s="31"/>
      <c r="G371" s="31"/>
      <c r="H371" s="31"/>
    </row>
    <row r="372" ht="15.75" customHeight="1">
      <c r="A372" s="31"/>
      <c r="B372" s="31"/>
      <c r="C372" s="31"/>
      <c r="D372" s="31"/>
      <c r="E372" s="31"/>
      <c r="F372" s="31"/>
      <c r="G372" s="31"/>
      <c r="H372" s="31"/>
    </row>
    <row r="373" ht="15.75" customHeight="1">
      <c r="A373" s="31"/>
      <c r="B373" s="31"/>
      <c r="C373" s="31"/>
      <c r="D373" s="31"/>
      <c r="E373" s="31"/>
      <c r="F373" s="31"/>
      <c r="G373" s="31"/>
      <c r="H373" s="31"/>
    </row>
    <row r="374" ht="15.75" customHeight="1">
      <c r="A374" s="31"/>
      <c r="B374" s="31"/>
      <c r="C374" s="31"/>
      <c r="D374" s="31"/>
      <c r="E374" s="31"/>
      <c r="F374" s="31"/>
      <c r="G374" s="31"/>
      <c r="H374" s="31"/>
    </row>
    <row r="375" ht="15.75" customHeight="1">
      <c r="A375" s="31"/>
      <c r="B375" s="31"/>
      <c r="C375" s="31"/>
      <c r="D375" s="31"/>
      <c r="E375" s="31"/>
      <c r="F375" s="31"/>
      <c r="G375" s="31"/>
      <c r="H375" s="31"/>
    </row>
    <row r="376" ht="15.75" customHeight="1">
      <c r="A376" s="31"/>
      <c r="B376" s="31"/>
      <c r="C376" s="31"/>
      <c r="D376" s="31"/>
      <c r="E376" s="31"/>
      <c r="F376" s="31"/>
      <c r="G376" s="31"/>
      <c r="H376" s="31"/>
    </row>
    <row r="377" ht="15.75" customHeight="1">
      <c r="A377" s="31"/>
      <c r="B377" s="31"/>
      <c r="C377" s="31"/>
      <c r="D377" s="31"/>
      <c r="E377" s="31"/>
      <c r="F377" s="31"/>
      <c r="G377" s="31"/>
      <c r="H377" s="31"/>
    </row>
    <row r="378" ht="15.75" customHeight="1">
      <c r="A378" s="31"/>
      <c r="B378" s="31"/>
      <c r="C378" s="31"/>
      <c r="D378" s="31"/>
      <c r="E378" s="31"/>
      <c r="F378" s="31"/>
      <c r="G378" s="31"/>
      <c r="H378" s="31"/>
    </row>
    <row r="379" ht="15.75" customHeight="1">
      <c r="A379" s="31"/>
      <c r="B379" s="31"/>
      <c r="C379" s="31"/>
      <c r="D379" s="31"/>
      <c r="E379" s="31"/>
      <c r="F379" s="31"/>
      <c r="G379" s="31"/>
      <c r="H379" s="31"/>
    </row>
    <row r="380" ht="15.75" customHeight="1">
      <c r="A380" s="31"/>
      <c r="B380" s="31"/>
      <c r="C380" s="31"/>
      <c r="D380" s="31"/>
      <c r="E380" s="31"/>
      <c r="F380" s="31"/>
      <c r="G380" s="31"/>
      <c r="H380" s="31"/>
    </row>
    <row r="381" ht="15.75" customHeight="1">
      <c r="A381" s="31"/>
      <c r="B381" s="31"/>
      <c r="C381" s="31"/>
      <c r="D381" s="31"/>
      <c r="E381" s="31"/>
      <c r="F381" s="31"/>
      <c r="G381" s="31"/>
      <c r="H381" s="31"/>
    </row>
    <row r="382" ht="15.75" customHeight="1">
      <c r="A382" s="31"/>
      <c r="B382" s="31"/>
      <c r="C382" s="31"/>
      <c r="D382" s="31"/>
      <c r="E382" s="31"/>
      <c r="F382" s="31"/>
      <c r="G382" s="31"/>
      <c r="H382" s="31"/>
    </row>
    <row r="383" ht="15.75" customHeight="1">
      <c r="A383" s="31"/>
      <c r="B383" s="31"/>
      <c r="C383" s="31"/>
      <c r="D383" s="31"/>
      <c r="E383" s="31"/>
      <c r="F383" s="31"/>
      <c r="G383" s="31"/>
      <c r="H383" s="31"/>
    </row>
    <row r="384" ht="15.75" customHeight="1">
      <c r="A384" s="31"/>
      <c r="B384" s="31"/>
      <c r="C384" s="31"/>
      <c r="D384" s="31"/>
      <c r="E384" s="31"/>
      <c r="F384" s="31"/>
      <c r="G384" s="31"/>
      <c r="H384" s="31"/>
    </row>
    <row r="385" ht="15.75" customHeight="1">
      <c r="A385" s="31"/>
      <c r="B385" s="31"/>
      <c r="C385" s="31"/>
      <c r="D385" s="31"/>
      <c r="E385" s="31"/>
      <c r="F385" s="31"/>
      <c r="G385" s="31"/>
      <c r="H385" s="31"/>
    </row>
    <row r="386" ht="15.75" customHeight="1">
      <c r="A386" s="31"/>
      <c r="B386" s="31"/>
      <c r="C386" s="31"/>
      <c r="D386" s="31"/>
      <c r="E386" s="31"/>
      <c r="F386" s="31"/>
      <c r="G386" s="31"/>
      <c r="H386" s="31"/>
    </row>
    <row r="387" ht="15.75" customHeight="1">
      <c r="A387" s="31"/>
      <c r="B387" s="31"/>
      <c r="C387" s="31"/>
      <c r="D387" s="31"/>
      <c r="E387" s="31"/>
      <c r="F387" s="31"/>
      <c r="G387" s="31"/>
      <c r="H387" s="31"/>
    </row>
    <row r="388" ht="15.75" customHeight="1">
      <c r="A388" s="31"/>
      <c r="B388" s="31"/>
      <c r="C388" s="31"/>
      <c r="D388" s="31"/>
      <c r="E388" s="31"/>
      <c r="F388" s="31"/>
      <c r="G388" s="31"/>
      <c r="H388" s="31"/>
    </row>
    <row r="389" ht="15.75" customHeight="1">
      <c r="A389" s="31"/>
      <c r="B389" s="31"/>
      <c r="C389" s="31"/>
      <c r="D389" s="31"/>
      <c r="E389" s="31"/>
      <c r="F389" s="31"/>
      <c r="G389" s="31"/>
      <c r="H389" s="31"/>
    </row>
    <row r="390" ht="15.75" customHeight="1">
      <c r="A390" s="31"/>
      <c r="B390" s="31"/>
      <c r="C390" s="31"/>
      <c r="D390" s="31"/>
      <c r="E390" s="31"/>
      <c r="F390" s="31"/>
      <c r="G390" s="31"/>
      <c r="H390" s="31"/>
    </row>
    <row r="391" ht="15.75" customHeight="1">
      <c r="A391" s="31"/>
      <c r="B391" s="31"/>
      <c r="C391" s="31"/>
      <c r="D391" s="31"/>
      <c r="E391" s="31"/>
      <c r="F391" s="31"/>
      <c r="G391" s="31"/>
      <c r="H391" s="31"/>
    </row>
    <row r="392" ht="15.75" customHeight="1">
      <c r="A392" s="31"/>
      <c r="B392" s="31"/>
      <c r="C392" s="31"/>
      <c r="D392" s="31"/>
      <c r="E392" s="31"/>
      <c r="F392" s="31"/>
      <c r="G392" s="31"/>
      <c r="H392" s="31"/>
    </row>
    <row r="393" ht="15.75" customHeight="1">
      <c r="A393" s="31"/>
      <c r="B393" s="31"/>
      <c r="C393" s="31"/>
      <c r="D393" s="31"/>
      <c r="E393" s="31"/>
      <c r="F393" s="31"/>
      <c r="G393" s="31"/>
      <c r="H393" s="31"/>
    </row>
    <row r="394" ht="15.75" customHeight="1">
      <c r="A394" s="31"/>
      <c r="B394" s="31"/>
      <c r="C394" s="31"/>
      <c r="D394" s="31"/>
      <c r="E394" s="31"/>
      <c r="F394" s="31"/>
      <c r="G394" s="31"/>
      <c r="H394" s="31"/>
    </row>
    <row r="395" ht="15.75" customHeight="1">
      <c r="A395" s="31"/>
      <c r="B395" s="31"/>
      <c r="C395" s="31"/>
      <c r="D395" s="31"/>
      <c r="E395" s="31"/>
      <c r="F395" s="31"/>
      <c r="G395" s="31"/>
      <c r="H395" s="31"/>
    </row>
    <row r="396" ht="15.75" customHeight="1">
      <c r="A396" s="31"/>
      <c r="B396" s="31"/>
      <c r="C396" s="31"/>
      <c r="D396" s="31"/>
      <c r="E396" s="31"/>
      <c r="F396" s="31"/>
      <c r="G396" s="31"/>
      <c r="H396" s="31"/>
    </row>
    <row r="397" ht="15.75" customHeight="1">
      <c r="A397" s="31"/>
      <c r="B397" s="31"/>
      <c r="C397" s="31"/>
      <c r="D397" s="31"/>
      <c r="E397" s="31"/>
      <c r="F397" s="31"/>
      <c r="G397" s="31"/>
      <c r="H397" s="31"/>
    </row>
    <row r="398" ht="15.75" customHeight="1">
      <c r="A398" s="31"/>
      <c r="B398" s="31"/>
      <c r="C398" s="31"/>
      <c r="D398" s="31"/>
      <c r="E398" s="31"/>
      <c r="F398" s="31"/>
      <c r="G398" s="31"/>
      <c r="H398" s="31"/>
    </row>
    <row r="399" ht="15.75" customHeight="1">
      <c r="A399" s="31"/>
      <c r="B399" s="31"/>
      <c r="C399" s="31"/>
      <c r="D399" s="31"/>
      <c r="E399" s="31"/>
      <c r="F399" s="31"/>
      <c r="G399" s="31"/>
      <c r="H399" s="31"/>
    </row>
    <row r="400" ht="15.75" customHeight="1">
      <c r="A400" s="31"/>
      <c r="B400" s="31"/>
      <c r="C400" s="31"/>
      <c r="D400" s="31"/>
      <c r="E400" s="31"/>
      <c r="F400" s="31"/>
      <c r="G400" s="31"/>
      <c r="H400" s="31"/>
    </row>
    <row r="401" ht="15.75" customHeight="1">
      <c r="A401" s="31"/>
      <c r="B401" s="31"/>
      <c r="C401" s="31"/>
      <c r="D401" s="31"/>
      <c r="E401" s="31"/>
      <c r="F401" s="31"/>
      <c r="G401" s="31"/>
      <c r="H401" s="31"/>
    </row>
    <row r="402" ht="15.75" customHeight="1">
      <c r="A402" s="31"/>
      <c r="B402" s="31"/>
      <c r="C402" s="31"/>
      <c r="D402" s="31"/>
      <c r="E402" s="31"/>
      <c r="F402" s="31"/>
      <c r="G402" s="31"/>
      <c r="H402" s="31"/>
    </row>
    <row r="403" ht="15.75" customHeight="1">
      <c r="A403" s="31"/>
      <c r="B403" s="31"/>
      <c r="C403" s="31"/>
      <c r="D403" s="31"/>
      <c r="E403" s="31"/>
      <c r="F403" s="31"/>
      <c r="G403" s="31"/>
      <c r="H403" s="31"/>
    </row>
    <row r="404" ht="15.75" customHeight="1">
      <c r="A404" s="31"/>
      <c r="B404" s="31"/>
      <c r="C404" s="31"/>
      <c r="D404" s="31"/>
      <c r="E404" s="31"/>
      <c r="F404" s="31"/>
      <c r="G404" s="31"/>
      <c r="H404" s="31"/>
    </row>
    <row r="405" ht="15.75" customHeight="1">
      <c r="A405" s="31"/>
      <c r="B405" s="31"/>
      <c r="C405" s="31"/>
      <c r="D405" s="31"/>
      <c r="E405" s="31"/>
      <c r="F405" s="31"/>
      <c r="G405" s="31"/>
      <c r="H405" s="31"/>
    </row>
    <row r="406" ht="15.75" customHeight="1">
      <c r="A406" s="31"/>
      <c r="B406" s="31"/>
      <c r="C406" s="31"/>
      <c r="D406" s="31"/>
      <c r="E406" s="31"/>
      <c r="F406" s="31"/>
      <c r="G406" s="31"/>
      <c r="H406" s="31"/>
    </row>
    <row r="407" ht="15.75" customHeight="1">
      <c r="A407" s="31"/>
      <c r="B407" s="31"/>
      <c r="C407" s="31"/>
      <c r="D407" s="31"/>
      <c r="E407" s="31"/>
      <c r="F407" s="31"/>
      <c r="G407" s="31"/>
      <c r="H407" s="31"/>
    </row>
    <row r="408" ht="15.75" customHeight="1">
      <c r="A408" s="31"/>
      <c r="B408" s="31"/>
      <c r="C408" s="31"/>
      <c r="D408" s="31"/>
      <c r="E408" s="31"/>
      <c r="F408" s="31"/>
      <c r="G408" s="31"/>
      <c r="H408" s="31"/>
    </row>
    <row r="409" ht="15.75" customHeight="1">
      <c r="A409" s="31"/>
      <c r="B409" s="31"/>
      <c r="C409" s="31"/>
      <c r="D409" s="31"/>
      <c r="E409" s="31"/>
      <c r="F409" s="31"/>
      <c r="G409" s="31"/>
      <c r="H409" s="31"/>
    </row>
    <row r="410" ht="15.75" customHeight="1">
      <c r="A410" s="31"/>
      <c r="B410" s="31"/>
      <c r="C410" s="31"/>
      <c r="D410" s="31"/>
      <c r="E410" s="31"/>
      <c r="F410" s="31"/>
      <c r="G410" s="31"/>
      <c r="H410" s="31"/>
    </row>
    <row r="411" ht="15.75" customHeight="1">
      <c r="A411" s="31"/>
      <c r="B411" s="31"/>
      <c r="C411" s="31"/>
      <c r="D411" s="31"/>
      <c r="E411" s="31"/>
      <c r="F411" s="31"/>
      <c r="G411" s="31"/>
      <c r="H411" s="31"/>
    </row>
    <row r="412" ht="15.75" customHeight="1">
      <c r="A412" s="31"/>
      <c r="B412" s="31"/>
      <c r="C412" s="31"/>
      <c r="D412" s="31"/>
      <c r="E412" s="31"/>
      <c r="F412" s="31"/>
      <c r="G412" s="31"/>
      <c r="H412" s="31"/>
    </row>
    <row r="413" ht="15.75" customHeight="1">
      <c r="A413" s="31"/>
      <c r="B413" s="31"/>
      <c r="C413" s="31"/>
      <c r="D413" s="31"/>
      <c r="E413" s="31"/>
      <c r="F413" s="31"/>
      <c r="G413" s="31"/>
      <c r="H413" s="31"/>
    </row>
    <row r="414" ht="15.75" customHeight="1">
      <c r="A414" s="31"/>
      <c r="B414" s="31"/>
      <c r="C414" s="31"/>
      <c r="D414" s="31"/>
      <c r="E414" s="31"/>
      <c r="F414" s="31"/>
      <c r="G414" s="31"/>
      <c r="H414" s="31"/>
    </row>
    <row r="415" ht="15.75" customHeight="1">
      <c r="A415" s="31"/>
      <c r="B415" s="31"/>
      <c r="C415" s="31"/>
      <c r="D415" s="31"/>
      <c r="E415" s="31"/>
      <c r="F415" s="31"/>
      <c r="G415" s="31"/>
      <c r="H415" s="31"/>
    </row>
    <row r="416" ht="15.75" customHeight="1">
      <c r="A416" s="31"/>
      <c r="B416" s="31"/>
      <c r="C416" s="31"/>
      <c r="D416" s="31"/>
      <c r="E416" s="31"/>
      <c r="F416" s="31"/>
      <c r="G416" s="31"/>
      <c r="H416" s="31"/>
    </row>
    <row r="417" ht="15.75" customHeight="1">
      <c r="A417" s="31"/>
      <c r="B417" s="31"/>
      <c r="C417" s="31"/>
      <c r="D417" s="31"/>
      <c r="E417" s="31"/>
      <c r="F417" s="31"/>
      <c r="G417" s="31"/>
      <c r="H417" s="31"/>
    </row>
    <row r="418" ht="15.75" customHeight="1">
      <c r="A418" s="31"/>
      <c r="B418" s="31"/>
      <c r="C418" s="31"/>
      <c r="D418" s="31"/>
      <c r="E418" s="31"/>
      <c r="F418" s="31"/>
      <c r="G418" s="31"/>
      <c r="H418" s="31"/>
    </row>
    <row r="419" ht="15.75" customHeight="1">
      <c r="A419" s="31"/>
      <c r="B419" s="31"/>
      <c r="C419" s="31"/>
      <c r="D419" s="31"/>
      <c r="E419" s="31"/>
      <c r="F419" s="31"/>
      <c r="G419" s="31"/>
      <c r="H419" s="31"/>
    </row>
    <row r="420" ht="15.75" customHeight="1">
      <c r="A420" s="31"/>
      <c r="B420" s="31"/>
      <c r="C420" s="31"/>
      <c r="D420" s="31"/>
      <c r="E420" s="31"/>
      <c r="F420" s="31"/>
      <c r="G420" s="31"/>
      <c r="H420" s="31"/>
    </row>
    <row r="421" ht="15.75" customHeight="1">
      <c r="A421" s="31"/>
      <c r="B421" s="31"/>
      <c r="C421" s="31"/>
      <c r="D421" s="31"/>
      <c r="E421" s="31"/>
      <c r="F421" s="31"/>
      <c r="G421" s="31"/>
      <c r="H421" s="31"/>
    </row>
    <row r="422" ht="15.75" customHeight="1">
      <c r="A422" s="31"/>
      <c r="B422" s="31"/>
      <c r="C422" s="31"/>
      <c r="D422" s="31"/>
      <c r="E422" s="31"/>
      <c r="F422" s="31"/>
      <c r="G422" s="31"/>
      <c r="H422" s="31"/>
    </row>
    <row r="423" ht="15.75" customHeight="1">
      <c r="A423" s="31"/>
      <c r="B423" s="31"/>
      <c r="C423" s="31"/>
      <c r="D423" s="31"/>
      <c r="E423" s="31"/>
      <c r="F423" s="31"/>
      <c r="G423" s="31"/>
      <c r="H423" s="31"/>
    </row>
    <row r="424" ht="15.75" customHeight="1">
      <c r="A424" s="31"/>
      <c r="B424" s="31"/>
      <c r="C424" s="31"/>
      <c r="D424" s="31"/>
      <c r="E424" s="31"/>
      <c r="F424" s="31"/>
      <c r="G424" s="31"/>
      <c r="H424" s="31"/>
    </row>
    <row r="425" ht="15.75" customHeight="1">
      <c r="A425" s="31"/>
      <c r="B425" s="31"/>
      <c r="C425" s="31"/>
      <c r="D425" s="31"/>
      <c r="E425" s="31"/>
      <c r="F425" s="31"/>
      <c r="G425" s="31"/>
      <c r="H425" s="31"/>
    </row>
    <row r="426" ht="15.75" customHeight="1">
      <c r="A426" s="31"/>
      <c r="B426" s="31"/>
      <c r="C426" s="31"/>
      <c r="D426" s="31"/>
      <c r="E426" s="31"/>
      <c r="F426" s="31"/>
      <c r="G426" s="31"/>
      <c r="H426" s="31"/>
    </row>
    <row r="427" ht="15.75" customHeight="1">
      <c r="A427" s="31"/>
      <c r="B427" s="31"/>
      <c r="C427" s="31"/>
      <c r="D427" s="31"/>
      <c r="E427" s="31"/>
      <c r="F427" s="31"/>
      <c r="G427" s="31"/>
      <c r="H427" s="31"/>
    </row>
    <row r="428" ht="15.75" customHeight="1">
      <c r="A428" s="31"/>
      <c r="B428" s="31"/>
      <c r="C428" s="31"/>
      <c r="D428" s="31"/>
      <c r="E428" s="31"/>
      <c r="F428" s="31"/>
      <c r="G428" s="31"/>
      <c r="H428" s="31"/>
    </row>
    <row r="429" ht="15.75" customHeight="1">
      <c r="A429" s="31"/>
      <c r="B429" s="31"/>
      <c r="C429" s="31"/>
      <c r="D429" s="31"/>
      <c r="E429" s="31"/>
      <c r="F429" s="31"/>
      <c r="G429" s="31"/>
      <c r="H429" s="31"/>
    </row>
    <row r="430" ht="15.75" customHeight="1">
      <c r="A430" s="31"/>
      <c r="B430" s="31"/>
      <c r="C430" s="31"/>
      <c r="D430" s="31"/>
      <c r="E430" s="31"/>
      <c r="F430" s="31"/>
      <c r="G430" s="31"/>
      <c r="H430" s="31"/>
    </row>
    <row r="431" ht="15.75" customHeight="1">
      <c r="A431" s="31"/>
      <c r="B431" s="31"/>
      <c r="C431" s="31"/>
      <c r="D431" s="31"/>
      <c r="E431" s="31"/>
      <c r="F431" s="31"/>
      <c r="G431" s="31"/>
      <c r="H431" s="31"/>
    </row>
    <row r="432" ht="15.75" customHeight="1">
      <c r="A432" s="31"/>
      <c r="B432" s="31"/>
      <c r="C432" s="31"/>
      <c r="D432" s="31"/>
      <c r="E432" s="31"/>
      <c r="F432" s="31"/>
      <c r="G432" s="31"/>
      <c r="H432" s="31"/>
    </row>
    <row r="433" ht="15.75" customHeight="1">
      <c r="A433" s="31"/>
      <c r="B433" s="31"/>
      <c r="C433" s="31"/>
      <c r="D433" s="31"/>
      <c r="E433" s="31"/>
      <c r="F433" s="31"/>
      <c r="G433" s="31"/>
      <c r="H433" s="31"/>
    </row>
    <row r="434" ht="15.75" customHeight="1">
      <c r="A434" s="31"/>
      <c r="B434" s="31"/>
      <c r="C434" s="31"/>
      <c r="D434" s="31"/>
      <c r="E434" s="31"/>
      <c r="F434" s="31"/>
      <c r="G434" s="31"/>
      <c r="H434" s="31"/>
    </row>
    <row r="435" ht="15.75" customHeight="1">
      <c r="A435" s="31"/>
      <c r="B435" s="31"/>
      <c r="C435" s="31"/>
      <c r="D435" s="31"/>
      <c r="E435" s="31"/>
      <c r="F435" s="31"/>
      <c r="G435" s="31"/>
      <c r="H435" s="31"/>
    </row>
    <row r="436" ht="15.75" customHeight="1">
      <c r="A436" s="31"/>
      <c r="B436" s="31"/>
      <c r="C436" s="31"/>
      <c r="D436" s="31"/>
      <c r="E436" s="31"/>
      <c r="F436" s="31"/>
      <c r="G436" s="31"/>
      <c r="H436" s="31"/>
    </row>
    <row r="437" ht="15.75" customHeight="1">
      <c r="A437" s="31"/>
      <c r="B437" s="31"/>
      <c r="C437" s="31"/>
      <c r="D437" s="31"/>
      <c r="E437" s="31"/>
      <c r="F437" s="31"/>
      <c r="G437" s="31"/>
      <c r="H437" s="31"/>
    </row>
    <row r="438" ht="15.75" customHeight="1">
      <c r="A438" s="31"/>
      <c r="B438" s="31"/>
      <c r="C438" s="31"/>
      <c r="D438" s="31"/>
      <c r="E438" s="31"/>
      <c r="F438" s="31"/>
      <c r="G438" s="31"/>
      <c r="H438" s="31"/>
    </row>
    <row r="439" ht="15.75" customHeight="1">
      <c r="A439" s="31"/>
      <c r="B439" s="31"/>
      <c r="C439" s="31"/>
      <c r="D439" s="31"/>
      <c r="E439" s="31"/>
      <c r="F439" s="31"/>
      <c r="G439" s="31"/>
      <c r="H439" s="31"/>
    </row>
    <row r="440" ht="15.75" customHeight="1">
      <c r="A440" s="31"/>
      <c r="B440" s="31"/>
      <c r="C440" s="31"/>
      <c r="D440" s="31"/>
      <c r="E440" s="31"/>
      <c r="F440" s="31"/>
      <c r="G440" s="31"/>
      <c r="H440" s="31"/>
    </row>
    <row r="441" ht="15.75" customHeight="1">
      <c r="A441" s="31"/>
      <c r="B441" s="31"/>
      <c r="C441" s="31"/>
      <c r="D441" s="31"/>
      <c r="E441" s="31"/>
      <c r="F441" s="31"/>
      <c r="G441" s="31"/>
      <c r="H441" s="31"/>
    </row>
    <row r="442" ht="15.75" customHeight="1">
      <c r="A442" s="31"/>
      <c r="B442" s="31"/>
      <c r="C442" s="31"/>
      <c r="D442" s="31"/>
      <c r="E442" s="31"/>
      <c r="F442" s="31"/>
      <c r="G442" s="31"/>
      <c r="H442" s="31"/>
    </row>
    <row r="443" ht="15.75" customHeight="1">
      <c r="A443" s="31"/>
      <c r="B443" s="31"/>
      <c r="C443" s="31"/>
      <c r="D443" s="31"/>
      <c r="E443" s="31"/>
      <c r="F443" s="31"/>
      <c r="G443" s="31"/>
      <c r="H443" s="31"/>
    </row>
    <row r="444" ht="15.75" customHeight="1">
      <c r="A444" s="31"/>
      <c r="B444" s="31"/>
      <c r="C444" s="31"/>
      <c r="D444" s="31"/>
      <c r="E444" s="31"/>
      <c r="F444" s="31"/>
      <c r="G444" s="31"/>
      <c r="H444" s="31"/>
    </row>
    <row r="445" ht="15.75" customHeight="1">
      <c r="A445" s="31"/>
      <c r="B445" s="31"/>
      <c r="C445" s="31"/>
      <c r="D445" s="31"/>
      <c r="E445" s="31"/>
      <c r="F445" s="31"/>
      <c r="G445" s="31"/>
      <c r="H445" s="31"/>
    </row>
    <row r="446" ht="15.75" customHeight="1">
      <c r="A446" s="31"/>
      <c r="B446" s="31"/>
      <c r="C446" s="31"/>
      <c r="D446" s="31"/>
      <c r="E446" s="31"/>
      <c r="F446" s="31"/>
      <c r="G446" s="31"/>
      <c r="H446" s="31"/>
    </row>
    <row r="447" ht="15.75" customHeight="1">
      <c r="A447" s="31"/>
      <c r="B447" s="31"/>
      <c r="C447" s="31"/>
      <c r="D447" s="31"/>
      <c r="E447" s="31"/>
      <c r="F447" s="31"/>
      <c r="G447" s="31"/>
      <c r="H447" s="31"/>
    </row>
    <row r="448" ht="15.75" customHeight="1">
      <c r="A448" s="31"/>
      <c r="B448" s="31"/>
      <c r="C448" s="31"/>
      <c r="D448" s="31"/>
      <c r="E448" s="31"/>
      <c r="F448" s="31"/>
      <c r="G448" s="31"/>
      <c r="H448" s="31"/>
    </row>
    <row r="449" ht="15.75" customHeight="1">
      <c r="A449" s="31"/>
      <c r="B449" s="31"/>
      <c r="C449" s="31"/>
      <c r="D449" s="31"/>
      <c r="E449" s="31"/>
      <c r="F449" s="31"/>
      <c r="G449" s="31"/>
      <c r="H449" s="31"/>
    </row>
    <row r="450" ht="15.75" customHeight="1">
      <c r="A450" s="31"/>
      <c r="B450" s="31"/>
      <c r="C450" s="31"/>
      <c r="D450" s="31"/>
      <c r="E450" s="31"/>
      <c r="F450" s="31"/>
      <c r="G450" s="31"/>
      <c r="H450" s="31"/>
    </row>
    <row r="451" ht="15.75" customHeight="1">
      <c r="A451" s="31"/>
      <c r="B451" s="31"/>
      <c r="C451" s="31"/>
      <c r="D451" s="31"/>
      <c r="E451" s="31"/>
      <c r="F451" s="31"/>
      <c r="G451" s="31"/>
      <c r="H451" s="31"/>
    </row>
    <row r="452" ht="15.75" customHeight="1">
      <c r="A452" s="31"/>
      <c r="B452" s="31"/>
      <c r="C452" s="31"/>
      <c r="D452" s="31"/>
      <c r="E452" s="31"/>
      <c r="F452" s="31"/>
      <c r="G452" s="31"/>
      <c r="H452" s="31"/>
    </row>
    <row r="453" ht="15.75" customHeight="1">
      <c r="A453" s="31"/>
      <c r="B453" s="31"/>
      <c r="C453" s="31"/>
      <c r="D453" s="31"/>
      <c r="E453" s="31"/>
      <c r="F453" s="31"/>
      <c r="G453" s="31"/>
      <c r="H453" s="31"/>
    </row>
    <row r="454" ht="15.75" customHeight="1">
      <c r="A454" s="31"/>
      <c r="B454" s="31"/>
      <c r="C454" s="31"/>
      <c r="D454" s="31"/>
      <c r="E454" s="31"/>
      <c r="F454" s="31"/>
      <c r="G454" s="31"/>
      <c r="H454" s="31"/>
    </row>
    <row r="455" ht="15.75" customHeight="1">
      <c r="A455" s="31"/>
      <c r="B455" s="31"/>
      <c r="C455" s="31"/>
      <c r="D455" s="31"/>
      <c r="E455" s="31"/>
      <c r="F455" s="31"/>
      <c r="G455" s="31"/>
      <c r="H455" s="31"/>
    </row>
    <row r="456" ht="15.75" customHeight="1">
      <c r="A456" s="31"/>
      <c r="B456" s="31"/>
      <c r="C456" s="31"/>
      <c r="D456" s="31"/>
      <c r="E456" s="31"/>
      <c r="F456" s="31"/>
      <c r="G456" s="31"/>
      <c r="H456" s="31"/>
    </row>
    <row r="457" ht="15.75" customHeight="1">
      <c r="A457" s="31"/>
      <c r="B457" s="31"/>
      <c r="C457" s="31"/>
      <c r="D457" s="31"/>
      <c r="E457" s="31"/>
      <c r="F457" s="31"/>
      <c r="G457" s="31"/>
      <c r="H457" s="31"/>
    </row>
    <row r="458" ht="15.75" customHeight="1">
      <c r="A458" s="31"/>
      <c r="B458" s="31"/>
      <c r="C458" s="31"/>
      <c r="D458" s="31"/>
      <c r="E458" s="31"/>
      <c r="F458" s="31"/>
      <c r="G458" s="31"/>
      <c r="H458" s="31"/>
    </row>
    <row r="459" ht="15.75" customHeight="1">
      <c r="A459" s="31"/>
      <c r="B459" s="31"/>
      <c r="C459" s="31"/>
      <c r="D459" s="31"/>
      <c r="E459" s="31"/>
      <c r="F459" s="31"/>
      <c r="G459" s="31"/>
      <c r="H459" s="31"/>
    </row>
    <row r="460" ht="15.75" customHeight="1">
      <c r="A460" s="31"/>
      <c r="B460" s="31"/>
      <c r="C460" s="31"/>
      <c r="D460" s="31"/>
      <c r="E460" s="31"/>
      <c r="F460" s="31"/>
      <c r="G460" s="31"/>
      <c r="H460" s="31"/>
    </row>
    <row r="461" ht="15.75" customHeight="1">
      <c r="A461" s="31"/>
      <c r="B461" s="31"/>
      <c r="C461" s="31"/>
      <c r="D461" s="31"/>
      <c r="E461" s="31"/>
      <c r="F461" s="31"/>
      <c r="G461" s="31"/>
      <c r="H461" s="31"/>
    </row>
    <row r="462" ht="15.75" customHeight="1">
      <c r="A462" s="31"/>
      <c r="B462" s="31"/>
      <c r="C462" s="31"/>
      <c r="D462" s="31"/>
      <c r="E462" s="31"/>
      <c r="F462" s="31"/>
      <c r="G462" s="31"/>
      <c r="H462" s="31"/>
    </row>
    <row r="463" ht="15.75" customHeight="1">
      <c r="A463" s="31"/>
      <c r="B463" s="31"/>
      <c r="C463" s="31"/>
      <c r="D463" s="31"/>
      <c r="E463" s="31"/>
      <c r="F463" s="31"/>
      <c r="G463" s="31"/>
      <c r="H463" s="31"/>
    </row>
    <row r="464" ht="15.75" customHeight="1">
      <c r="A464" s="31"/>
      <c r="B464" s="31"/>
      <c r="C464" s="31"/>
      <c r="D464" s="31"/>
      <c r="E464" s="31"/>
      <c r="F464" s="31"/>
      <c r="G464" s="31"/>
      <c r="H464" s="31"/>
    </row>
    <row r="465" ht="15.75" customHeight="1">
      <c r="A465" s="31"/>
      <c r="B465" s="31"/>
      <c r="C465" s="31"/>
      <c r="D465" s="31"/>
      <c r="E465" s="31"/>
      <c r="F465" s="31"/>
      <c r="G465" s="31"/>
      <c r="H465" s="31"/>
    </row>
    <row r="466" ht="15.75" customHeight="1">
      <c r="A466" s="31"/>
      <c r="B466" s="31"/>
      <c r="C466" s="31"/>
      <c r="D466" s="31"/>
      <c r="E466" s="31"/>
      <c r="F466" s="31"/>
      <c r="G466" s="31"/>
      <c r="H466" s="31"/>
    </row>
    <row r="467" ht="15.75" customHeight="1">
      <c r="A467" s="31"/>
      <c r="B467" s="31"/>
      <c r="C467" s="31"/>
      <c r="D467" s="31"/>
      <c r="E467" s="31"/>
      <c r="F467" s="31"/>
      <c r="G467" s="31"/>
      <c r="H467" s="31"/>
    </row>
    <row r="468" ht="15.75" customHeight="1">
      <c r="A468" s="31"/>
      <c r="B468" s="31"/>
      <c r="C468" s="31"/>
      <c r="D468" s="31"/>
      <c r="E468" s="31"/>
      <c r="F468" s="31"/>
      <c r="G468" s="31"/>
      <c r="H468" s="31"/>
    </row>
    <row r="469" ht="15.75" customHeight="1">
      <c r="A469" s="31"/>
      <c r="B469" s="31"/>
      <c r="C469" s="31"/>
      <c r="D469" s="31"/>
      <c r="E469" s="31"/>
      <c r="F469" s="31"/>
      <c r="G469" s="31"/>
      <c r="H469" s="31"/>
    </row>
    <row r="470" ht="15.75" customHeight="1">
      <c r="A470" s="31"/>
      <c r="B470" s="31"/>
      <c r="C470" s="31"/>
      <c r="D470" s="31"/>
      <c r="E470" s="31"/>
      <c r="F470" s="31"/>
      <c r="G470" s="31"/>
      <c r="H470" s="31"/>
    </row>
    <row r="471" ht="15.75" customHeight="1">
      <c r="A471" s="31"/>
      <c r="B471" s="31"/>
      <c r="C471" s="31"/>
      <c r="D471" s="31"/>
      <c r="E471" s="31"/>
      <c r="F471" s="31"/>
      <c r="G471" s="31"/>
      <c r="H471" s="31"/>
    </row>
    <row r="472" ht="15.75" customHeight="1">
      <c r="A472" s="31"/>
      <c r="B472" s="31"/>
      <c r="C472" s="31"/>
      <c r="D472" s="31"/>
      <c r="E472" s="31"/>
      <c r="F472" s="31"/>
      <c r="G472" s="31"/>
      <c r="H472" s="31"/>
    </row>
    <row r="473" ht="15.75" customHeight="1">
      <c r="A473" s="31"/>
      <c r="B473" s="31"/>
      <c r="C473" s="31"/>
      <c r="D473" s="31"/>
      <c r="E473" s="31"/>
      <c r="F473" s="31"/>
      <c r="G473" s="31"/>
      <c r="H473" s="31"/>
    </row>
    <row r="474" ht="15.75" customHeight="1">
      <c r="A474" s="31"/>
      <c r="B474" s="31"/>
      <c r="C474" s="31"/>
      <c r="D474" s="31"/>
      <c r="E474" s="31"/>
      <c r="F474" s="31"/>
      <c r="G474" s="31"/>
      <c r="H474" s="31"/>
    </row>
    <row r="475" ht="15.75" customHeight="1">
      <c r="A475" s="31"/>
      <c r="B475" s="31"/>
      <c r="C475" s="31"/>
      <c r="D475" s="31"/>
      <c r="E475" s="31"/>
      <c r="F475" s="31"/>
      <c r="G475" s="31"/>
      <c r="H475" s="31"/>
    </row>
    <row r="476" ht="15.75" customHeight="1">
      <c r="A476" s="31"/>
      <c r="B476" s="31"/>
      <c r="C476" s="31"/>
      <c r="D476" s="31"/>
      <c r="E476" s="31"/>
      <c r="F476" s="31"/>
      <c r="G476" s="31"/>
      <c r="H476" s="31"/>
    </row>
    <row r="477" ht="15.75" customHeight="1">
      <c r="A477" s="31"/>
      <c r="B477" s="31"/>
      <c r="C477" s="31"/>
      <c r="D477" s="31"/>
      <c r="E477" s="31"/>
      <c r="F477" s="31"/>
      <c r="G477" s="31"/>
      <c r="H477" s="31"/>
    </row>
    <row r="478" ht="15.75" customHeight="1">
      <c r="A478" s="31"/>
      <c r="B478" s="31"/>
      <c r="C478" s="31"/>
      <c r="D478" s="31"/>
      <c r="E478" s="31"/>
      <c r="F478" s="31"/>
      <c r="G478" s="31"/>
      <c r="H478" s="31"/>
    </row>
    <row r="479" ht="15.75" customHeight="1">
      <c r="A479" s="31"/>
      <c r="B479" s="31"/>
      <c r="C479" s="31"/>
      <c r="D479" s="31"/>
      <c r="E479" s="31"/>
      <c r="F479" s="31"/>
      <c r="G479" s="31"/>
      <c r="H479" s="31"/>
    </row>
    <row r="480" ht="15.75" customHeight="1">
      <c r="A480" s="31"/>
      <c r="B480" s="31"/>
      <c r="C480" s="31"/>
      <c r="D480" s="31"/>
      <c r="E480" s="31"/>
      <c r="F480" s="31"/>
      <c r="G480" s="31"/>
      <c r="H480" s="31"/>
    </row>
    <row r="481" ht="15.75" customHeight="1">
      <c r="A481" s="31"/>
      <c r="B481" s="31"/>
      <c r="C481" s="31"/>
      <c r="D481" s="31"/>
      <c r="E481" s="31"/>
      <c r="F481" s="31"/>
      <c r="G481" s="31"/>
      <c r="H481" s="31"/>
    </row>
    <row r="482" ht="15.75" customHeight="1">
      <c r="A482" s="31"/>
      <c r="B482" s="31"/>
      <c r="C482" s="31"/>
      <c r="D482" s="31"/>
      <c r="E482" s="31"/>
      <c r="F482" s="31"/>
      <c r="G482" s="31"/>
      <c r="H482" s="31"/>
    </row>
    <row r="483" ht="15.75" customHeight="1">
      <c r="A483" s="31"/>
      <c r="B483" s="31"/>
      <c r="C483" s="31"/>
      <c r="D483" s="31"/>
      <c r="E483" s="31"/>
      <c r="F483" s="31"/>
      <c r="G483" s="31"/>
      <c r="H483" s="31"/>
    </row>
    <row r="484" ht="15.75" customHeight="1">
      <c r="A484" s="31"/>
      <c r="B484" s="31"/>
      <c r="C484" s="31"/>
      <c r="D484" s="31"/>
      <c r="E484" s="31"/>
      <c r="F484" s="31"/>
      <c r="G484" s="31"/>
      <c r="H484" s="31"/>
    </row>
    <row r="485" ht="15.75" customHeight="1">
      <c r="A485" s="31"/>
      <c r="B485" s="31"/>
      <c r="C485" s="31"/>
      <c r="D485" s="31"/>
      <c r="E485" s="31"/>
      <c r="F485" s="31"/>
      <c r="G485" s="31"/>
      <c r="H485" s="31"/>
    </row>
    <row r="486" ht="15.75" customHeight="1">
      <c r="A486" s="31"/>
      <c r="B486" s="31"/>
      <c r="C486" s="31"/>
      <c r="D486" s="31"/>
      <c r="E486" s="31"/>
      <c r="F486" s="31"/>
      <c r="G486" s="31"/>
      <c r="H486" s="31"/>
    </row>
    <row r="487" ht="15.75" customHeight="1">
      <c r="A487" s="31"/>
      <c r="B487" s="31"/>
      <c r="C487" s="31"/>
      <c r="D487" s="31"/>
      <c r="E487" s="31"/>
      <c r="F487" s="31"/>
      <c r="G487" s="31"/>
      <c r="H487" s="31"/>
    </row>
    <row r="488" ht="15.75" customHeight="1">
      <c r="A488" s="31"/>
      <c r="B488" s="31"/>
      <c r="C488" s="31"/>
      <c r="D488" s="31"/>
      <c r="E488" s="31"/>
      <c r="F488" s="31"/>
      <c r="G488" s="31"/>
      <c r="H488" s="31"/>
    </row>
    <row r="489" ht="15.75" customHeight="1">
      <c r="A489" s="31"/>
      <c r="B489" s="31"/>
      <c r="C489" s="31"/>
      <c r="D489" s="31"/>
      <c r="E489" s="31"/>
      <c r="F489" s="31"/>
      <c r="G489" s="31"/>
      <c r="H489" s="31"/>
    </row>
    <row r="490" ht="15.75" customHeight="1">
      <c r="A490" s="31"/>
      <c r="B490" s="31"/>
      <c r="C490" s="31"/>
      <c r="D490" s="31"/>
      <c r="E490" s="31"/>
      <c r="F490" s="31"/>
      <c r="G490" s="31"/>
      <c r="H490" s="31"/>
    </row>
    <row r="491" ht="15.75" customHeight="1">
      <c r="A491" s="31"/>
      <c r="B491" s="31"/>
      <c r="C491" s="31"/>
      <c r="D491" s="31"/>
      <c r="E491" s="31"/>
      <c r="F491" s="31"/>
      <c r="G491" s="31"/>
      <c r="H491" s="31"/>
    </row>
    <row r="492" ht="15.75" customHeight="1">
      <c r="A492" s="31"/>
      <c r="B492" s="31"/>
      <c r="C492" s="31"/>
      <c r="D492" s="31"/>
      <c r="E492" s="31"/>
      <c r="F492" s="31"/>
      <c r="G492" s="31"/>
      <c r="H492" s="31"/>
    </row>
    <row r="493" ht="15.75" customHeight="1">
      <c r="A493" s="31"/>
      <c r="B493" s="31"/>
      <c r="C493" s="31"/>
      <c r="D493" s="31"/>
      <c r="E493" s="31"/>
      <c r="F493" s="31"/>
      <c r="G493" s="31"/>
      <c r="H493" s="31"/>
    </row>
    <row r="494" ht="15.75" customHeight="1">
      <c r="A494" s="31"/>
      <c r="B494" s="31"/>
      <c r="C494" s="31"/>
      <c r="D494" s="31"/>
      <c r="E494" s="31"/>
      <c r="F494" s="31"/>
      <c r="G494" s="31"/>
      <c r="H494" s="31"/>
    </row>
    <row r="495" ht="15.75" customHeight="1">
      <c r="A495" s="31"/>
      <c r="B495" s="31"/>
      <c r="C495" s="31"/>
      <c r="D495" s="31"/>
      <c r="E495" s="31"/>
      <c r="F495" s="31"/>
      <c r="G495" s="31"/>
      <c r="H495" s="31"/>
    </row>
    <row r="496" ht="15.75" customHeight="1">
      <c r="A496" s="31"/>
      <c r="B496" s="31"/>
      <c r="C496" s="31"/>
      <c r="D496" s="31"/>
      <c r="E496" s="31"/>
      <c r="F496" s="31"/>
      <c r="G496" s="31"/>
      <c r="H496" s="31"/>
    </row>
    <row r="497" ht="15.75" customHeight="1">
      <c r="A497" s="31"/>
      <c r="B497" s="31"/>
      <c r="C497" s="31"/>
      <c r="D497" s="31"/>
      <c r="E497" s="31"/>
      <c r="F497" s="31"/>
      <c r="G497" s="31"/>
      <c r="H497" s="31"/>
    </row>
    <row r="498" ht="15.75" customHeight="1">
      <c r="A498" s="31"/>
      <c r="B498" s="31"/>
      <c r="C498" s="31"/>
      <c r="D498" s="31"/>
      <c r="E498" s="31"/>
      <c r="F498" s="31"/>
      <c r="G498" s="31"/>
      <c r="H498" s="31"/>
    </row>
    <row r="499" ht="15.75" customHeight="1">
      <c r="A499" s="31"/>
      <c r="B499" s="31"/>
      <c r="C499" s="31"/>
      <c r="D499" s="31"/>
      <c r="E499" s="31"/>
      <c r="F499" s="31"/>
      <c r="G499" s="31"/>
      <c r="H499" s="31"/>
    </row>
    <row r="500" ht="15.75" customHeight="1">
      <c r="A500" s="31"/>
      <c r="B500" s="31"/>
      <c r="C500" s="31"/>
      <c r="D500" s="31"/>
      <c r="E500" s="31"/>
      <c r="F500" s="31"/>
      <c r="G500" s="31"/>
      <c r="H500" s="31"/>
    </row>
    <row r="501" ht="15.75" customHeight="1">
      <c r="A501" s="31"/>
      <c r="B501" s="31"/>
      <c r="C501" s="31"/>
      <c r="D501" s="31"/>
      <c r="E501" s="31"/>
      <c r="F501" s="31"/>
      <c r="G501" s="31"/>
      <c r="H501" s="31"/>
    </row>
    <row r="502" ht="15.75" customHeight="1">
      <c r="A502" s="31"/>
      <c r="B502" s="31"/>
      <c r="C502" s="31"/>
      <c r="D502" s="31"/>
      <c r="E502" s="31"/>
      <c r="F502" s="31"/>
      <c r="G502" s="31"/>
      <c r="H502" s="31"/>
    </row>
    <row r="503" ht="15.75" customHeight="1">
      <c r="A503" s="31"/>
      <c r="B503" s="31"/>
      <c r="C503" s="31"/>
      <c r="D503" s="31"/>
      <c r="E503" s="31"/>
      <c r="F503" s="31"/>
      <c r="G503" s="31"/>
      <c r="H503" s="31"/>
    </row>
    <row r="504" ht="15.75" customHeight="1">
      <c r="A504" s="31"/>
      <c r="B504" s="31"/>
      <c r="C504" s="31"/>
      <c r="D504" s="31"/>
      <c r="E504" s="31"/>
      <c r="F504" s="31"/>
      <c r="G504" s="31"/>
      <c r="H504" s="31"/>
    </row>
    <row r="505" ht="15.75" customHeight="1">
      <c r="A505" s="31"/>
      <c r="B505" s="31"/>
      <c r="C505" s="31"/>
      <c r="D505" s="31"/>
      <c r="E505" s="31"/>
      <c r="F505" s="31"/>
      <c r="G505" s="31"/>
      <c r="H505" s="31"/>
    </row>
    <row r="506" ht="15.75" customHeight="1">
      <c r="A506" s="31"/>
      <c r="B506" s="31"/>
      <c r="C506" s="31"/>
      <c r="D506" s="31"/>
      <c r="E506" s="31"/>
      <c r="F506" s="31"/>
      <c r="G506" s="31"/>
      <c r="H506" s="31"/>
    </row>
    <row r="507" ht="15.75" customHeight="1">
      <c r="A507" s="31"/>
      <c r="B507" s="31"/>
      <c r="C507" s="31"/>
      <c r="D507" s="31"/>
      <c r="E507" s="31"/>
      <c r="F507" s="31"/>
      <c r="G507" s="31"/>
      <c r="H507" s="31"/>
    </row>
    <row r="508" ht="15.75" customHeight="1">
      <c r="A508" s="31"/>
      <c r="B508" s="31"/>
      <c r="C508" s="31"/>
      <c r="D508" s="31"/>
      <c r="E508" s="31"/>
      <c r="F508" s="31"/>
      <c r="G508" s="31"/>
      <c r="H508" s="31"/>
    </row>
    <row r="509" ht="15.75" customHeight="1">
      <c r="A509" s="31"/>
      <c r="B509" s="31"/>
      <c r="C509" s="31"/>
      <c r="D509" s="31"/>
      <c r="E509" s="31"/>
      <c r="F509" s="31"/>
      <c r="G509" s="31"/>
      <c r="H509" s="31"/>
    </row>
    <row r="510" ht="15.75" customHeight="1">
      <c r="A510" s="31"/>
      <c r="B510" s="31"/>
      <c r="C510" s="31"/>
      <c r="D510" s="31"/>
      <c r="E510" s="31"/>
      <c r="F510" s="31"/>
      <c r="G510" s="31"/>
      <c r="H510" s="31"/>
    </row>
    <row r="511" ht="15.75" customHeight="1">
      <c r="A511" s="31"/>
      <c r="B511" s="31"/>
      <c r="C511" s="31"/>
      <c r="D511" s="31"/>
      <c r="E511" s="31"/>
      <c r="F511" s="31"/>
      <c r="G511" s="31"/>
      <c r="H511" s="31"/>
    </row>
    <row r="512" ht="15.75" customHeight="1">
      <c r="A512" s="31"/>
      <c r="B512" s="31"/>
      <c r="C512" s="31"/>
      <c r="D512" s="31"/>
      <c r="E512" s="31"/>
      <c r="F512" s="31"/>
      <c r="G512" s="31"/>
      <c r="H512" s="31"/>
    </row>
    <row r="513" ht="15.75" customHeight="1">
      <c r="A513" s="31"/>
      <c r="B513" s="31"/>
      <c r="C513" s="31"/>
      <c r="D513" s="31"/>
      <c r="E513" s="31"/>
      <c r="F513" s="31"/>
      <c r="G513" s="31"/>
      <c r="H513" s="31"/>
    </row>
    <row r="514" ht="15.75" customHeight="1">
      <c r="A514" s="31"/>
      <c r="B514" s="31"/>
      <c r="C514" s="31"/>
      <c r="D514" s="31"/>
      <c r="E514" s="31"/>
      <c r="F514" s="31"/>
      <c r="G514" s="31"/>
      <c r="H514" s="31"/>
    </row>
    <row r="515" ht="15.75" customHeight="1">
      <c r="A515" s="31"/>
      <c r="B515" s="31"/>
      <c r="C515" s="31"/>
      <c r="D515" s="31"/>
      <c r="E515" s="31"/>
      <c r="F515" s="31"/>
      <c r="G515" s="31"/>
      <c r="H515" s="31"/>
    </row>
    <row r="516" ht="15.75" customHeight="1">
      <c r="A516" s="31"/>
      <c r="B516" s="31"/>
      <c r="C516" s="31"/>
      <c r="D516" s="31"/>
      <c r="E516" s="31"/>
      <c r="F516" s="31"/>
      <c r="G516" s="31"/>
      <c r="H516" s="31"/>
    </row>
    <row r="517" ht="15.75" customHeight="1">
      <c r="A517" s="31"/>
      <c r="B517" s="31"/>
      <c r="C517" s="31"/>
      <c r="D517" s="31"/>
      <c r="E517" s="31"/>
      <c r="F517" s="31"/>
      <c r="G517" s="31"/>
      <c r="H517" s="31"/>
    </row>
    <row r="518" ht="15.75" customHeight="1">
      <c r="A518" s="31"/>
      <c r="B518" s="31"/>
      <c r="C518" s="31"/>
      <c r="D518" s="31"/>
      <c r="E518" s="31"/>
      <c r="F518" s="31"/>
      <c r="G518" s="31"/>
      <c r="H518" s="31"/>
    </row>
    <row r="519" ht="15.75" customHeight="1">
      <c r="A519" s="31"/>
      <c r="B519" s="31"/>
      <c r="C519" s="31"/>
      <c r="D519" s="31"/>
      <c r="E519" s="31"/>
      <c r="F519" s="31"/>
      <c r="G519" s="31"/>
      <c r="H519" s="31"/>
    </row>
    <row r="520" ht="15.75" customHeight="1">
      <c r="A520" s="31"/>
      <c r="B520" s="31"/>
      <c r="C520" s="31"/>
      <c r="D520" s="31"/>
      <c r="E520" s="31"/>
      <c r="F520" s="31"/>
      <c r="G520" s="31"/>
      <c r="H520" s="31"/>
    </row>
    <row r="521" ht="15.75" customHeight="1">
      <c r="A521" s="31"/>
      <c r="B521" s="31"/>
      <c r="C521" s="31"/>
      <c r="D521" s="31"/>
      <c r="E521" s="31"/>
      <c r="F521" s="31"/>
      <c r="G521" s="31"/>
      <c r="H521" s="31"/>
    </row>
    <row r="522" ht="15.75" customHeight="1">
      <c r="A522" s="31"/>
      <c r="B522" s="31"/>
      <c r="C522" s="31"/>
      <c r="D522" s="31"/>
      <c r="E522" s="31"/>
      <c r="F522" s="31"/>
      <c r="G522" s="31"/>
      <c r="H522" s="31"/>
    </row>
    <row r="523" ht="15.75" customHeight="1">
      <c r="A523" s="31"/>
      <c r="B523" s="31"/>
      <c r="C523" s="31"/>
      <c r="D523" s="31"/>
      <c r="E523" s="31"/>
      <c r="F523" s="31"/>
      <c r="G523" s="31"/>
      <c r="H523" s="31"/>
    </row>
    <row r="524" ht="15.75" customHeight="1">
      <c r="A524" s="31"/>
      <c r="B524" s="31"/>
      <c r="C524" s="31"/>
      <c r="D524" s="31"/>
      <c r="E524" s="31"/>
      <c r="F524" s="31"/>
      <c r="G524" s="31"/>
      <c r="H524" s="31"/>
    </row>
    <row r="525" ht="15.75" customHeight="1">
      <c r="A525" s="31"/>
      <c r="B525" s="31"/>
      <c r="C525" s="31"/>
      <c r="D525" s="31"/>
      <c r="E525" s="31"/>
      <c r="F525" s="31"/>
      <c r="G525" s="31"/>
      <c r="H525" s="31"/>
    </row>
    <row r="526" ht="15.75" customHeight="1">
      <c r="A526" s="31"/>
      <c r="B526" s="31"/>
      <c r="C526" s="31"/>
      <c r="D526" s="31"/>
      <c r="E526" s="31"/>
      <c r="F526" s="31"/>
      <c r="G526" s="31"/>
      <c r="H526" s="31"/>
    </row>
    <row r="527" ht="15.75" customHeight="1">
      <c r="A527" s="31"/>
      <c r="B527" s="31"/>
      <c r="C527" s="31"/>
      <c r="D527" s="31"/>
      <c r="E527" s="31"/>
      <c r="F527" s="31"/>
      <c r="G527" s="31"/>
      <c r="H527" s="31"/>
    </row>
    <row r="528" ht="15.75" customHeight="1">
      <c r="A528" s="31"/>
      <c r="B528" s="31"/>
      <c r="C528" s="31"/>
      <c r="D528" s="31"/>
      <c r="E528" s="31"/>
      <c r="F528" s="31"/>
      <c r="G528" s="31"/>
      <c r="H528" s="31"/>
    </row>
    <row r="529" ht="15.75" customHeight="1">
      <c r="A529" s="31"/>
      <c r="B529" s="31"/>
      <c r="C529" s="31"/>
      <c r="D529" s="31"/>
      <c r="E529" s="31"/>
      <c r="F529" s="31"/>
      <c r="G529" s="31"/>
      <c r="H529" s="31"/>
    </row>
    <row r="530" ht="15.75" customHeight="1">
      <c r="A530" s="31"/>
      <c r="B530" s="31"/>
      <c r="C530" s="31"/>
      <c r="D530" s="31"/>
      <c r="E530" s="31"/>
      <c r="F530" s="31"/>
      <c r="G530" s="31"/>
      <c r="H530" s="31"/>
    </row>
    <row r="531" ht="15.75" customHeight="1">
      <c r="A531" s="31"/>
      <c r="B531" s="31"/>
      <c r="C531" s="31"/>
      <c r="D531" s="31"/>
      <c r="E531" s="31"/>
      <c r="F531" s="31"/>
      <c r="G531" s="31"/>
      <c r="H531" s="31"/>
    </row>
    <row r="532" ht="15.75" customHeight="1">
      <c r="A532" s="31"/>
      <c r="B532" s="31"/>
      <c r="C532" s="31"/>
      <c r="D532" s="31"/>
      <c r="E532" s="31"/>
      <c r="F532" s="31"/>
      <c r="G532" s="31"/>
      <c r="H532" s="31"/>
    </row>
    <row r="533" ht="15.75" customHeight="1">
      <c r="A533" s="31"/>
      <c r="B533" s="31"/>
      <c r="C533" s="31"/>
      <c r="D533" s="31"/>
      <c r="E533" s="31"/>
      <c r="F533" s="31"/>
      <c r="G533" s="31"/>
      <c r="H533" s="31"/>
    </row>
    <row r="534" ht="15.75" customHeight="1">
      <c r="A534" s="31"/>
      <c r="B534" s="31"/>
      <c r="C534" s="31"/>
      <c r="D534" s="31"/>
      <c r="E534" s="31"/>
      <c r="F534" s="31"/>
      <c r="G534" s="31"/>
      <c r="H534" s="31"/>
    </row>
    <row r="535" ht="15.75" customHeight="1">
      <c r="A535" s="31"/>
      <c r="B535" s="31"/>
      <c r="C535" s="31"/>
      <c r="D535" s="31"/>
      <c r="E535" s="31"/>
      <c r="F535" s="31"/>
      <c r="G535" s="31"/>
      <c r="H535" s="31"/>
    </row>
    <row r="536" ht="15.75" customHeight="1">
      <c r="A536" s="31"/>
      <c r="B536" s="31"/>
      <c r="C536" s="31"/>
      <c r="D536" s="31"/>
      <c r="E536" s="31"/>
      <c r="F536" s="31"/>
      <c r="G536" s="31"/>
      <c r="H536" s="31"/>
    </row>
    <row r="537" ht="15.75" customHeight="1">
      <c r="A537" s="31"/>
      <c r="B537" s="31"/>
      <c r="C537" s="31"/>
      <c r="D537" s="31"/>
      <c r="E537" s="31"/>
      <c r="F537" s="31"/>
      <c r="G537" s="31"/>
      <c r="H537" s="31"/>
    </row>
    <row r="538" ht="15.75" customHeight="1">
      <c r="A538" s="31"/>
      <c r="B538" s="31"/>
      <c r="C538" s="31"/>
      <c r="D538" s="31"/>
      <c r="E538" s="31"/>
      <c r="F538" s="31"/>
      <c r="G538" s="31"/>
      <c r="H538" s="31"/>
    </row>
    <row r="539" ht="15.75" customHeight="1">
      <c r="A539" s="31"/>
      <c r="B539" s="31"/>
      <c r="C539" s="31"/>
      <c r="D539" s="31"/>
      <c r="E539" s="31"/>
      <c r="F539" s="31"/>
      <c r="G539" s="31"/>
      <c r="H539" s="31"/>
    </row>
    <row r="540" ht="15.75" customHeight="1">
      <c r="A540" s="31"/>
      <c r="B540" s="31"/>
      <c r="C540" s="31"/>
      <c r="D540" s="31"/>
      <c r="E540" s="31"/>
      <c r="F540" s="31"/>
      <c r="G540" s="31"/>
      <c r="H540" s="31"/>
    </row>
    <row r="541" ht="15.75" customHeight="1">
      <c r="A541" s="31"/>
      <c r="B541" s="31"/>
      <c r="C541" s="31"/>
      <c r="D541" s="31"/>
      <c r="E541" s="31"/>
      <c r="F541" s="31"/>
      <c r="G541" s="31"/>
      <c r="H541" s="31"/>
    </row>
    <row r="542" ht="15.75" customHeight="1">
      <c r="A542" s="31"/>
      <c r="B542" s="31"/>
      <c r="C542" s="31"/>
      <c r="D542" s="31"/>
      <c r="E542" s="31"/>
      <c r="F542" s="31"/>
      <c r="G542" s="31"/>
      <c r="H542" s="31"/>
    </row>
    <row r="543" ht="15.75" customHeight="1">
      <c r="A543" s="31"/>
      <c r="B543" s="31"/>
      <c r="C543" s="31"/>
      <c r="D543" s="31"/>
      <c r="E543" s="31"/>
      <c r="F543" s="31"/>
      <c r="G543" s="31"/>
      <c r="H543" s="31"/>
    </row>
    <row r="544" ht="15.75" customHeight="1">
      <c r="A544" s="31"/>
      <c r="B544" s="31"/>
      <c r="C544" s="31"/>
      <c r="D544" s="31"/>
      <c r="E544" s="31"/>
      <c r="F544" s="31"/>
      <c r="G544" s="31"/>
      <c r="H544" s="31"/>
    </row>
    <row r="545" ht="15.75" customHeight="1">
      <c r="A545" s="31"/>
      <c r="B545" s="31"/>
      <c r="C545" s="31"/>
      <c r="D545" s="31"/>
      <c r="E545" s="31"/>
      <c r="F545" s="31"/>
      <c r="G545" s="31"/>
      <c r="H545" s="31"/>
    </row>
    <row r="546" ht="15.75" customHeight="1">
      <c r="A546" s="31"/>
      <c r="B546" s="31"/>
      <c r="C546" s="31"/>
      <c r="D546" s="31"/>
      <c r="E546" s="31"/>
      <c r="F546" s="31"/>
      <c r="G546" s="31"/>
      <c r="H546" s="31"/>
    </row>
    <row r="547" ht="15.75" customHeight="1">
      <c r="A547" s="31"/>
      <c r="B547" s="31"/>
      <c r="C547" s="31"/>
      <c r="D547" s="31"/>
      <c r="E547" s="31"/>
      <c r="F547" s="31"/>
      <c r="G547" s="31"/>
      <c r="H547" s="31"/>
    </row>
    <row r="548" ht="15.75" customHeight="1">
      <c r="A548" s="31"/>
      <c r="B548" s="31"/>
      <c r="C548" s="31"/>
      <c r="D548" s="31"/>
      <c r="E548" s="31"/>
      <c r="F548" s="31"/>
      <c r="G548" s="31"/>
      <c r="H548" s="31"/>
    </row>
    <row r="549" ht="15.75" customHeight="1">
      <c r="A549" s="31"/>
      <c r="B549" s="31"/>
      <c r="C549" s="31"/>
      <c r="D549" s="31"/>
      <c r="E549" s="31"/>
      <c r="F549" s="31"/>
      <c r="G549" s="31"/>
      <c r="H549" s="31"/>
    </row>
    <row r="550" ht="15.75" customHeight="1">
      <c r="A550" s="31"/>
      <c r="B550" s="31"/>
      <c r="C550" s="31"/>
      <c r="D550" s="31"/>
      <c r="E550" s="31"/>
      <c r="F550" s="31"/>
      <c r="G550" s="31"/>
      <c r="H550" s="31"/>
    </row>
    <row r="551" ht="15.75" customHeight="1">
      <c r="A551" s="31"/>
      <c r="B551" s="31"/>
      <c r="C551" s="31"/>
      <c r="D551" s="31"/>
      <c r="E551" s="31"/>
      <c r="F551" s="31"/>
      <c r="G551" s="31"/>
      <c r="H551" s="31"/>
    </row>
    <row r="552" ht="15.75" customHeight="1">
      <c r="A552" s="31"/>
      <c r="B552" s="31"/>
      <c r="C552" s="31"/>
      <c r="D552" s="31"/>
      <c r="E552" s="31"/>
      <c r="F552" s="31"/>
      <c r="G552" s="31"/>
      <c r="H552" s="31"/>
    </row>
    <row r="553" ht="15.75" customHeight="1">
      <c r="A553" s="31"/>
      <c r="B553" s="31"/>
      <c r="C553" s="31"/>
      <c r="D553" s="31"/>
      <c r="E553" s="31"/>
      <c r="F553" s="31"/>
      <c r="G553" s="31"/>
      <c r="H553" s="31"/>
    </row>
    <row r="554" ht="15.75" customHeight="1">
      <c r="A554" s="31"/>
      <c r="B554" s="31"/>
      <c r="C554" s="31"/>
      <c r="D554" s="31"/>
      <c r="E554" s="31"/>
      <c r="F554" s="31"/>
      <c r="G554" s="31"/>
      <c r="H554" s="31"/>
    </row>
    <row r="555" ht="15.75" customHeight="1">
      <c r="A555" s="31"/>
      <c r="B555" s="31"/>
      <c r="C555" s="31"/>
      <c r="D555" s="31"/>
      <c r="E555" s="31"/>
      <c r="F555" s="31"/>
      <c r="G555" s="31"/>
      <c r="H555" s="31"/>
    </row>
    <row r="556" ht="15.75" customHeight="1">
      <c r="A556" s="31"/>
      <c r="B556" s="31"/>
      <c r="C556" s="31"/>
      <c r="D556" s="31"/>
      <c r="E556" s="31"/>
      <c r="F556" s="31"/>
      <c r="G556" s="31"/>
      <c r="H556" s="31"/>
    </row>
    <row r="557" ht="15.75" customHeight="1">
      <c r="A557" s="31"/>
      <c r="B557" s="31"/>
      <c r="C557" s="31"/>
      <c r="D557" s="31"/>
      <c r="E557" s="31"/>
      <c r="F557" s="31"/>
      <c r="G557" s="31"/>
      <c r="H557" s="31"/>
    </row>
    <row r="558" ht="15.75" customHeight="1">
      <c r="A558" s="31"/>
      <c r="B558" s="31"/>
      <c r="C558" s="31"/>
      <c r="D558" s="31"/>
      <c r="E558" s="31"/>
      <c r="F558" s="31"/>
      <c r="G558" s="31"/>
      <c r="H558" s="31"/>
    </row>
    <row r="559" ht="15.75" customHeight="1">
      <c r="A559" s="31"/>
      <c r="B559" s="31"/>
      <c r="C559" s="31"/>
      <c r="D559" s="31"/>
      <c r="E559" s="31"/>
      <c r="F559" s="31"/>
      <c r="G559" s="31"/>
      <c r="H559" s="31"/>
    </row>
    <row r="560" ht="15.75" customHeight="1">
      <c r="A560" s="31"/>
      <c r="B560" s="31"/>
      <c r="C560" s="31"/>
      <c r="D560" s="31"/>
      <c r="E560" s="31"/>
      <c r="F560" s="31"/>
      <c r="G560" s="31"/>
      <c r="H560" s="31"/>
    </row>
    <row r="561" ht="15.75" customHeight="1">
      <c r="A561" s="31"/>
      <c r="B561" s="31"/>
      <c r="C561" s="31"/>
      <c r="D561" s="31"/>
      <c r="E561" s="31"/>
      <c r="F561" s="31"/>
      <c r="G561" s="31"/>
      <c r="H561" s="31"/>
    </row>
    <row r="562" ht="15.75" customHeight="1">
      <c r="A562" s="31"/>
      <c r="B562" s="31"/>
      <c r="C562" s="31"/>
      <c r="D562" s="31"/>
      <c r="E562" s="31"/>
      <c r="F562" s="31"/>
      <c r="G562" s="31"/>
      <c r="H562" s="31"/>
    </row>
    <row r="563" ht="15.75" customHeight="1">
      <c r="A563" s="31"/>
      <c r="B563" s="31"/>
      <c r="C563" s="31"/>
      <c r="D563" s="31"/>
      <c r="E563" s="31"/>
      <c r="F563" s="31"/>
      <c r="G563" s="31"/>
      <c r="H563" s="31"/>
    </row>
    <row r="564" ht="15.75" customHeight="1">
      <c r="A564" s="31"/>
      <c r="B564" s="31"/>
      <c r="C564" s="31"/>
      <c r="D564" s="31"/>
      <c r="E564" s="31"/>
      <c r="F564" s="31"/>
      <c r="G564" s="31"/>
      <c r="H564" s="31"/>
    </row>
    <row r="565" ht="15.75" customHeight="1">
      <c r="A565" s="31"/>
      <c r="B565" s="31"/>
      <c r="C565" s="31"/>
      <c r="D565" s="31"/>
      <c r="E565" s="31"/>
      <c r="F565" s="31"/>
      <c r="G565" s="31"/>
      <c r="H565" s="31"/>
    </row>
    <row r="566" ht="15.75" customHeight="1">
      <c r="A566" s="31"/>
      <c r="B566" s="31"/>
      <c r="C566" s="31"/>
      <c r="D566" s="31"/>
      <c r="E566" s="31"/>
      <c r="F566" s="31"/>
      <c r="G566" s="31"/>
      <c r="H566" s="31"/>
    </row>
    <row r="567" ht="15.75" customHeight="1">
      <c r="A567" s="31"/>
      <c r="B567" s="31"/>
      <c r="C567" s="31"/>
      <c r="D567" s="31"/>
      <c r="E567" s="31"/>
      <c r="F567" s="31"/>
      <c r="G567" s="31"/>
      <c r="H567" s="31"/>
    </row>
    <row r="568" ht="15.75" customHeight="1">
      <c r="A568" s="31"/>
      <c r="B568" s="31"/>
      <c r="C568" s="31"/>
      <c r="D568" s="31"/>
      <c r="E568" s="31"/>
      <c r="F568" s="31"/>
      <c r="G568" s="31"/>
      <c r="H568" s="31"/>
    </row>
    <row r="569" ht="15.75" customHeight="1">
      <c r="A569" s="31"/>
      <c r="B569" s="31"/>
      <c r="C569" s="31"/>
      <c r="D569" s="31"/>
      <c r="E569" s="31"/>
      <c r="F569" s="31"/>
      <c r="G569" s="31"/>
      <c r="H569" s="31"/>
    </row>
    <row r="570" ht="15.75" customHeight="1">
      <c r="A570" s="31"/>
      <c r="B570" s="31"/>
      <c r="C570" s="31"/>
      <c r="D570" s="31"/>
      <c r="E570" s="31"/>
      <c r="F570" s="31"/>
      <c r="G570" s="31"/>
      <c r="H570" s="31"/>
    </row>
    <row r="571" ht="15.75" customHeight="1">
      <c r="A571" s="31"/>
      <c r="B571" s="31"/>
      <c r="C571" s="31"/>
      <c r="D571" s="31"/>
      <c r="E571" s="31"/>
      <c r="F571" s="31"/>
      <c r="G571" s="31"/>
      <c r="H571" s="31"/>
    </row>
    <row r="572" ht="15.75" customHeight="1">
      <c r="A572" s="31"/>
      <c r="B572" s="31"/>
      <c r="C572" s="31"/>
      <c r="D572" s="31"/>
      <c r="E572" s="31"/>
      <c r="F572" s="31"/>
      <c r="G572" s="31"/>
      <c r="H572" s="31"/>
    </row>
    <row r="573" ht="15.75" customHeight="1">
      <c r="A573" s="31"/>
      <c r="B573" s="31"/>
      <c r="C573" s="31"/>
      <c r="D573" s="31"/>
      <c r="E573" s="31"/>
      <c r="F573" s="31"/>
      <c r="G573" s="31"/>
      <c r="H573" s="31"/>
    </row>
    <row r="574" ht="15.75" customHeight="1">
      <c r="A574" s="31"/>
      <c r="B574" s="31"/>
      <c r="C574" s="31"/>
      <c r="D574" s="31"/>
      <c r="E574" s="31"/>
      <c r="F574" s="31"/>
      <c r="G574" s="31"/>
      <c r="H574" s="31"/>
    </row>
    <row r="575" ht="15.75" customHeight="1">
      <c r="A575" s="31"/>
      <c r="B575" s="31"/>
      <c r="C575" s="31"/>
      <c r="D575" s="31"/>
      <c r="E575" s="31"/>
      <c r="F575" s="31"/>
      <c r="G575" s="31"/>
      <c r="H575" s="31"/>
    </row>
    <row r="576" ht="15.75" customHeight="1">
      <c r="A576" s="31"/>
      <c r="B576" s="31"/>
      <c r="C576" s="31"/>
      <c r="D576" s="31"/>
      <c r="E576" s="31"/>
      <c r="F576" s="31"/>
      <c r="G576" s="31"/>
      <c r="H576" s="31"/>
    </row>
    <row r="577" ht="15.75" customHeight="1">
      <c r="A577" s="31"/>
      <c r="B577" s="31"/>
      <c r="C577" s="31"/>
      <c r="D577" s="31"/>
      <c r="E577" s="31"/>
      <c r="F577" s="31"/>
      <c r="G577" s="31"/>
      <c r="H577" s="31"/>
    </row>
    <row r="578" ht="15.75" customHeight="1">
      <c r="A578" s="31"/>
      <c r="B578" s="31"/>
      <c r="C578" s="31"/>
      <c r="D578" s="31"/>
      <c r="E578" s="31"/>
      <c r="F578" s="31"/>
      <c r="G578" s="31"/>
      <c r="H578" s="31"/>
    </row>
    <row r="579" ht="15.75" customHeight="1">
      <c r="A579" s="31"/>
      <c r="B579" s="31"/>
      <c r="C579" s="31"/>
      <c r="D579" s="31"/>
      <c r="E579" s="31"/>
      <c r="F579" s="31"/>
      <c r="G579" s="31"/>
      <c r="H579" s="31"/>
    </row>
    <row r="580" ht="15.75" customHeight="1">
      <c r="A580" s="31"/>
      <c r="B580" s="31"/>
      <c r="C580" s="31"/>
      <c r="D580" s="31"/>
      <c r="E580" s="31"/>
      <c r="F580" s="31"/>
      <c r="G580" s="31"/>
      <c r="H580" s="31"/>
    </row>
    <row r="581" ht="15.75" customHeight="1">
      <c r="A581" s="31"/>
      <c r="B581" s="31"/>
      <c r="C581" s="31"/>
      <c r="D581" s="31"/>
      <c r="E581" s="31"/>
      <c r="F581" s="31"/>
      <c r="G581" s="31"/>
      <c r="H581" s="31"/>
    </row>
    <row r="582" ht="15.75" customHeight="1">
      <c r="A582" s="31"/>
      <c r="B582" s="31"/>
      <c r="C582" s="31"/>
      <c r="D582" s="31"/>
      <c r="E582" s="31"/>
      <c r="F582" s="31"/>
      <c r="G582" s="31"/>
      <c r="H582" s="31"/>
    </row>
    <row r="583" ht="15.75" customHeight="1">
      <c r="A583" s="31"/>
      <c r="B583" s="31"/>
      <c r="C583" s="31"/>
      <c r="D583" s="31"/>
      <c r="E583" s="31"/>
      <c r="F583" s="31"/>
      <c r="G583" s="31"/>
      <c r="H583" s="31"/>
    </row>
    <row r="584" ht="15.75" customHeight="1">
      <c r="A584" s="31"/>
      <c r="B584" s="31"/>
      <c r="C584" s="31"/>
      <c r="D584" s="31"/>
      <c r="E584" s="31"/>
      <c r="F584" s="31"/>
      <c r="G584" s="31"/>
      <c r="H584" s="31"/>
    </row>
    <row r="585" ht="15.75" customHeight="1">
      <c r="A585" s="31"/>
      <c r="B585" s="31"/>
      <c r="C585" s="31"/>
      <c r="D585" s="31"/>
      <c r="E585" s="31"/>
      <c r="F585" s="31"/>
      <c r="G585" s="31"/>
      <c r="H585" s="31"/>
    </row>
    <row r="586" ht="15.75" customHeight="1">
      <c r="A586" s="31"/>
      <c r="B586" s="31"/>
      <c r="C586" s="31"/>
      <c r="D586" s="31"/>
      <c r="E586" s="31"/>
      <c r="F586" s="31"/>
      <c r="G586" s="31"/>
      <c r="H586" s="31"/>
    </row>
    <row r="587" ht="15.75" customHeight="1">
      <c r="A587" s="31"/>
      <c r="B587" s="31"/>
      <c r="C587" s="31"/>
      <c r="D587" s="31"/>
      <c r="E587" s="31"/>
      <c r="F587" s="31"/>
      <c r="G587" s="31"/>
      <c r="H587" s="31"/>
    </row>
    <row r="588" ht="15.75" customHeight="1">
      <c r="A588" s="31"/>
      <c r="B588" s="31"/>
      <c r="C588" s="31"/>
      <c r="D588" s="31"/>
      <c r="E588" s="31"/>
      <c r="F588" s="31"/>
      <c r="G588" s="31"/>
      <c r="H588" s="31"/>
    </row>
    <row r="589" ht="15.75" customHeight="1">
      <c r="A589" s="31"/>
      <c r="B589" s="31"/>
      <c r="C589" s="31"/>
      <c r="D589" s="31"/>
      <c r="E589" s="31"/>
      <c r="F589" s="31"/>
      <c r="G589" s="31"/>
      <c r="H589" s="31"/>
    </row>
    <row r="590" ht="15.75" customHeight="1">
      <c r="A590" s="31"/>
      <c r="B590" s="31"/>
      <c r="C590" s="31"/>
      <c r="D590" s="31"/>
      <c r="E590" s="31"/>
      <c r="F590" s="31"/>
      <c r="G590" s="31"/>
      <c r="H590" s="31"/>
    </row>
    <row r="591" ht="15.75" customHeight="1">
      <c r="A591" s="31"/>
      <c r="B591" s="31"/>
      <c r="C591" s="31"/>
      <c r="D591" s="31"/>
      <c r="E591" s="31"/>
      <c r="F591" s="31"/>
      <c r="G591" s="31"/>
      <c r="H591" s="31"/>
    </row>
    <row r="592" ht="15.75" customHeight="1">
      <c r="A592" s="31"/>
      <c r="B592" s="31"/>
      <c r="C592" s="31"/>
      <c r="D592" s="31"/>
      <c r="E592" s="31"/>
      <c r="F592" s="31"/>
      <c r="G592" s="31"/>
      <c r="H592" s="31"/>
    </row>
    <row r="593" ht="15.75" customHeight="1">
      <c r="A593" s="31"/>
      <c r="B593" s="31"/>
      <c r="C593" s="31"/>
      <c r="D593" s="31"/>
      <c r="E593" s="31"/>
      <c r="F593" s="31"/>
      <c r="G593" s="31"/>
      <c r="H593" s="31"/>
    </row>
    <row r="594" ht="15.75" customHeight="1">
      <c r="A594" s="31"/>
      <c r="B594" s="31"/>
      <c r="C594" s="31"/>
      <c r="D594" s="31"/>
      <c r="E594" s="31"/>
      <c r="F594" s="31"/>
      <c r="G594" s="31"/>
      <c r="H594" s="31"/>
    </row>
    <row r="595" ht="15.75" customHeight="1">
      <c r="A595" s="31"/>
      <c r="B595" s="31"/>
      <c r="C595" s="31"/>
      <c r="D595" s="31"/>
      <c r="E595" s="31"/>
      <c r="F595" s="31"/>
      <c r="G595" s="31"/>
      <c r="H595" s="31"/>
    </row>
    <row r="596" ht="15.75" customHeight="1">
      <c r="A596" s="31"/>
      <c r="B596" s="31"/>
      <c r="C596" s="31"/>
      <c r="D596" s="31"/>
      <c r="E596" s="31"/>
      <c r="F596" s="31"/>
      <c r="G596" s="31"/>
      <c r="H596" s="31"/>
    </row>
    <row r="597" ht="15.75" customHeight="1">
      <c r="A597" s="31"/>
      <c r="B597" s="31"/>
      <c r="C597" s="31"/>
      <c r="D597" s="31"/>
      <c r="E597" s="31"/>
      <c r="F597" s="31"/>
      <c r="G597" s="31"/>
      <c r="H597" s="31"/>
    </row>
    <row r="598" ht="15.75" customHeight="1">
      <c r="A598" s="31"/>
      <c r="B598" s="31"/>
      <c r="C598" s="31"/>
      <c r="D598" s="31"/>
      <c r="E598" s="31"/>
      <c r="F598" s="31"/>
      <c r="G598" s="31"/>
      <c r="H598" s="31"/>
    </row>
    <row r="599" ht="15.75" customHeight="1">
      <c r="A599" s="31"/>
      <c r="B599" s="31"/>
      <c r="C599" s="31"/>
      <c r="D599" s="31"/>
      <c r="E599" s="31"/>
      <c r="F599" s="31"/>
      <c r="G599" s="31"/>
      <c r="H599" s="31"/>
    </row>
    <row r="600" ht="15.75" customHeight="1">
      <c r="A600" s="31"/>
      <c r="B600" s="31"/>
      <c r="C600" s="31"/>
      <c r="D600" s="31"/>
      <c r="E600" s="31"/>
      <c r="F600" s="31"/>
      <c r="G600" s="31"/>
      <c r="H600" s="31"/>
    </row>
    <row r="601" ht="15.75" customHeight="1">
      <c r="A601" s="31"/>
      <c r="B601" s="31"/>
      <c r="C601" s="31"/>
      <c r="D601" s="31"/>
      <c r="E601" s="31"/>
      <c r="F601" s="31"/>
      <c r="G601" s="31"/>
      <c r="H601" s="31"/>
    </row>
    <row r="602" ht="15.75" customHeight="1">
      <c r="A602" s="31"/>
      <c r="B602" s="31"/>
      <c r="C602" s="31"/>
      <c r="D602" s="31"/>
      <c r="E602" s="31"/>
      <c r="F602" s="31"/>
      <c r="G602" s="31"/>
      <c r="H602" s="31"/>
    </row>
    <row r="603" ht="15.75" customHeight="1">
      <c r="A603" s="31"/>
      <c r="B603" s="31"/>
      <c r="C603" s="31"/>
      <c r="D603" s="31"/>
      <c r="E603" s="31"/>
      <c r="F603" s="31"/>
      <c r="G603" s="31"/>
      <c r="H603" s="31"/>
    </row>
    <row r="604" ht="15.75" customHeight="1">
      <c r="A604" s="31"/>
      <c r="B604" s="31"/>
      <c r="C604" s="31"/>
      <c r="D604" s="31"/>
      <c r="E604" s="31"/>
      <c r="F604" s="31"/>
      <c r="G604" s="31"/>
      <c r="H604" s="31"/>
    </row>
    <row r="605" ht="15.75" customHeight="1">
      <c r="A605" s="31"/>
      <c r="B605" s="31"/>
      <c r="C605" s="31"/>
      <c r="D605" s="31"/>
      <c r="E605" s="31"/>
      <c r="F605" s="31"/>
      <c r="G605" s="31"/>
      <c r="H605" s="31"/>
    </row>
    <row r="606" ht="15.75" customHeight="1">
      <c r="A606" s="31"/>
      <c r="B606" s="31"/>
      <c r="C606" s="31"/>
      <c r="D606" s="31"/>
      <c r="E606" s="31"/>
      <c r="F606" s="31"/>
      <c r="G606" s="31"/>
      <c r="H606" s="31"/>
    </row>
    <row r="607" ht="15.75" customHeight="1">
      <c r="A607" s="31"/>
      <c r="B607" s="31"/>
      <c r="C607" s="31"/>
      <c r="D607" s="31"/>
      <c r="E607" s="31"/>
      <c r="F607" s="31"/>
      <c r="G607" s="31"/>
      <c r="H607" s="31"/>
    </row>
    <row r="608" ht="15.75" customHeight="1">
      <c r="A608" s="31"/>
      <c r="B608" s="31"/>
      <c r="C608" s="31"/>
      <c r="D608" s="31"/>
      <c r="E608" s="31"/>
      <c r="F608" s="31"/>
      <c r="G608" s="31"/>
      <c r="H608" s="31"/>
    </row>
    <row r="609" ht="15.75" customHeight="1">
      <c r="A609" s="31"/>
      <c r="B609" s="31"/>
      <c r="C609" s="31"/>
      <c r="D609" s="31"/>
      <c r="E609" s="31"/>
      <c r="F609" s="31"/>
      <c r="G609" s="31"/>
      <c r="H609" s="31"/>
    </row>
    <row r="610" ht="15.75" customHeight="1">
      <c r="A610" s="31"/>
      <c r="B610" s="31"/>
      <c r="C610" s="31"/>
      <c r="D610" s="31"/>
      <c r="E610" s="31"/>
      <c r="F610" s="31"/>
      <c r="G610" s="31"/>
      <c r="H610" s="31"/>
    </row>
    <row r="611" ht="15.75" customHeight="1">
      <c r="A611" s="31"/>
      <c r="B611" s="31"/>
      <c r="C611" s="31"/>
      <c r="D611" s="31"/>
      <c r="E611" s="31"/>
      <c r="F611" s="31"/>
      <c r="G611" s="31"/>
      <c r="H611" s="31"/>
    </row>
    <row r="612" ht="15.75" customHeight="1">
      <c r="A612" s="31"/>
      <c r="B612" s="31"/>
      <c r="C612" s="31"/>
      <c r="D612" s="31"/>
      <c r="E612" s="31"/>
      <c r="F612" s="31"/>
      <c r="G612" s="31"/>
      <c r="H612" s="31"/>
    </row>
    <row r="613" ht="15.75" customHeight="1">
      <c r="A613" s="31"/>
      <c r="B613" s="31"/>
      <c r="C613" s="31"/>
      <c r="D613" s="31"/>
      <c r="E613" s="31"/>
      <c r="F613" s="31"/>
      <c r="G613" s="31"/>
      <c r="H613" s="31"/>
    </row>
    <row r="614" ht="15.75" customHeight="1">
      <c r="A614" s="31"/>
      <c r="B614" s="31"/>
      <c r="C614" s="31"/>
      <c r="D614" s="31"/>
      <c r="E614" s="31"/>
      <c r="F614" s="31"/>
      <c r="G614" s="31"/>
      <c r="H614" s="31"/>
    </row>
    <row r="615" ht="15.75" customHeight="1">
      <c r="A615" s="31"/>
      <c r="B615" s="31"/>
      <c r="C615" s="31"/>
      <c r="D615" s="31"/>
      <c r="E615" s="31"/>
      <c r="F615" s="31"/>
      <c r="G615" s="31"/>
      <c r="H615" s="31"/>
    </row>
    <row r="616" ht="15.75" customHeight="1">
      <c r="A616" s="31"/>
      <c r="B616" s="31"/>
      <c r="C616" s="31"/>
      <c r="D616" s="31"/>
      <c r="E616" s="31"/>
      <c r="F616" s="31"/>
      <c r="G616" s="31"/>
      <c r="H616" s="31"/>
    </row>
    <row r="617" ht="15.75" customHeight="1">
      <c r="A617" s="31"/>
      <c r="B617" s="31"/>
      <c r="C617" s="31"/>
      <c r="D617" s="31"/>
      <c r="E617" s="31"/>
      <c r="F617" s="31"/>
      <c r="G617" s="31"/>
      <c r="H617" s="31"/>
    </row>
    <row r="618" ht="15.75" customHeight="1">
      <c r="A618" s="31"/>
      <c r="B618" s="31"/>
      <c r="C618" s="31"/>
      <c r="D618" s="31"/>
      <c r="E618" s="31"/>
      <c r="F618" s="31"/>
      <c r="G618" s="31"/>
      <c r="H618" s="31"/>
    </row>
    <row r="619" ht="15.75" customHeight="1">
      <c r="A619" s="31"/>
      <c r="B619" s="31"/>
      <c r="C619" s="31"/>
      <c r="D619" s="31"/>
      <c r="E619" s="31"/>
      <c r="F619" s="31"/>
      <c r="G619" s="31"/>
      <c r="H619" s="31"/>
    </row>
    <row r="620" ht="15.75" customHeight="1">
      <c r="A620" s="31"/>
      <c r="B620" s="31"/>
      <c r="C620" s="31"/>
      <c r="D620" s="31"/>
      <c r="E620" s="31"/>
      <c r="F620" s="31"/>
      <c r="G620" s="31"/>
      <c r="H620" s="31"/>
    </row>
    <row r="621" ht="15.75" customHeight="1">
      <c r="A621" s="31"/>
      <c r="B621" s="31"/>
      <c r="C621" s="31"/>
      <c r="D621" s="31"/>
      <c r="E621" s="31"/>
      <c r="F621" s="31"/>
      <c r="G621" s="31"/>
      <c r="H621" s="31"/>
    </row>
    <row r="622" ht="15.75" customHeight="1">
      <c r="A622" s="31"/>
      <c r="B622" s="31"/>
      <c r="C622" s="31"/>
      <c r="D622" s="31"/>
      <c r="E622" s="31"/>
      <c r="F622" s="31"/>
      <c r="G622" s="31"/>
      <c r="H622" s="31"/>
    </row>
    <row r="623" ht="15.75" customHeight="1">
      <c r="A623" s="31"/>
      <c r="B623" s="31"/>
      <c r="C623" s="31"/>
      <c r="D623" s="31"/>
      <c r="E623" s="31"/>
      <c r="F623" s="31"/>
      <c r="G623" s="31"/>
      <c r="H623" s="31"/>
    </row>
    <row r="624" ht="15.75" customHeight="1">
      <c r="A624" s="31"/>
      <c r="B624" s="31"/>
      <c r="C624" s="31"/>
      <c r="D624" s="31"/>
      <c r="E624" s="31"/>
      <c r="F624" s="31"/>
      <c r="G624" s="31"/>
      <c r="H624" s="31"/>
    </row>
    <row r="625" ht="15.75" customHeight="1">
      <c r="A625" s="31"/>
      <c r="B625" s="31"/>
      <c r="C625" s="31"/>
      <c r="D625" s="31"/>
      <c r="E625" s="31"/>
      <c r="F625" s="31"/>
      <c r="G625" s="31"/>
      <c r="H625" s="31"/>
    </row>
    <row r="626" ht="15.75" customHeight="1">
      <c r="A626" s="31"/>
      <c r="B626" s="31"/>
      <c r="C626" s="31"/>
      <c r="D626" s="31"/>
      <c r="E626" s="31"/>
      <c r="F626" s="31"/>
      <c r="G626" s="31"/>
      <c r="H626" s="31"/>
    </row>
    <row r="627" ht="15.75" customHeight="1">
      <c r="A627" s="31"/>
      <c r="B627" s="31"/>
      <c r="C627" s="31"/>
      <c r="D627" s="31"/>
      <c r="E627" s="31"/>
      <c r="F627" s="31"/>
      <c r="G627" s="31"/>
      <c r="H627" s="31"/>
    </row>
    <row r="628" ht="15.75" customHeight="1">
      <c r="A628" s="31"/>
      <c r="B628" s="31"/>
      <c r="C628" s="31"/>
      <c r="D628" s="31"/>
      <c r="E628" s="31"/>
      <c r="F628" s="31"/>
      <c r="G628" s="31"/>
      <c r="H628" s="31"/>
    </row>
    <row r="629" ht="15.75" customHeight="1">
      <c r="A629" s="31"/>
      <c r="B629" s="31"/>
      <c r="C629" s="31"/>
      <c r="D629" s="31"/>
      <c r="E629" s="31"/>
      <c r="F629" s="31"/>
      <c r="G629" s="31"/>
      <c r="H629" s="31"/>
    </row>
    <row r="630" ht="15.75" customHeight="1">
      <c r="A630" s="31"/>
      <c r="B630" s="31"/>
      <c r="C630" s="31"/>
      <c r="D630" s="31"/>
      <c r="E630" s="31"/>
      <c r="F630" s="31"/>
      <c r="G630" s="31"/>
      <c r="H630" s="31"/>
    </row>
    <row r="631" ht="15.75" customHeight="1">
      <c r="A631" s="31"/>
      <c r="B631" s="31"/>
      <c r="C631" s="31"/>
      <c r="D631" s="31"/>
      <c r="E631" s="31"/>
      <c r="F631" s="31"/>
      <c r="G631" s="31"/>
      <c r="H631" s="31"/>
    </row>
    <row r="632" ht="15.75" customHeight="1">
      <c r="A632" s="31"/>
      <c r="B632" s="31"/>
      <c r="C632" s="31"/>
      <c r="D632" s="31"/>
      <c r="E632" s="31"/>
      <c r="F632" s="31"/>
      <c r="G632" s="31"/>
      <c r="H632" s="31"/>
    </row>
    <row r="633" ht="15.75" customHeight="1">
      <c r="A633" s="31"/>
      <c r="B633" s="31"/>
      <c r="C633" s="31"/>
      <c r="D633" s="31"/>
      <c r="E633" s="31"/>
      <c r="F633" s="31"/>
      <c r="G633" s="31"/>
      <c r="H633" s="31"/>
    </row>
    <row r="634" ht="15.75" customHeight="1">
      <c r="A634" s="31"/>
      <c r="B634" s="31"/>
      <c r="C634" s="31"/>
      <c r="D634" s="31"/>
      <c r="E634" s="31"/>
      <c r="F634" s="31"/>
      <c r="G634" s="31"/>
      <c r="H634" s="31"/>
    </row>
    <row r="635" ht="15.75" customHeight="1">
      <c r="A635" s="31"/>
      <c r="B635" s="31"/>
      <c r="C635" s="31"/>
      <c r="D635" s="31"/>
      <c r="E635" s="31"/>
      <c r="F635" s="31"/>
      <c r="G635" s="31"/>
      <c r="H635" s="31"/>
    </row>
    <row r="636" ht="15.75" customHeight="1">
      <c r="A636" s="31"/>
      <c r="B636" s="31"/>
      <c r="C636" s="31"/>
      <c r="D636" s="31"/>
      <c r="E636" s="31"/>
      <c r="F636" s="31"/>
      <c r="G636" s="31"/>
      <c r="H636" s="31"/>
    </row>
    <row r="637" ht="15.75" customHeight="1">
      <c r="A637" s="31"/>
      <c r="B637" s="31"/>
      <c r="C637" s="31"/>
      <c r="D637" s="31"/>
      <c r="E637" s="31"/>
      <c r="F637" s="31"/>
      <c r="G637" s="31"/>
      <c r="H637" s="31"/>
    </row>
    <row r="638" ht="15.75" customHeight="1">
      <c r="A638" s="31"/>
      <c r="B638" s="31"/>
      <c r="C638" s="31"/>
      <c r="D638" s="31"/>
      <c r="E638" s="31"/>
      <c r="F638" s="31"/>
      <c r="G638" s="31"/>
      <c r="H638" s="31"/>
    </row>
    <row r="639" ht="15.75" customHeight="1">
      <c r="A639" s="31"/>
      <c r="B639" s="31"/>
      <c r="C639" s="31"/>
      <c r="D639" s="31"/>
      <c r="E639" s="31"/>
      <c r="F639" s="31"/>
      <c r="G639" s="31"/>
      <c r="H639" s="31"/>
    </row>
    <row r="640" ht="15.75" customHeight="1">
      <c r="A640" s="31"/>
      <c r="B640" s="31"/>
      <c r="C640" s="31"/>
      <c r="D640" s="31"/>
      <c r="E640" s="31"/>
      <c r="F640" s="31"/>
      <c r="G640" s="31"/>
      <c r="H640" s="31"/>
    </row>
    <row r="641" ht="15.75" customHeight="1">
      <c r="A641" s="31"/>
      <c r="B641" s="31"/>
      <c r="C641" s="31"/>
      <c r="D641" s="31"/>
      <c r="E641" s="31"/>
      <c r="F641" s="31"/>
      <c r="G641" s="31"/>
      <c r="H641" s="31"/>
    </row>
    <row r="642" ht="15.75" customHeight="1">
      <c r="A642" s="31"/>
      <c r="B642" s="31"/>
      <c r="C642" s="31"/>
      <c r="D642" s="31"/>
      <c r="E642" s="31"/>
      <c r="F642" s="31"/>
      <c r="G642" s="31"/>
      <c r="H642" s="31"/>
    </row>
    <row r="643" ht="15.75" customHeight="1">
      <c r="A643" s="31"/>
      <c r="B643" s="31"/>
      <c r="C643" s="31"/>
      <c r="D643" s="31"/>
      <c r="E643" s="31"/>
      <c r="F643" s="31"/>
      <c r="G643" s="31"/>
      <c r="H643" s="31"/>
    </row>
    <row r="644" ht="15.75" customHeight="1">
      <c r="A644" s="31"/>
      <c r="B644" s="31"/>
      <c r="C644" s="31"/>
      <c r="D644" s="31"/>
      <c r="E644" s="31"/>
      <c r="F644" s="31"/>
      <c r="G644" s="31"/>
      <c r="H644" s="31"/>
    </row>
    <row r="645" ht="15.75" customHeight="1">
      <c r="A645" s="31"/>
      <c r="B645" s="31"/>
      <c r="C645" s="31"/>
      <c r="D645" s="31"/>
      <c r="E645" s="31"/>
      <c r="F645" s="31"/>
      <c r="G645" s="31"/>
      <c r="H645" s="31"/>
    </row>
    <row r="646" ht="15.75" customHeight="1">
      <c r="A646" s="31"/>
      <c r="B646" s="31"/>
      <c r="C646" s="31"/>
      <c r="D646" s="31"/>
      <c r="E646" s="31"/>
      <c r="F646" s="31"/>
      <c r="G646" s="31"/>
      <c r="H646" s="31"/>
    </row>
    <row r="647" ht="15.75" customHeight="1">
      <c r="A647" s="31"/>
      <c r="B647" s="31"/>
      <c r="C647" s="31"/>
      <c r="D647" s="31"/>
      <c r="E647" s="31"/>
      <c r="F647" s="31"/>
      <c r="G647" s="31"/>
      <c r="H647" s="31"/>
    </row>
    <row r="648" ht="15.75" customHeight="1">
      <c r="A648" s="31"/>
      <c r="B648" s="31"/>
      <c r="C648" s="31"/>
      <c r="D648" s="31"/>
      <c r="E648" s="31"/>
      <c r="F648" s="31"/>
      <c r="G648" s="31"/>
      <c r="H648" s="31"/>
    </row>
    <row r="649" ht="15.75" customHeight="1">
      <c r="A649" s="31"/>
      <c r="B649" s="31"/>
      <c r="C649" s="31"/>
      <c r="D649" s="31"/>
      <c r="E649" s="31"/>
      <c r="F649" s="31"/>
      <c r="G649" s="31"/>
      <c r="H649" s="31"/>
    </row>
    <row r="650" ht="15.75" customHeight="1">
      <c r="A650" s="31"/>
      <c r="B650" s="31"/>
      <c r="C650" s="31"/>
      <c r="D650" s="31"/>
      <c r="E650" s="31"/>
      <c r="F650" s="31"/>
      <c r="G650" s="31"/>
      <c r="H650" s="31"/>
    </row>
    <row r="651" ht="15.75" customHeight="1">
      <c r="A651" s="31"/>
      <c r="B651" s="31"/>
      <c r="C651" s="31"/>
      <c r="D651" s="31"/>
      <c r="E651" s="31"/>
      <c r="F651" s="31"/>
      <c r="G651" s="31"/>
      <c r="H651" s="31"/>
    </row>
    <row r="652" ht="15.75" customHeight="1">
      <c r="A652" s="31"/>
      <c r="B652" s="31"/>
      <c r="C652" s="31"/>
      <c r="D652" s="31"/>
      <c r="E652" s="31"/>
      <c r="F652" s="31"/>
      <c r="G652" s="31"/>
      <c r="H652" s="31"/>
    </row>
    <row r="653" ht="15.75" customHeight="1">
      <c r="A653" s="31"/>
      <c r="B653" s="31"/>
      <c r="C653" s="31"/>
      <c r="D653" s="31"/>
      <c r="E653" s="31"/>
      <c r="F653" s="31"/>
      <c r="G653" s="31"/>
      <c r="H653" s="31"/>
    </row>
    <row r="654" ht="15.75" customHeight="1">
      <c r="A654" s="31"/>
      <c r="B654" s="31"/>
      <c r="C654" s="31"/>
      <c r="D654" s="31"/>
      <c r="E654" s="31"/>
      <c r="F654" s="31"/>
      <c r="G654" s="31"/>
      <c r="H654" s="31"/>
    </row>
    <row r="655" ht="15.75" customHeight="1">
      <c r="A655" s="31"/>
      <c r="B655" s="31"/>
      <c r="C655" s="31"/>
      <c r="D655" s="31"/>
      <c r="E655" s="31"/>
      <c r="F655" s="31"/>
      <c r="G655" s="31"/>
      <c r="H655" s="31"/>
    </row>
    <row r="656" ht="15.75" customHeight="1">
      <c r="A656" s="31"/>
      <c r="B656" s="31"/>
      <c r="C656" s="31"/>
      <c r="D656" s="31"/>
      <c r="E656" s="31"/>
      <c r="F656" s="31"/>
      <c r="G656" s="31"/>
      <c r="H656" s="31"/>
    </row>
    <row r="657" ht="15.75" customHeight="1">
      <c r="A657" s="31"/>
      <c r="B657" s="31"/>
      <c r="C657" s="31"/>
      <c r="D657" s="31"/>
      <c r="E657" s="31"/>
      <c r="F657" s="31"/>
      <c r="G657" s="31"/>
      <c r="H657" s="31"/>
    </row>
    <row r="658" ht="15.75" customHeight="1">
      <c r="A658" s="31"/>
      <c r="B658" s="31"/>
      <c r="C658" s="31"/>
      <c r="D658" s="31"/>
      <c r="E658" s="31"/>
      <c r="F658" s="31"/>
      <c r="G658" s="31"/>
      <c r="H658" s="31"/>
    </row>
    <row r="659" ht="15.75" customHeight="1">
      <c r="A659" s="31"/>
      <c r="B659" s="31"/>
      <c r="C659" s="31"/>
      <c r="D659" s="31"/>
      <c r="E659" s="31"/>
      <c r="F659" s="31"/>
      <c r="G659" s="31"/>
      <c r="H659" s="31"/>
    </row>
    <row r="660" ht="15.75" customHeight="1">
      <c r="A660" s="31"/>
      <c r="B660" s="31"/>
      <c r="C660" s="31"/>
      <c r="D660" s="31"/>
      <c r="E660" s="31"/>
      <c r="F660" s="31"/>
      <c r="G660" s="31"/>
      <c r="H660" s="31"/>
    </row>
    <row r="661" ht="15.75" customHeight="1">
      <c r="A661" s="31"/>
      <c r="B661" s="31"/>
      <c r="C661" s="31"/>
      <c r="D661" s="31"/>
      <c r="E661" s="31"/>
      <c r="F661" s="31"/>
      <c r="G661" s="31"/>
      <c r="H661" s="31"/>
    </row>
    <row r="662" ht="15.75" customHeight="1">
      <c r="A662" s="31"/>
      <c r="B662" s="31"/>
      <c r="C662" s="31"/>
      <c r="D662" s="31"/>
      <c r="E662" s="31"/>
      <c r="F662" s="31"/>
      <c r="G662" s="31"/>
      <c r="H662" s="31"/>
    </row>
    <row r="663" ht="15.75" customHeight="1">
      <c r="A663" s="31"/>
      <c r="B663" s="31"/>
      <c r="C663" s="31"/>
      <c r="D663" s="31"/>
      <c r="E663" s="31"/>
      <c r="F663" s="31"/>
      <c r="G663" s="31"/>
      <c r="H663" s="31"/>
    </row>
    <row r="664" ht="15.75" customHeight="1">
      <c r="A664" s="31"/>
      <c r="B664" s="31"/>
      <c r="C664" s="31"/>
      <c r="D664" s="31"/>
      <c r="E664" s="31"/>
      <c r="F664" s="31"/>
      <c r="G664" s="31"/>
      <c r="H664" s="31"/>
    </row>
    <row r="665" ht="15.75" customHeight="1">
      <c r="A665" s="31"/>
      <c r="B665" s="31"/>
      <c r="C665" s="31"/>
      <c r="D665" s="31"/>
      <c r="E665" s="31"/>
      <c r="F665" s="31"/>
      <c r="G665" s="31"/>
      <c r="H665" s="31"/>
    </row>
    <row r="666" ht="15.75" customHeight="1">
      <c r="A666" s="31"/>
      <c r="B666" s="31"/>
      <c r="C666" s="31"/>
      <c r="D666" s="31"/>
      <c r="E666" s="31"/>
      <c r="F666" s="31"/>
      <c r="G666" s="31"/>
      <c r="H666" s="31"/>
    </row>
    <row r="667" ht="15.75" customHeight="1">
      <c r="A667" s="31"/>
      <c r="B667" s="31"/>
      <c r="C667" s="31"/>
      <c r="D667" s="31"/>
      <c r="E667" s="31"/>
      <c r="F667" s="31"/>
      <c r="G667" s="31"/>
      <c r="H667" s="31"/>
    </row>
    <row r="668" ht="15.75" customHeight="1">
      <c r="A668" s="31"/>
      <c r="B668" s="31"/>
      <c r="C668" s="31"/>
      <c r="D668" s="31"/>
      <c r="E668" s="31"/>
      <c r="F668" s="31"/>
      <c r="G668" s="31"/>
      <c r="H668" s="31"/>
    </row>
    <row r="669" ht="15.75" customHeight="1">
      <c r="A669" s="31"/>
      <c r="B669" s="31"/>
      <c r="C669" s="31"/>
      <c r="D669" s="31"/>
      <c r="E669" s="31"/>
      <c r="F669" s="31"/>
      <c r="G669" s="31"/>
      <c r="H669" s="31"/>
    </row>
    <row r="670" ht="15.75" customHeight="1">
      <c r="A670" s="31"/>
      <c r="B670" s="31"/>
      <c r="C670" s="31"/>
      <c r="D670" s="31"/>
      <c r="E670" s="31"/>
      <c r="F670" s="31"/>
      <c r="G670" s="31"/>
      <c r="H670" s="31"/>
    </row>
    <row r="671" ht="15.75" customHeight="1">
      <c r="A671" s="31"/>
      <c r="B671" s="31"/>
      <c r="C671" s="31"/>
      <c r="D671" s="31"/>
      <c r="E671" s="31"/>
      <c r="F671" s="31"/>
      <c r="G671" s="31"/>
      <c r="H671" s="31"/>
    </row>
    <row r="672" ht="15.75" customHeight="1">
      <c r="A672" s="31"/>
      <c r="B672" s="31"/>
      <c r="C672" s="31"/>
      <c r="D672" s="31"/>
      <c r="E672" s="31"/>
      <c r="F672" s="31"/>
      <c r="G672" s="31"/>
      <c r="H672" s="31"/>
    </row>
    <row r="673" ht="15.75" customHeight="1">
      <c r="A673" s="31"/>
      <c r="B673" s="31"/>
      <c r="C673" s="31"/>
      <c r="D673" s="31"/>
      <c r="E673" s="31"/>
      <c r="F673" s="31"/>
      <c r="G673" s="31"/>
      <c r="H673" s="31"/>
    </row>
    <row r="674" ht="15.75" customHeight="1">
      <c r="A674" s="31"/>
      <c r="B674" s="31"/>
      <c r="C674" s="31"/>
      <c r="D674" s="31"/>
      <c r="E674" s="31"/>
      <c r="F674" s="31"/>
      <c r="G674" s="31"/>
      <c r="H674" s="31"/>
    </row>
    <row r="675" ht="15.75" customHeight="1">
      <c r="A675" s="31"/>
      <c r="B675" s="31"/>
      <c r="C675" s="31"/>
      <c r="D675" s="31"/>
      <c r="E675" s="31"/>
      <c r="F675" s="31"/>
      <c r="G675" s="31"/>
      <c r="H675" s="31"/>
    </row>
    <row r="676" ht="15.75" customHeight="1">
      <c r="A676" s="31"/>
      <c r="B676" s="31"/>
      <c r="C676" s="31"/>
      <c r="D676" s="31"/>
      <c r="E676" s="31"/>
      <c r="F676" s="31"/>
      <c r="G676" s="31"/>
      <c r="H676" s="31"/>
    </row>
    <row r="677" ht="15.75" customHeight="1">
      <c r="A677" s="31"/>
      <c r="B677" s="31"/>
      <c r="C677" s="31"/>
      <c r="D677" s="31"/>
      <c r="E677" s="31"/>
      <c r="F677" s="31"/>
      <c r="G677" s="31"/>
      <c r="H677" s="31"/>
    </row>
    <row r="678" ht="15.75" customHeight="1">
      <c r="A678" s="31"/>
      <c r="B678" s="31"/>
      <c r="C678" s="31"/>
      <c r="D678" s="31"/>
      <c r="E678" s="31"/>
      <c r="F678" s="31"/>
      <c r="G678" s="31"/>
      <c r="H678" s="31"/>
    </row>
    <row r="679" ht="15.75" customHeight="1">
      <c r="A679" s="31"/>
      <c r="B679" s="31"/>
      <c r="C679" s="31"/>
      <c r="D679" s="31"/>
      <c r="E679" s="31"/>
      <c r="F679" s="31"/>
      <c r="G679" s="31"/>
      <c r="H679" s="31"/>
    </row>
    <row r="680" ht="15.75" customHeight="1">
      <c r="A680" s="31"/>
      <c r="B680" s="31"/>
      <c r="C680" s="31"/>
      <c r="D680" s="31"/>
      <c r="E680" s="31"/>
      <c r="F680" s="31"/>
      <c r="G680" s="31"/>
      <c r="H680" s="31"/>
    </row>
    <row r="681" ht="15.75" customHeight="1">
      <c r="A681" s="31"/>
      <c r="B681" s="31"/>
      <c r="C681" s="31"/>
      <c r="D681" s="31"/>
      <c r="E681" s="31"/>
      <c r="F681" s="31"/>
      <c r="G681" s="31"/>
      <c r="H681" s="31"/>
    </row>
    <row r="682" ht="15.75" customHeight="1">
      <c r="A682" s="31"/>
      <c r="B682" s="31"/>
      <c r="C682" s="31"/>
      <c r="D682" s="31"/>
      <c r="E682" s="31"/>
      <c r="F682" s="31"/>
      <c r="G682" s="31"/>
      <c r="H682" s="31"/>
    </row>
    <row r="683" ht="15.75" customHeight="1">
      <c r="A683" s="31"/>
      <c r="B683" s="31"/>
      <c r="C683" s="31"/>
      <c r="D683" s="31"/>
      <c r="E683" s="31"/>
      <c r="F683" s="31"/>
      <c r="G683" s="31"/>
      <c r="H683" s="31"/>
    </row>
    <row r="684" ht="15.75" customHeight="1">
      <c r="A684" s="31"/>
      <c r="B684" s="31"/>
      <c r="C684" s="31"/>
      <c r="D684" s="31"/>
      <c r="E684" s="31"/>
      <c r="F684" s="31"/>
      <c r="G684" s="31"/>
      <c r="H684" s="31"/>
    </row>
    <row r="685" ht="15.75" customHeight="1">
      <c r="A685" s="31"/>
      <c r="B685" s="31"/>
      <c r="C685" s="31"/>
      <c r="D685" s="31"/>
      <c r="E685" s="31"/>
      <c r="F685" s="31"/>
      <c r="G685" s="31"/>
      <c r="H685" s="31"/>
    </row>
    <row r="686" ht="15.75" customHeight="1">
      <c r="A686" s="31"/>
      <c r="B686" s="31"/>
      <c r="C686" s="31"/>
      <c r="D686" s="31"/>
      <c r="E686" s="31"/>
      <c r="F686" s="31"/>
      <c r="G686" s="31"/>
      <c r="H686" s="31"/>
    </row>
    <row r="687" ht="15.75" customHeight="1">
      <c r="A687" s="31"/>
      <c r="B687" s="31"/>
      <c r="C687" s="31"/>
      <c r="D687" s="31"/>
      <c r="E687" s="31"/>
      <c r="F687" s="31"/>
      <c r="G687" s="31"/>
      <c r="H687" s="31"/>
    </row>
    <row r="688" ht="15.75" customHeight="1">
      <c r="A688" s="31"/>
      <c r="B688" s="31"/>
      <c r="C688" s="31"/>
      <c r="D688" s="31"/>
      <c r="E688" s="31"/>
      <c r="F688" s="31"/>
      <c r="G688" s="31"/>
      <c r="H688" s="31"/>
    </row>
    <row r="689" ht="15.75" customHeight="1">
      <c r="A689" s="31"/>
      <c r="B689" s="31"/>
      <c r="C689" s="31"/>
      <c r="D689" s="31"/>
      <c r="E689" s="31"/>
      <c r="F689" s="31"/>
      <c r="G689" s="31"/>
      <c r="H689" s="31"/>
    </row>
    <row r="690" ht="15.75" customHeight="1">
      <c r="A690" s="31"/>
      <c r="B690" s="31"/>
      <c r="C690" s="31"/>
      <c r="D690" s="31"/>
      <c r="E690" s="31"/>
      <c r="F690" s="31"/>
      <c r="G690" s="31"/>
      <c r="H690" s="31"/>
    </row>
    <row r="691" ht="15.75" customHeight="1">
      <c r="A691" s="31"/>
      <c r="B691" s="31"/>
      <c r="C691" s="31"/>
      <c r="D691" s="31"/>
      <c r="E691" s="31"/>
      <c r="F691" s="31"/>
      <c r="G691" s="31"/>
      <c r="H691" s="31"/>
    </row>
    <row r="692" ht="15.75" customHeight="1">
      <c r="A692" s="31"/>
      <c r="B692" s="31"/>
      <c r="C692" s="31"/>
      <c r="D692" s="31"/>
      <c r="E692" s="31"/>
      <c r="F692" s="31"/>
      <c r="G692" s="31"/>
      <c r="H692" s="31"/>
    </row>
    <row r="693" ht="15.75" customHeight="1">
      <c r="A693" s="31"/>
      <c r="B693" s="31"/>
      <c r="C693" s="31"/>
      <c r="D693" s="31"/>
      <c r="E693" s="31"/>
      <c r="F693" s="31"/>
      <c r="G693" s="31"/>
      <c r="H693" s="31"/>
    </row>
    <row r="694" ht="15.75" customHeight="1">
      <c r="A694" s="31"/>
      <c r="B694" s="31"/>
      <c r="C694" s="31"/>
      <c r="D694" s="31"/>
      <c r="E694" s="31"/>
      <c r="F694" s="31"/>
      <c r="G694" s="31"/>
      <c r="H694" s="31"/>
    </row>
    <row r="695" ht="15.75" customHeight="1">
      <c r="A695" s="31"/>
      <c r="B695" s="31"/>
      <c r="C695" s="31"/>
      <c r="D695" s="31"/>
      <c r="E695" s="31"/>
      <c r="F695" s="31"/>
      <c r="G695" s="31"/>
      <c r="H695" s="31"/>
    </row>
    <row r="696" ht="15.75" customHeight="1">
      <c r="A696" s="31"/>
      <c r="B696" s="31"/>
      <c r="C696" s="31"/>
      <c r="D696" s="31"/>
      <c r="E696" s="31"/>
      <c r="F696" s="31"/>
      <c r="G696" s="31"/>
      <c r="H696" s="31"/>
    </row>
    <row r="697" ht="15.75" customHeight="1">
      <c r="A697" s="31"/>
      <c r="B697" s="31"/>
      <c r="C697" s="31"/>
      <c r="D697" s="31"/>
      <c r="E697" s="31"/>
      <c r="F697" s="31"/>
      <c r="G697" s="31"/>
      <c r="H697" s="31"/>
    </row>
    <row r="698" ht="15.75" customHeight="1">
      <c r="A698" s="31"/>
      <c r="B698" s="31"/>
      <c r="C698" s="31"/>
      <c r="D698" s="31"/>
      <c r="E698" s="31"/>
      <c r="F698" s="31"/>
      <c r="G698" s="31"/>
      <c r="H698" s="31"/>
    </row>
    <row r="699" ht="15.75" customHeight="1">
      <c r="A699" s="31"/>
      <c r="B699" s="31"/>
      <c r="C699" s="31"/>
      <c r="D699" s="31"/>
      <c r="E699" s="31"/>
      <c r="F699" s="31"/>
      <c r="G699" s="31"/>
      <c r="H699" s="31"/>
    </row>
    <row r="700" ht="15.75" customHeight="1">
      <c r="A700" s="31"/>
      <c r="B700" s="31"/>
      <c r="C700" s="31"/>
      <c r="D700" s="31"/>
      <c r="E700" s="31"/>
      <c r="F700" s="31"/>
      <c r="G700" s="31"/>
      <c r="H700" s="31"/>
    </row>
    <row r="701" ht="15.75" customHeight="1">
      <c r="A701" s="31"/>
      <c r="B701" s="31"/>
      <c r="C701" s="31"/>
      <c r="D701" s="31"/>
      <c r="E701" s="31"/>
      <c r="F701" s="31"/>
      <c r="G701" s="31"/>
      <c r="H701" s="31"/>
    </row>
    <row r="702" ht="15.75" customHeight="1">
      <c r="A702" s="31"/>
      <c r="B702" s="31"/>
      <c r="C702" s="31"/>
      <c r="D702" s="31"/>
      <c r="E702" s="31"/>
      <c r="F702" s="31"/>
      <c r="G702" s="31"/>
      <c r="H702" s="31"/>
    </row>
    <row r="703" ht="15.75" customHeight="1">
      <c r="A703" s="31"/>
      <c r="B703" s="31"/>
      <c r="C703" s="31"/>
      <c r="D703" s="31"/>
      <c r="E703" s="31"/>
      <c r="F703" s="31"/>
      <c r="G703" s="31"/>
      <c r="H703" s="31"/>
    </row>
    <row r="704" ht="15.75" customHeight="1">
      <c r="A704" s="31"/>
      <c r="B704" s="31"/>
      <c r="C704" s="31"/>
      <c r="D704" s="31"/>
      <c r="E704" s="31"/>
      <c r="F704" s="31"/>
      <c r="G704" s="31"/>
      <c r="H704" s="31"/>
    </row>
    <row r="705" ht="15.75" customHeight="1">
      <c r="A705" s="31"/>
      <c r="B705" s="31"/>
      <c r="C705" s="31"/>
      <c r="D705" s="31"/>
      <c r="E705" s="31"/>
      <c r="F705" s="31"/>
      <c r="G705" s="31"/>
      <c r="H705" s="31"/>
    </row>
    <row r="706" ht="15.75" customHeight="1">
      <c r="A706" s="31"/>
      <c r="B706" s="31"/>
      <c r="C706" s="31"/>
      <c r="D706" s="31"/>
      <c r="E706" s="31"/>
      <c r="F706" s="31"/>
      <c r="G706" s="31"/>
      <c r="H706" s="31"/>
    </row>
    <row r="707" ht="15.75" customHeight="1">
      <c r="A707" s="31"/>
      <c r="B707" s="31"/>
      <c r="C707" s="31"/>
      <c r="D707" s="31"/>
      <c r="E707" s="31"/>
      <c r="F707" s="31"/>
      <c r="G707" s="31"/>
      <c r="H707" s="31"/>
    </row>
    <row r="708" ht="15.75" customHeight="1">
      <c r="A708" s="31"/>
      <c r="B708" s="31"/>
      <c r="C708" s="31"/>
      <c r="D708" s="31"/>
      <c r="E708" s="31"/>
      <c r="F708" s="31"/>
      <c r="G708" s="31"/>
      <c r="H708" s="31"/>
    </row>
    <row r="709" ht="15.75" customHeight="1">
      <c r="A709" s="31"/>
      <c r="B709" s="31"/>
      <c r="C709" s="31"/>
      <c r="D709" s="31"/>
      <c r="E709" s="31"/>
      <c r="F709" s="31"/>
      <c r="G709" s="31"/>
      <c r="H709" s="31"/>
    </row>
    <row r="710" ht="15.75" customHeight="1">
      <c r="A710" s="31"/>
      <c r="B710" s="31"/>
      <c r="C710" s="31"/>
      <c r="D710" s="31"/>
      <c r="E710" s="31"/>
      <c r="F710" s="31"/>
      <c r="G710" s="31"/>
      <c r="H710" s="31"/>
    </row>
    <row r="711" ht="15.75" customHeight="1">
      <c r="A711" s="31"/>
      <c r="B711" s="31"/>
      <c r="C711" s="31"/>
      <c r="D711" s="31"/>
      <c r="E711" s="31"/>
      <c r="F711" s="31"/>
      <c r="G711" s="31"/>
      <c r="H711" s="31"/>
    </row>
    <row r="712" ht="15.75" customHeight="1">
      <c r="A712" s="31"/>
      <c r="B712" s="31"/>
      <c r="C712" s="31"/>
      <c r="D712" s="31"/>
      <c r="E712" s="31"/>
      <c r="F712" s="31"/>
      <c r="G712" s="31"/>
      <c r="H712" s="31"/>
    </row>
    <row r="713" ht="15.75" customHeight="1">
      <c r="A713" s="31"/>
      <c r="B713" s="31"/>
      <c r="C713" s="31"/>
      <c r="D713" s="31"/>
      <c r="E713" s="31"/>
      <c r="F713" s="31"/>
      <c r="G713" s="31"/>
      <c r="H713" s="31"/>
    </row>
    <row r="714" ht="15.75" customHeight="1">
      <c r="A714" s="31"/>
      <c r="B714" s="31"/>
      <c r="C714" s="31"/>
      <c r="D714" s="31"/>
      <c r="E714" s="31"/>
      <c r="F714" s="31"/>
      <c r="G714" s="31"/>
      <c r="H714" s="31"/>
    </row>
    <row r="715" ht="15.75" customHeight="1">
      <c r="A715" s="31"/>
      <c r="B715" s="31"/>
      <c r="C715" s="31"/>
      <c r="D715" s="31"/>
      <c r="E715" s="31"/>
      <c r="F715" s="31"/>
      <c r="G715" s="31"/>
      <c r="H715" s="31"/>
    </row>
    <row r="716" ht="15.75" customHeight="1">
      <c r="A716" s="31"/>
      <c r="B716" s="31"/>
      <c r="C716" s="31"/>
      <c r="D716" s="31"/>
      <c r="E716" s="31"/>
      <c r="F716" s="31"/>
      <c r="G716" s="31"/>
      <c r="H716" s="31"/>
    </row>
    <row r="717" ht="15.75" customHeight="1">
      <c r="A717" s="31"/>
      <c r="B717" s="31"/>
      <c r="C717" s="31"/>
      <c r="D717" s="31"/>
      <c r="E717" s="31"/>
      <c r="F717" s="31"/>
      <c r="G717" s="31"/>
      <c r="H717" s="31"/>
    </row>
    <row r="718" ht="15.75" customHeight="1">
      <c r="A718" s="31"/>
      <c r="B718" s="31"/>
      <c r="C718" s="31"/>
      <c r="D718" s="31"/>
      <c r="E718" s="31"/>
      <c r="F718" s="31"/>
      <c r="G718" s="31"/>
      <c r="H718" s="31"/>
    </row>
    <row r="719" ht="15.75" customHeight="1">
      <c r="A719" s="31"/>
      <c r="B719" s="31"/>
      <c r="C719" s="31"/>
      <c r="D719" s="31"/>
      <c r="E719" s="31"/>
      <c r="F719" s="31"/>
      <c r="G719" s="31"/>
      <c r="H719" s="31"/>
    </row>
    <row r="720" ht="15.75" customHeight="1">
      <c r="A720" s="31"/>
      <c r="B720" s="31"/>
      <c r="C720" s="31"/>
      <c r="D720" s="31"/>
      <c r="E720" s="31"/>
      <c r="F720" s="31"/>
      <c r="G720" s="31"/>
      <c r="H720" s="31"/>
    </row>
    <row r="721" ht="15.75" customHeight="1">
      <c r="A721" s="31"/>
      <c r="B721" s="31"/>
      <c r="C721" s="31"/>
      <c r="D721" s="31"/>
      <c r="E721" s="31"/>
      <c r="F721" s="31"/>
      <c r="G721" s="31"/>
      <c r="H721" s="31"/>
    </row>
    <row r="722" ht="15.75" customHeight="1">
      <c r="A722" s="31"/>
      <c r="B722" s="31"/>
      <c r="C722" s="31"/>
      <c r="D722" s="31"/>
      <c r="E722" s="31"/>
      <c r="F722" s="31"/>
      <c r="G722" s="31"/>
      <c r="H722" s="31"/>
    </row>
    <row r="723" ht="15.75" customHeight="1">
      <c r="A723" s="31"/>
      <c r="B723" s="31"/>
      <c r="C723" s="31"/>
      <c r="D723" s="31"/>
      <c r="E723" s="31"/>
      <c r="F723" s="31"/>
      <c r="G723" s="31"/>
      <c r="H723" s="31"/>
    </row>
    <row r="724" ht="15.75" customHeight="1">
      <c r="A724" s="31"/>
      <c r="B724" s="31"/>
      <c r="C724" s="31"/>
      <c r="D724" s="31"/>
      <c r="E724" s="31"/>
      <c r="F724" s="31"/>
      <c r="G724" s="31"/>
      <c r="H724" s="31"/>
    </row>
    <row r="725" ht="15.75" customHeight="1">
      <c r="A725" s="31"/>
      <c r="B725" s="31"/>
      <c r="C725" s="31"/>
      <c r="D725" s="31"/>
      <c r="E725" s="31"/>
      <c r="F725" s="31"/>
      <c r="G725" s="31"/>
      <c r="H725" s="31"/>
    </row>
    <row r="726" ht="15.75" customHeight="1">
      <c r="A726" s="31"/>
      <c r="B726" s="31"/>
      <c r="C726" s="31"/>
      <c r="D726" s="31"/>
      <c r="E726" s="31"/>
      <c r="F726" s="31"/>
      <c r="G726" s="31"/>
      <c r="H726" s="31"/>
    </row>
    <row r="727" ht="15.75" customHeight="1">
      <c r="A727" s="31"/>
      <c r="B727" s="31"/>
      <c r="C727" s="31"/>
      <c r="D727" s="31"/>
      <c r="E727" s="31"/>
      <c r="F727" s="31"/>
      <c r="G727" s="31"/>
      <c r="H727" s="31"/>
    </row>
    <row r="728" ht="15.75" customHeight="1">
      <c r="A728" s="31"/>
      <c r="B728" s="31"/>
      <c r="C728" s="31"/>
      <c r="D728" s="31"/>
      <c r="E728" s="31"/>
      <c r="F728" s="31"/>
      <c r="G728" s="31"/>
      <c r="H728" s="31"/>
    </row>
    <row r="729" ht="15.75" customHeight="1">
      <c r="A729" s="31"/>
      <c r="B729" s="31"/>
      <c r="C729" s="31"/>
      <c r="D729" s="31"/>
      <c r="E729" s="31"/>
      <c r="F729" s="31"/>
      <c r="G729" s="31"/>
      <c r="H729" s="31"/>
    </row>
    <row r="730" ht="15.75" customHeight="1">
      <c r="A730" s="31"/>
      <c r="B730" s="31"/>
      <c r="C730" s="31"/>
      <c r="D730" s="31"/>
      <c r="E730" s="31"/>
      <c r="F730" s="31"/>
      <c r="G730" s="31"/>
      <c r="H730" s="31"/>
    </row>
    <row r="731" ht="15.75" customHeight="1">
      <c r="A731" s="31"/>
      <c r="B731" s="31"/>
      <c r="C731" s="31"/>
      <c r="D731" s="31"/>
      <c r="E731" s="31"/>
      <c r="F731" s="31"/>
      <c r="G731" s="31"/>
      <c r="H731" s="31"/>
    </row>
    <row r="732" ht="15.75" customHeight="1">
      <c r="A732" s="31"/>
      <c r="B732" s="31"/>
      <c r="C732" s="31"/>
      <c r="D732" s="31"/>
      <c r="E732" s="31"/>
      <c r="F732" s="31"/>
      <c r="G732" s="31"/>
      <c r="H732" s="31"/>
    </row>
    <row r="733" ht="15.75" customHeight="1">
      <c r="A733" s="31"/>
      <c r="B733" s="31"/>
      <c r="C733" s="31"/>
      <c r="D733" s="31"/>
      <c r="E733" s="31"/>
      <c r="F733" s="31"/>
      <c r="G733" s="31"/>
      <c r="H733" s="31"/>
    </row>
    <row r="734" ht="15.75" customHeight="1">
      <c r="A734" s="31"/>
      <c r="B734" s="31"/>
      <c r="C734" s="31"/>
      <c r="D734" s="31"/>
      <c r="E734" s="31"/>
      <c r="F734" s="31"/>
      <c r="G734" s="31"/>
      <c r="H734" s="31"/>
    </row>
    <row r="735" ht="15.75" customHeight="1">
      <c r="A735" s="31"/>
      <c r="B735" s="31"/>
      <c r="C735" s="31"/>
      <c r="D735" s="31"/>
      <c r="E735" s="31"/>
      <c r="F735" s="31"/>
      <c r="G735" s="31"/>
      <c r="H735" s="31"/>
    </row>
    <row r="736" ht="15.75" customHeight="1">
      <c r="A736" s="31"/>
      <c r="B736" s="31"/>
      <c r="C736" s="31"/>
      <c r="D736" s="31"/>
      <c r="E736" s="31"/>
      <c r="F736" s="31"/>
      <c r="G736" s="31"/>
      <c r="H736" s="31"/>
    </row>
    <row r="737" ht="15.75" customHeight="1">
      <c r="A737" s="31"/>
      <c r="B737" s="31"/>
      <c r="C737" s="31"/>
      <c r="D737" s="31"/>
      <c r="E737" s="31"/>
      <c r="F737" s="31"/>
      <c r="G737" s="31"/>
      <c r="H737" s="31"/>
    </row>
    <row r="738" ht="15.75" customHeight="1">
      <c r="A738" s="31"/>
      <c r="B738" s="31"/>
      <c r="C738" s="31"/>
      <c r="D738" s="31"/>
      <c r="E738" s="31"/>
      <c r="F738" s="31"/>
      <c r="G738" s="31"/>
      <c r="H738" s="31"/>
    </row>
    <row r="739" ht="15.75" customHeight="1">
      <c r="A739" s="31"/>
      <c r="B739" s="31"/>
      <c r="C739" s="31"/>
      <c r="D739" s="31"/>
      <c r="E739" s="31"/>
      <c r="F739" s="31"/>
      <c r="G739" s="31"/>
      <c r="H739" s="31"/>
    </row>
    <row r="740" ht="15.75" customHeight="1">
      <c r="A740" s="31"/>
      <c r="B740" s="31"/>
      <c r="C740" s="31"/>
      <c r="D740" s="31"/>
      <c r="E740" s="31"/>
      <c r="F740" s="31"/>
      <c r="G740" s="31"/>
      <c r="H740" s="31"/>
    </row>
    <row r="741" ht="15.75" customHeight="1">
      <c r="A741" s="31"/>
      <c r="B741" s="31"/>
      <c r="C741" s="31"/>
      <c r="D741" s="31"/>
      <c r="E741" s="31"/>
      <c r="F741" s="31"/>
      <c r="G741" s="31"/>
      <c r="H741" s="31"/>
    </row>
    <row r="742" ht="15.75" customHeight="1">
      <c r="A742" s="31"/>
      <c r="B742" s="31"/>
      <c r="C742" s="31"/>
      <c r="D742" s="31"/>
      <c r="E742" s="31"/>
      <c r="F742" s="31"/>
      <c r="G742" s="31"/>
      <c r="H742" s="31"/>
    </row>
    <row r="743" ht="15.75" customHeight="1">
      <c r="A743" s="31"/>
      <c r="B743" s="31"/>
      <c r="C743" s="31"/>
      <c r="D743" s="31"/>
      <c r="E743" s="31"/>
      <c r="F743" s="31"/>
      <c r="G743" s="31"/>
      <c r="H743" s="31"/>
    </row>
    <row r="744" ht="15.75" customHeight="1">
      <c r="A744" s="31"/>
      <c r="B744" s="31"/>
      <c r="C744" s="31"/>
      <c r="D744" s="31"/>
      <c r="E744" s="31"/>
      <c r="F744" s="31"/>
      <c r="G744" s="31"/>
      <c r="H744" s="31"/>
    </row>
    <row r="745" ht="15.75" customHeight="1">
      <c r="A745" s="31"/>
      <c r="B745" s="31"/>
      <c r="C745" s="31"/>
      <c r="D745" s="31"/>
      <c r="E745" s="31"/>
      <c r="F745" s="31"/>
      <c r="G745" s="31"/>
      <c r="H745" s="31"/>
    </row>
    <row r="746" ht="15.75" customHeight="1">
      <c r="A746" s="31"/>
      <c r="B746" s="31"/>
      <c r="C746" s="31"/>
      <c r="D746" s="31"/>
      <c r="E746" s="31"/>
      <c r="F746" s="31"/>
      <c r="G746" s="31"/>
      <c r="H746" s="31"/>
    </row>
    <row r="747" ht="15.75" customHeight="1">
      <c r="A747" s="31"/>
      <c r="B747" s="31"/>
      <c r="C747" s="31"/>
      <c r="D747" s="31"/>
      <c r="E747" s="31"/>
      <c r="F747" s="31"/>
      <c r="G747" s="31"/>
      <c r="H747" s="31"/>
    </row>
    <row r="748" ht="15.75" customHeight="1">
      <c r="A748" s="31"/>
      <c r="B748" s="31"/>
      <c r="C748" s="31"/>
      <c r="D748" s="31"/>
      <c r="E748" s="31"/>
      <c r="F748" s="31"/>
      <c r="G748" s="31"/>
      <c r="H748" s="31"/>
    </row>
    <row r="749" ht="15.75" customHeight="1">
      <c r="A749" s="31"/>
      <c r="B749" s="31"/>
      <c r="C749" s="31"/>
      <c r="D749" s="31"/>
      <c r="E749" s="31"/>
      <c r="F749" s="31"/>
      <c r="G749" s="31"/>
      <c r="H749" s="31"/>
    </row>
    <row r="750" ht="15.75" customHeight="1">
      <c r="A750" s="31"/>
      <c r="B750" s="31"/>
      <c r="C750" s="31"/>
      <c r="D750" s="31"/>
      <c r="E750" s="31"/>
      <c r="F750" s="31"/>
      <c r="G750" s="31"/>
      <c r="H750" s="31"/>
    </row>
    <row r="751" ht="15.75" customHeight="1">
      <c r="A751" s="31"/>
      <c r="B751" s="31"/>
      <c r="C751" s="31"/>
      <c r="D751" s="31"/>
      <c r="E751" s="31"/>
      <c r="F751" s="31"/>
      <c r="G751" s="31"/>
      <c r="H751" s="31"/>
    </row>
    <row r="752" ht="15.75" customHeight="1">
      <c r="A752" s="31"/>
      <c r="B752" s="31"/>
      <c r="C752" s="31"/>
      <c r="D752" s="31"/>
      <c r="E752" s="31"/>
      <c r="F752" s="31"/>
      <c r="G752" s="31"/>
      <c r="H752" s="31"/>
    </row>
    <row r="753" ht="15.75" customHeight="1">
      <c r="A753" s="31"/>
      <c r="B753" s="31"/>
      <c r="C753" s="31"/>
      <c r="D753" s="31"/>
      <c r="E753" s="31"/>
      <c r="F753" s="31"/>
      <c r="G753" s="31"/>
      <c r="H753" s="31"/>
    </row>
    <row r="754" ht="15.75" customHeight="1">
      <c r="A754" s="31"/>
      <c r="B754" s="31"/>
      <c r="C754" s="31"/>
      <c r="D754" s="31"/>
      <c r="E754" s="31"/>
      <c r="F754" s="31"/>
      <c r="G754" s="31"/>
      <c r="H754" s="31"/>
    </row>
    <row r="755" ht="15.75" customHeight="1">
      <c r="A755" s="31"/>
      <c r="B755" s="31"/>
      <c r="C755" s="31"/>
      <c r="D755" s="31"/>
      <c r="E755" s="31"/>
      <c r="F755" s="31"/>
      <c r="G755" s="31"/>
      <c r="H755" s="31"/>
    </row>
    <row r="756" ht="15.75" customHeight="1">
      <c r="A756" s="31"/>
      <c r="B756" s="31"/>
      <c r="C756" s="31"/>
      <c r="D756" s="31"/>
      <c r="E756" s="31"/>
      <c r="F756" s="31"/>
      <c r="G756" s="31"/>
      <c r="H756" s="31"/>
    </row>
    <row r="757" ht="15.75" customHeight="1">
      <c r="A757" s="31"/>
      <c r="B757" s="31"/>
      <c r="C757" s="31"/>
      <c r="D757" s="31"/>
      <c r="E757" s="31"/>
      <c r="F757" s="31"/>
      <c r="G757" s="31"/>
      <c r="H757" s="31"/>
    </row>
    <row r="758" ht="15.75" customHeight="1">
      <c r="A758" s="31"/>
      <c r="B758" s="31"/>
      <c r="C758" s="31"/>
      <c r="D758" s="31"/>
      <c r="E758" s="31"/>
      <c r="F758" s="31"/>
      <c r="G758" s="31"/>
      <c r="H758" s="31"/>
    </row>
    <row r="759" ht="15.75" customHeight="1">
      <c r="A759" s="31"/>
      <c r="B759" s="31"/>
      <c r="C759" s="31"/>
      <c r="D759" s="31"/>
      <c r="E759" s="31"/>
      <c r="F759" s="31"/>
      <c r="G759" s="31"/>
      <c r="H759" s="31"/>
    </row>
    <row r="760" ht="15.75" customHeight="1">
      <c r="A760" s="31"/>
      <c r="B760" s="31"/>
      <c r="C760" s="31"/>
      <c r="D760" s="31"/>
      <c r="E760" s="31"/>
      <c r="F760" s="31"/>
      <c r="G760" s="31"/>
      <c r="H760" s="31"/>
    </row>
    <row r="761" ht="15.75" customHeight="1">
      <c r="A761" s="31"/>
      <c r="B761" s="31"/>
      <c r="C761" s="31"/>
      <c r="D761" s="31"/>
      <c r="E761" s="31"/>
      <c r="F761" s="31"/>
      <c r="G761" s="31"/>
      <c r="H761" s="31"/>
    </row>
    <row r="762" ht="15.75" customHeight="1">
      <c r="A762" s="31"/>
      <c r="B762" s="31"/>
      <c r="C762" s="31"/>
      <c r="D762" s="31"/>
      <c r="E762" s="31"/>
      <c r="F762" s="31"/>
      <c r="G762" s="31"/>
      <c r="H762" s="31"/>
    </row>
    <row r="763" ht="15.75" customHeight="1">
      <c r="A763" s="31"/>
      <c r="B763" s="31"/>
      <c r="C763" s="31"/>
      <c r="D763" s="31"/>
      <c r="E763" s="31"/>
      <c r="F763" s="31"/>
      <c r="G763" s="31"/>
      <c r="H763" s="31"/>
    </row>
    <row r="764" ht="15.75" customHeight="1">
      <c r="A764" s="31"/>
      <c r="B764" s="31"/>
      <c r="C764" s="31"/>
      <c r="D764" s="31"/>
      <c r="E764" s="31"/>
      <c r="F764" s="31"/>
      <c r="G764" s="31"/>
      <c r="H764" s="31"/>
    </row>
    <row r="765" ht="15.75" customHeight="1">
      <c r="A765" s="31"/>
      <c r="B765" s="31"/>
      <c r="C765" s="31"/>
      <c r="D765" s="31"/>
      <c r="E765" s="31"/>
      <c r="F765" s="31"/>
      <c r="G765" s="31"/>
      <c r="H765" s="31"/>
    </row>
    <row r="766" ht="15.75" customHeight="1">
      <c r="A766" s="31"/>
      <c r="B766" s="31"/>
      <c r="C766" s="31"/>
      <c r="D766" s="31"/>
      <c r="E766" s="31"/>
      <c r="F766" s="31"/>
      <c r="G766" s="31"/>
      <c r="H766" s="31"/>
    </row>
    <row r="767" ht="15.75" customHeight="1">
      <c r="A767" s="31"/>
      <c r="B767" s="31"/>
      <c r="C767" s="31"/>
      <c r="D767" s="31"/>
      <c r="E767" s="31"/>
      <c r="F767" s="31"/>
      <c r="G767" s="31"/>
      <c r="H767" s="31"/>
    </row>
    <row r="768" ht="15.75" customHeight="1">
      <c r="A768" s="31"/>
      <c r="B768" s="31"/>
      <c r="C768" s="31"/>
      <c r="D768" s="31"/>
      <c r="E768" s="31"/>
      <c r="F768" s="31"/>
      <c r="G768" s="31"/>
      <c r="H768" s="31"/>
    </row>
    <row r="769" ht="15.75" customHeight="1">
      <c r="A769" s="31"/>
      <c r="B769" s="31"/>
      <c r="C769" s="31"/>
      <c r="D769" s="31"/>
      <c r="E769" s="31"/>
      <c r="F769" s="31"/>
      <c r="G769" s="31"/>
      <c r="H769" s="31"/>
    </row>
    <row r="770" ht="15.75" customHeight="1">
      <c r="A770" s="31"/>
      <c r="B770" s="31"/>
      <c r="C770" s="31"/>
      <c r="D770" s="31"/>
      <c r="E770" s="31"/>
      <c r="F770" s="31"/>
      <c r="G770" s="31"/>
      <c r="H770" s="31"/>
    </row>
    <row r="771" ht="15.75" customHeight="1">
      <c r="A771" s="31"/>
      <c r="B771" s="31"/>
      <c r="C771" s="31"/>
      <c r="D771" s="31"/>
      <c r="E771" s="31"/>
      <c r="F771" s="31"/>
      <c r="G771" s="31"/>
      <c r="H771" s="31"/>
    </row>
    <row r="772" ht="15.75" customHeight="1">
      <c r="A772" s="31"/>
      <c r="B772" s="31"/>
      <c r="C772" s="31"/>
      <c r="D772" s="31"/>
      <c r="E772" s="31"/>
      <c r="F772" s="31"/>
      <c r="G772" s="31"/>
      <c r="H772" s="31"/>
    </row>
    <row r="773" ht="15.75" customHeight="1">
      <c r="A773" s="31"/>
      <c r="B773" s="31"/>
      <c r="C773" s="31"/>
      <c r="D773" s="31"/>
      <c r="E773" s="31"/>
      <c r="F773" s="31"/>
      <c r="G773" s="31"/>
      <c r="H773" s="31"/>
    </row>
    <row r="774" ht="15.75" customHeight="1">
      <c r="A774" s="31"/>
      <c r="B774" s="31"/>
      <c r="C774" s="31"/>
      <c r="D774" s="31"/>
      <c r="E774" s="31"/>
      <c r="F774" s="31"/>
      <c r="G774" s="31"/>
      <c r="H774" s="31"/>
    </row>
    <row r="775" ht="15.75" customHeight="1">
      <c r="A775" s="31"/>
      <c r="B775" s="31"/>
      <c r="C775" s="31"/>
      <c r="D775" s="31"/>
      <c r="E775" s="31"/>
      <c r="F775" s="31"/>
      <c r="G775" s="31"/>
      <c r="H775" s="31"/>
    </row>
    <row r="776" ht="15.75" customHeight="1">
      <c r="A776" s="31"/>
      <c r="B776" s="31"/>
      <c r="C776" s="31"/>
      <c r="D776" s="31"/>
      <c r="E776" s="31"/>
      <c r="F776" s="31"/>
      <c r="G776" s="31"/>
      <c r="H776" s="31"/>
    </row>
    <row r="777" ht="15.75" customHeight="1">
      <c r="A777" s="31"/>
      <c r="B777" s="31"/>
      <c r="C777" s="31"/>
      <c r="D777" s="31"/>
      <c r="E777" s="31"/>
      <c r="F777" s="31"/>
      <c r="G777" s="31"/>
      <c r="H777" s="31"/>
    </row>
    <row r="778" ht="15.75" customHeight="1">
      <c r="A778" s="31"/>
      <c r="B778" s="31"/>
      <c r="C778" s="31"/>
      <c r="D778" s="31"/>
      <c r="E778" s="31"/>
      <c r="F778" s="31"/>
      <c r="G778" s="31"/>
      <c r="H778" s="31"/>
    </row>
    <row r="779" ht="15.75" customHeight="1">
      <c r="A779" s="31"/>
      <c r="B779" s="31"/>
      <c r="C779" s="31"/>
      <c r="D779" s="31"/>
      <c r="E779" s="31"/>
      <c r="F779" s="31"/>
      <c r="G779" s="31"/>
      <c r="H779" s="31"/>
    </row>
    <row r="780" ht="15.75" customHeight="1">
      <c r="A780" s="31"/>
      <c r="B780" s="31"/>
      <c r="C780" s="31"/>
      <c r="D780" s="31"/>
      <c r="E780" s="31"/>
      <c r="F780" s="31"/>
      <c r="G780" s="31"/>
      <c r="H780" s="31"/>
    </row>
    <row r="781" ht="15.75" customHeight="1">
      <c r="A781" s="31"/>
      <c r="B781" s="31"/>
      <c r="C781" s="31"/>
      <c r="D781" s="31"/>
      <c r="E781" s="31"/>
      <c r="F781" s="31"/>
      <c r="G781" s="31"/>
      <c r="H781" s="31"/>
    </row>
    <row r="782" ht="15.75" customHeight="1">
      <c r="A782" s="31"/>
      <c r="B782" s="31"/>
      <c r="C782" s="31"/>
      <c r="D782" s="31"/>
      <c r="E782" s="31"/>
      <c r="F782" s="31"/>
      <c r="G782" s="31"/>
      <c r="H782" s="31"/>
    </row>
    <row r="783" ht="15.75" customHeight="1">
      <c r="A783" s="31"/>
      <c r="B783" s="31"/>
      <c r="C783" s="31"/>
      <c r="D783" s="31"/>
      <c r="E783" s="31"/>
      <c r="F783" s="31"/>
      <c r="G783" s="31"/>
      <c r="H783" s="31"/>
    </row>
    <row r="784" ht="15.75" customHeight="1">
      <c r="A784" s="31"/>
      <c r="B784" s="31"/>
      <c r="C784" s="31"/>
      <c r="D784" s="31"/>
      <c r="E784" s="31"/>
      <c r="F784" s="31"/>
      <c r="G784" s="31"/>
      <c r="H784" s="31"/>
    </row>
    <row r="785" ht="15.75" customHeight="1">
      <c r="A785" s="31"/>
      <c r="B785" s="31"/>
      <c r="C785" s="31"/>
      <c r="D785" s="31"/>
      <c r="E785" s="31"/>
      <c r="F785" s="31"/>
      <c r="G785" s="31"/>
      <c r="H785" s="31"/>
    </row>
    <row r="786" ht="15.75" customHeight="1">
      <c r="A786" s="31"/>
      <c r="B786" s="31"/>
      <c r="C786" s="31"/>
      <c r="D786" s="31"/>
      <c r="E786" s="31"/>
      <c r="F786" s="31"/>
      <c r="G786" s="31"/>
      <c r="H786" s="31"/>
    </row>
    <row r="787" ht="15.75" customHeight="1">
      <c r="A787" s="31"/>
      <c r="B787" s="31"/>
      <c r="C787" s="31"/>
      <c r="D787" s="31"/>
      <c r="E787" s="31"/>
      <c r="F787" s="31"/>
      <c r="G787" s="31"/>
      <c r="H787" s="31"/>
    </row>
    <row r="788" ht="15.75" customHeight="1">
      <c r="A788" s="31"/>
      <c r="B788" s="31"/>
      <c r="C788" s="31"/>
      <c r="D788" s="31"/>
      <c r="E788" s="31"/>
      <c r="F788" s="31"/>
      <c r="G788" s="31"/>
      <c r="H788" s="31"/>
    </row>
    <row r="789" ht="15.75" customHeight="1">
      <c r="A789" s="31"/>
      <c r="B789" s="31"/>
      <c r="C789" s="31"/>
      <c r="D789" s="31"/>
      <c r="E789" s="31"/>
      <c r="F789" s="31"/>
      <c r="G789" s="31"/>
      <c r="H789" s="31"/>
    </row>
    <row r="790" ht="15.75" customHeight="1">
      <c r="A790" s="31"/>
      <c r="B790" s="31"/>
      <c r="C790" s="31"/>
      <c r="D790" s="31"/>
      <c r="E790" s="31"/>
      <c r="F790" s="31"/>
      <c r="G790" s="31"/>
      <c r="H790" s="31"/>
    </row>
    <row r="791" ht="15.75" customHeight="1">
      <c r="A791" s="31"/>
      <c r="B791" s="31"/>
      <c r="C791" s="31"/>
      <c r="D791" s="31"/>
      <c r="E791" s="31"/>
      <c r="F791" s="31"/>
      <c r="G791" s="31"/>
      <c r="H791" s="31"/>
    </row>
    <row r="792" ht="15.75" customHeight="1">
      <c r="A792" s="31"/>
      <c r="B792" s="31"/>
      <c r="C792" s="31"/>
      <c r="D792" s="31"/>
      <c r="E792" s="31"/>
      <c r="F792" s="31"/>
      <c r="G792" s="31"/>
      <c r="H792" s="31"/>
    </row>
    <row r="793" ht="15.75" customHeight="1">
      <c r="A793" s="31"/>
      <c r="B793" s="31"/>
      <c r="C793" s="31"/>
      <c r="D793" s="31"/>
      <c r="E793" s="31"/>
      <c r="F793" s="31"/>
      <c r="G793" s="31"/>
      <c r="H793" s="31"/>
    </row>
    <row r="794" ht="15.75" customHeight="1">
      <c r="A794" s="31"/>
      <c r="B794" s="31"/>
      <c r="C794" s="31"/>
      <c r="D794" s="31"/>
      <c r="E794" s="31"/>
      <c r="F794" s="31"/>
      <c r="G794" s="31"/>
      <c r="H794" s="31"/>
    </row>
    <row r="795" ht="15.75" customHeight="1">
      <c r="A795" s="31"/>
      <c r="B795" s="31"/>
      <c r="C795" s="31"/>
      <c r="D795" s="31"/>
      <c r="E795" s="31"/>
      <c r="F795" s="31"/>
      <c r="G795" s="31"/>
      <c r="H795" s="31"/>
    </row>
    <row r="796" ht="15.75" customHeight="1">
      <c r="A796" s="31"/>
      <c r="B796" s="31"/>
      <c r="C796" s="31"/>
      <c r="D796" s="31"/>
      <c r="E796" s="31"/>
      <c r="F796" s="31"/>
      <c r="G796" s="31"/>
      <c r="H796" s="31"/>
    </row>
    <row r="797" ht="15.75" customHeight="1">
      <c r="A797" s="31"/>
      <c r="B797" s="31"/>
      <c r="C797" s="31"/>
      <c r="D797" s="31"/>
      <c r="E797" s="31"/>
      <c r="F797" s="31"/>
      <c r="G797" s="31"/>
      <c r="H797" s="31"/>
    </row>
    <row r="798" ht="15.75" customHeight="1">
      <c r="A798" s="31"/>
      <c r="B798" s="31"/>
      <c r="C798" s="31"/>
      <c r="D798" s="31"/>
      <c r="E798" s="31"/>
      <c r="F798" s="31"/>
      <c r="G798" s="31"/>
      <c r="H798" s="31"/>
    </row>
    <row r="799" ht="15.75" customHeight="1">
      <c r="A799" s="31"/>
      <c r="B799" s="31"/>
      <c r="C799" s="31"/>
      <c r="D799" s="31"/>
      <c r="E799" s="31"/>
      <c r="F799" s="31"/>
      <c r="G799" s="31"/>
      <c r="H799" s="31"/>
    </row>
    <row r="800" ht="15.75" customHeight="1">
      <c r="A800" s="31"/>
      <c r="B800" s="31"/>
      <c r="C800" s="31"/>
      <c r="D800" s="31"/>
      <c r="E800" s="31"/>
      <c r="F800" s="31"/>
      <c r="G800" s="31"/>
      <c r="H800" s="31"/>
    </row>
    <row r="801" ht="15.75" customHeight="1">
      <c r="A801" s="31"/>
      <c r="B801" s="31"/>
      <c r="C801" s="31"/>
      <c r="D801" s="31"/>
      <c r="E801" s="31"/>
      <c r="F801" s="31"/>
      <c r="G801" s="31"/>
      <c r="H801" s="31"/>
    </row>
    <row r="802" ht="15.75" customHeight="1">
      <c r="A802" s="31"/>
      <c r="B802" s="31"/>
      <c r="C802" s="31"/>
      <c r="D802" s="31"/>
      <c r="E802" s="31"/>
      <c r="F802" s="31"/>
      <c r="G802" s="31"/>
      <c r="H802" s="31"/>
    </row>
    <row r="803" ht="15.75" customHeight="1">
      <c r="A803" s="31"/>
      <c r="B803" s="31"/>
      <c r="C803" s="31"/>
      <c r="D803" s="31"/>
      <c r="E803" s="31"/>
      <c r="F803" s="31"/>
      <c r="G803" s="31"/>
      <c r="H803" s="31"/>
    </row>
    <row r="804" ht="15.75" customHeight="1">
      <c r="A804" s="31"/>
      <c r="B804" s="31"/>
      <c r="C804" s="31"/>
      <c r="D804" s="31"/>
      <c r="E804" s="31"/>
      <c r="F804" s="31"/>
      <c r="G804" s="31"/>
      <c r="H804" s="31"/>
    </row>
    <row r="805" ht="15.75" customHeight="1">
      <c r="A805" s="31"/>
      <c r="B805" s="31"/>
      <c r="C805" s="31"/>
      <c r="D805" s="31"/>
      <c r="E805" s="31"/>
      <c r="F805" s="31"/>
      <c r="G805" s="31"/>
      <c r="H805" s="31"/>
    </row>
    <row r="806" ht="15.75" customHeight="1">
      <c r="A806" s="31"/>
      <c r="B806" s="31"/>
      <c r="C806" s="31"/>
      <c r="D806" s="31"/>
      <c r="E806" s="31"/>
      <c r="F806" s="31"/>
      <c r="G806" s="31"/>
      <c r="H806" s="31"/>
    </row>
    <row r="807" ht="15.75" customHeight="1">
      <c r="A807" s="31"/>
      <c r="B807" s="31"/>
      <c r="C807" s="31"/>
      <c r="D807" s="31"/>
      <c r="E807" s="31"/>
      <c r="F807" s="31"/>
      <c r="G807" s="31"/>
      <c r="H807" s="31"/>
    </row>
    <row r="808" ht="15.75" customHeight="1">
      <c r="A808" s="31"/>
      <c r="B808" s="31"/>
      <c r="C808" s="31"/>
      <c r="D808" s="31"/>
      <c r="E808" s="31"/>
      <c r="F808" s="31"/>
      <c r="G808" s="31"/>
      <c r="H808" s="31"/>
    </row>
    <row r="809" ht="15.75" customHeight="1">
      <c r="A809" s="31"/>
      <c r="B809" s="31"/>
      <c r="C809" s="31"/>
      <c r="D809" s="31"/>
      <c r="E809" s="31"/>
      <c r="F809" s="31"/>
      <c r="G809" s="31"/>
      <c r="H809" s="31"/>
    </row>
    <row r="810" ht="15.75" customHeight="1">
      <c r="A810" s="31"/>
      <c r="B810" s="31"/>
      <c r="C810" s="31"/>
      <c r="D810" s="31"/>
      <c r="E810" s="31"/>
      <c r="F810" s="31"/>
      <c r="G810" s="31"/>
      <c r="H810" s="31"/>
    </row>
    <row r="811" ht="15.75" customHeight="1">
      <c r="A811" s="31"/>
      <c r="B811" s="31"/>
      <c r="C811" s="31"/>
      <c r="D811" s="31"/>
      <c r="E811" s="31"/>
      <c r="F811" s="31"/>
      <c r="G811" s="31"/>
      <c r="H811" s="31"/>
    </row>
    <row r="812" ht="15.75" customHeight="1">
      <c r="A812" s="31"/>
      <c r="B812" s="31"/>
      <c r="C812" s="31"/>
      <c r="D812" s="31"/>
      <c r="E812" s="31"/>
      <c r="F812" s="31"/>
      <c r="G812" s="31"/>
      <c r="H812" s="31"/>
    </row>
    <row r="813" ht="15.75" customHeight="1">
      <c r="A813" s="31"/>
      <c r="B813" s="31"/>
      <c r="C813" s="31"/>
      <c r="D813" s="31"/>
      <c r="E813" s="31"/>
      <c r="F813" s="31"/>
      <c r="G813" s="31"/>
      <c r="H813" s="31"/>
    </row>
    <row r="814" ht="15.75" customHeight="1">
      <c r="A814" s="31"/>
      <c r="B814" s="31"/>
      <c r="C814" s="31"/>
      <c r="D814" s="31"/>
      <c r="E814" s="31"/>
      <c r="F814" s="31"/>
      <c r="G814" s="31"/>
      <c r="H814" s="31"/>
    </row>
    <row r="815" ht="15.75" customHeight="1">
      <c r="A815" s="31"/>
      <c r="B815" s="31"/>
      <c r="C815" s="31"/>
      <c r="D815" s="31"/>
      <c r="E815" s="31"/>
      <c r="F815" s="31"/>
      <c r="G815" s="31"/>
      <c r="H815" s="31"/>
    </row>
    <row r="816" ht="15.75" customHeight="1">
      <c r="A816" s="31"/>
      <c r="B816" s="31"/>
      <c r="C816" s="31"/>
      <c r="D816" s="31"/>
      <c r="E816" s="31"/>
      <c r="F816" s="31"/>
      <c r="G816" s="31"/>
      <c r="H816" s="31"/>
    </row>
    <row r="817" ht="15.75" customHeight="1">
      <c r="A817" s="31"/>
      <c r="B817" s="31"/>
      <c r="C817" s="31"/>
      <c r="D817" s="31"/>
      <c r="E817" s="31"/>
      <c r="F817" s="31"/>
      <c r="G817" s="31"/>
      <c r="H817" s="31"/>
    </row>
    <row r="818" ht="15.75" customHeight="1">
      <c r="A818" s="31"/>
      <c r="B818" s="31"/>
      <c r="C818" s="31"/>
      <c r="D818" s="31"/>
      <c r="E818" s="31"/>
      <c r="F818" s="31"/>
      <c r="G818" s="31"/>
      <c r="H818" s="31"/>
    </row>
    <row r="819" ht="15.75" customHeight="1">
      <c r="A819" s="31"/>
      <c r="B819" s="31"/>
      <c r="C819" s="31"/>
      <c r="D819" s="31"/>
      <c r="E819" s="31"/>
      <c r="F819" s="31"/>
      <c r="G819" s="31"/>
      <c r="H819" s="31"/>
    </row>
    <row r="820" ht="15.75" customHeight="1">
      <c r="A820" s="31"/>
      <c r="B820" s="31"/>
      <c r="C820" s="31"/>
      <c r="D820" s="31"/>
      <c r="E820" s="31"/>
      <c r="F820" s="31"/>
      <c r="G820" s="31"/>
      <c r="H820" s="31"/>
    </row>
    <row r="821" ht="15.75" customHeight="1">
      <c r="A821" s="31"/>
      <c r="B821" s="31"/>
      <c r="C821" s="31"/>
      <c r="D821" s="31"/>
      <c r="E821" s="31"/>
      <c r="F821" s="31"/>
      <c r="G821" s="31"/>
      <c r="H821" s="31"/>
    </row>
    <row r="822" ht="15.75" customHeight="1">
      <c r="A822" s="31"/>
      <c r="B822" s="31"/>
      <c r="C822" s="31"/>
      <c r="D822" s="31"/>
      <c r="E822" s="31"/>
      <c r="F822" s="31"/>
      <c r="G822" s="31"/>
      <c r="H822" s="31"/>
    </row>
    <row r="823" ht="15.75" customHeight="1">
      <c r="A823" s="31"/>
      <c r="B823" s="31"/>
      <c r="C823" s="31"/>
      <c r="D823" s="31"/>
      <c r="E823" s="31"/>
      <c r="F823" s="31"/>
      <c r="G823" s="31"/>
      <c r="H823" s="31"/>
    </row>
    <row r="824" ht="15.75" customHeight="1">
      <c r="A824" s="31"/>
      <c r="B824" s="31"/>
      <c r="C824" s="31"/>
      <c r="D824" s="31"/>
      <c r="E824" s="31"/>
      <c r="F824" s="31"/>
      <c r="G824" s="31"/>
      <c r="H824" s="31"/>
    </row>
    <row r="825" ht="15.75" customHeight="1">
      <c r="A825" s="31"/>
      <c r="B825" s="31"/>
      <c r="C825" s="31"/>
      <c r="D825" s="31"/>
      <c r="E825" s="31"/>
      <c r="F825" s="31"/>
      <c r="G825" s="31"/>
      <c r="H825" s="31"/>
    </row>
    <row r="826" ht="15.75" customHeight="1">
      <c r="A826" s="31"/>
      <c r="B826" s="31"/>
      <c r="C826" s="31"/>
      <c r="D826" s="31"/>
      <c r="E826" s="31"/>
      <c r="F826" s="31"/>
      <c r="G826" s="31"/>
      <c r="H826" s="31"/>
    </row>
    <row r="827" ht="15.75" customHeight="1">
      <c r="A827" s="31"/>
      <c r="B827" s="31"/>
      <c r="C827" s="31"/>
      <c r="D827" s="31"/>
      <c r="E827" s="31"/>
      <c r="F827" s="31"/>
      <c r="G827" s="31"/>
      <c r="H827" s="31"/>
    </row>
    <row r="828" ht="15.75" customHeight="1">
      <c r="A828" s="31"/>
      <c r="B828" s="31"/>
      <c r="C828" s="31"/>
      <c r="D828" s="31"/>
      <c r="E828" s="31"/>
      <c r="F828" s="31"/>
      <c r="G828" s="31"/>
      <c r="H828" s="31"/>
    </row>
    <row r="829" ht="15.75" customHeight="1">
      <c r="A829" s="31"/>
      <c r="B829" s="31"/>
      <c r="C829" s="31"/>
      <c r="D829" s="31"/>
      <c r="E829" s="31"/>
      <c r="F829" s="31"/>
      <c r="G829" s="31"/>
      <c r="H829" s="31"/>
    </row>
    <row r="830" ht="15.75" customHeight="1">
      <c r="A830" s="31"/>
      <c r="B830" s="31"/>
      <c r="C830" s="31"/>
      <c r="D830" s="31"/>
      <c r="E830" s="31"/>
      <c r="F830" s="31"/>
      <c r="G830" s="31"/>
      <c r="H830" s="31"/>
    </row>
    <row r="831" ht="15.75" customHeight="1">
      <c r="A831" s="31"/>
      <c r="B831" s="31"/>
      <c r="C831" s="31"/>
      <c r="D831" s="31"/>
      <c r="E831" s="31"/>
      <c r="F831" s="31"/>
      <c r="G831" s="31"/>
      <c r="H831" s="31"/>
    </row>
    <row r="832" ht="15.75" customHeight="1">
      <c r="A832" s="31"/>
      <c r="B832" s="31"/>
      <c r="C832" s="31"/>
      <c r="D832" s="31"/>
      <c r="E832" s="31"/>
      <c r="F832" s="31"/>
      <c r="G832" s="31"/>
      <c r="H832" s="31"/>
    </row>
    <row r="833" ht="15.75" customHeight="1">
      <c r="A833" s="31"/>
      <c r="B833" s="31"/>
      <c r="C833" s="31"/>
      <c r="D833" s="31"/>
      <c r="E833" s="31"/>
      <c r="F833" s="31"/>
      <c r="G833" s="31"/>
      <c r="H833" s="31"/>
    </row>
    <row r="834" ht="15.75" customHeight="1">
      <c r="A834" s="31"/>
      <c r="B834" s="31"/>
      <c r="C834" s="31"/>
      <c r="D834" s="31"/>
      <c r="E834" s="31"/>
      <c r="F834" s="31"/>
      <c r="G834" s="31"/>
      <c r="H834" s="31"/>
    </row>
    <row r="835" ht="15.75" customHeight="1">
      <c r="A835" s="31"/>
      <c r="B835" s="31"/>
      <c r="C835" s="31"/>
      <c r="D835" s="31"/>
      <c r="E835" s="31"/>
      <c r="F835" s="31"/>
      <c r="G835" s="31"/>
      <c r="H835" s="31"/>
    </row>
    <row r="836" ht="15.75" customHeight="1">
      <c r="A836" s="31"/>
      <c r="B836" s="31"/>
      <c r="C836" s="31"/>
      <c r="D836" s="31"/>
      <c r="E836" s="31"/>
      <c r="F836" s="31"/>
      <c r="G836" s="31"/>
      <c r="H836" s="31"/>
    </row>
    <row r="837" ht="15.75" customHeight="1">
      <c r="A837" s="31"/>
      <c r="B837" s="31"/>
      <c r="C837" s="31"/>
      <c r="D837" s="31"/>
      <c r="E837" s="31"/>
      <c r="F837" s="31"/>
      <c r="G837" s="31"/>
      <c r="H837" s="31"/>
    </row>
    <row r="838" ht="15.75" customHeight="1">
      <c r="A838" s="31"/>
      <c r="B838" s="31"/>
      <c r="C838" s="31"/>
      <c r="D838" s="31"/>
      <c r="E838" s="31"/>
      <c r="F838" s="31"/>
      <c r="G838" s="31"/>
      <c r="H838" s="31"/>
    </row>
    <row r="839" ht="15.75" customHeight="1">
      <c r="A839" s="31"/>
      <c r="B839" s="31"/>
      <c r="C839" s="31"/>
      <c r="D839" s="31"/>
      <c r="E839" s="31"/>
      <c r="F839" s="31"/>
      <c r="G839" s="31"/>
      <c r="H839" s="31"/>
    </row>
    <row r="840" ht="15.75" customHeight="1">
      <c r="A840" s="31"/>
      <c r="B840" s="31"/>
      <c r="C840" s="31"/>
      <c r="D840" s="31"/>
      <c r="E840" s="31"/>
      <c r="F840" s="31"/>
      <c r="G840" s="31"/>
      <c r="H840" s="31"/>
    </row>
    <row r="841" ht="15.75" customHeight="1">
      <c r="A841" s="31"/>
      <c r="B841" s="31"/>
      <c r="C841" s="31"/>
      <c r="D841" s="31"/>
      <c r="E841" s="31"/>
      <c r="F841" s="31"/>
      <c r="G841" s="31"/>
      <c r="H841" s="31"/>
    </row>
    <row r="842" ht="15.75" customHeight="1">
      <c r="A842" s="31"/>
      <c r="B842" s="31"/>
      <c r="C842" s="31"/>
      <c r="D842" s="31"/>
      <c r="E842" s="31"/>
      <c r="F842" s="31"/>
      <c r="G842" s="31"/>
      <c r="H842" s="31"/>
    </row>
    <row r="843" ht="15.75" customHeight="1">
      <c r="A843" s="31"/>
      <c r="B843" s="31"/>
      <c r="C843" s="31"/>
      <c r="D843" s="31"/>
      <c r="E843" s="31"/>
      <c r="F843" s="31"/>
      <c r="G843" s="31"/>
      <c r="H843" s="31"/>
    </row>
    <row r="844" ht="15.75" customHeight="1">
      <c r="A844" s="31"/>
      <c r="B844" s="31"/>
      <c r="C844" s="31"/>
      <c r="D844" s="31"/>
      <c r="E844" s="31"/>
      <c r="F844" s="31"/>
      <c r="G844" s="31"/>
      <c r="H844" s="31"/>
    </row>
    <row r="845" ht="15.75" customHeight="1">
      <c r="A845" s="31"/>
      <c r="B845" s="31"/>
      <c r="C845" s="31"/>
      <c r="D845" s="31"/>
      <c r="E845" s="31"/>
      <c r="F845" s="31"/>
      <c r="G845" s="31"/>
      <c r="H845" s="31"/>
    </row>
    <row r="846" ht="15.75" customHeight="1">
      <c r="A846" s="31"/>
      <c r="B846" s="31"/>
      <c r="C846" s="31"/>
      <c r="D846" s="31"/>
      <c r="E846" s="31"/>
      <c r="F846" s="31"/>
      <c r="G846" s="31"/>
      <c r="H846" s="31"/>
    </row>
    <row r="847" ht="15.75" customHeight="1">
      <c r="A847" s="31"/>
      <c r="B847" s="31"/>
      <c r="C847" s="31"/>
      <c r="D847" s="31"/>
      <c r="E847" s="31"/>
      <c r="F847" s="31"/>
      <c r="G847" s="31"/>
      <c r="H847" s="31"/>
    </row>
    <row r="848" ht="15.75" customHeight="1">
      <c r="A848" s="31"/>
      <c r="B848" s="31"/>
      <c r="C848" s="31"/>
      <c r="D848" s="31"/>
      <c r="E848" s="31"/>
      <c r="F848" s="31"/>
      <c r="G848" s="31"/>
      <c r="H848" s="31"/>
    </row>
    <row r="849" ht="15.75" customHeight="1">
      <c r="A849" s="31"/>
      <c r="B849" s="31"/>
      <c r="C849" s="31"/>
      <c r="D849" s="31"/>
      <c r="E849" s="31"/>
      <c r="F849" s="31"/>
      <c r="G849" s="31"/>
      <c r="H849" s="31"/>
    </row>
    <row r="850" ht="15.75" customHeight="1">
      <c r="A850" s="31"/>
      <c r="B850" s="31"/>
      <c r="C850" s="31"/>
      <c r="D850" s="31"/>
      <c r="E850" s="31"/>
      <c r="F850" s="31"/>
      <c r="G850" s="31"/>
      <c r="H850" s="31"/>
    </row>
    <row r="851" ht="15.75" customHeight="1">
      <c r="A851" s="31"/>
      <c r="B851" s="31"/>
      <c r="C851" s="31"/>
      <c r="D851" s="31"/>
      <c r="E851" s="31"/>
      <c r="F851" s="31"/>
      <c r="G851" s="31"/>
      <c r="H851" s="31"/>
    </row>
    <row r="852" ht="15.75" customHeight="1">
      <c r="A852" s="31"/>
      <c r="B852" s="31"/>
      <c r="C852" s="31"/>
      <c r="D852" s="31"/>
      <c r="E852" s="31"/>
      <c r="F852" s="31"/>
      <c r="G852" s="31"/>
      <c r="H852" s="31"/>
    </row>
    <row r="853" ht="15.75" customHeight="1">
      <c r="A853" s="31"/>
      <c r="B853" s="31"/>
      <c r="C853" s="31"/>
      <c r="D853" s="31"/>
      <c r="E853" s="31"/>
      <c r="F853" s="31"/>
      <c r="G853" s="31"/>
      <c r="H853" s="31"/>
    </row>
    <row r="854" ht="15.75" customHeight="1">
      <c r="A854" s="31"/>
      <c r="B854" s="31"/>
      <c r="C854" s="31"/>
      <c r="D854" s="31"/>
      <c r="E854" s="31"/>
      <c r="F854" s="31"/>
      <c r="G854" s="31"/>
      <c r="H854" s="31"/>
    </row>
    <row r="855" ht="15.75" customHeight="1">
      <c r="A855" s="31"/>
      <c r="B855" s="31"/>
      <c r="C855" s="31"/>
      <c r="D855" s="31"/>
      <c r="E855" s="31"/>
      <c r="F855" s="31"/>
      <c r="G855" s="31"/>
      <c r="H855" s="31"/>
    </row>
    <row r="856" ht="15.75" customHeight="1">
      <c r="A856" s="31"/>
      <c r="B856" s="31"/>
      <c r="C856" s="31"/>
      <c r="D856" s="31"/>
      <c r="E856" s="31"/>
      <c r="F856" s="31"/>
      <c r="G856" s="31"/>
      <c r="H856" s="31"/>
    </row>
    <row r="857" ht="15.75" customHeight="1">
      <c r="A857" s="31"/>
      <c r="B857" s="31"/>
      <c r="C857" s="31"/>
      <c r="D857" s="31"/>
      <c r="E857" s="31"/>
      <c r="F857" s="31"/>
      <c r="G857" s="31"/>
      <c r="H857" s="31"/>
    </row>
    <row r="858" ht="15.75" customHeight="1">
      <c r="A858" s="31"/>
      <c r="B858" s="31"/>
      <c r="C858" s="31"/>
      <c r="D858" s="31"/>
      <c r="E858" s="31"/>
      <c r="F858" s="31"/>
      <c r="G858" s="31"/>
      <c r="H858" s="31"/>
    </row>
    <row r="859" ht="15.75" customHeight="1">
      <c r="A859" s="31"/>
      <c r="B859" s="31"/>
      <c r="C859" s="31"/>
      <c r="D859" s="31"/>
      <c r="E859" s="31"/>
      <c r="F859" s="31"/>
      <c r="G859" s="31"/>
      <c r="H859" s="31"/>
    </row>
    <row r="860" ht="15.75" customHeight="1">
      <c r="A860" s="31"/>
      <c r="B860" s="31"/>
      <c r="C860" s="31"/>
      <c r="D860" s="31"/>
      <c r="E860" s="31"/>
      <c r="F860" s="31"/>
      <c r="G860" s="31"/>
      <c r="H860" s="31"/>
    </row>
    <row r="861" ht="15.75" customHeight="1">
      <c r="A861" s="31"/>
      <c r="B861" s="31"/>
      <c r="C861" s="31"/>
      <c r="D861" s="31"/>
      <c r="E861" s="31"/>
      <c r="F861" s="31"/>
      <c r="G861" s="31"/>
      <c r="H861" s="31"/>
    </row>
    <row r="862" ht="15.75" customHeight="1">
      <c r="A862" s="31"/>
      <c r="B862" s="31"/>
      <c r="C862" s="31"/>
      <c r="D862" s="31"/>
      <c r="E862" s="31"/>
      <c r="F862" s="31"/>
      <c r="G862" s="31"/>
      <c r="H862" s="31"/>
    </row>
    <row r="863" ht="15.75" customHeight="1">
      <c r="A863" s="31"/>
      <c r="B863" s="31"/>
      <c r="C863" s="31"/>
      <c r="D863" s="31"/>
      <c r="E863" s="31"/>
      <c r="F863" s="31"/>
      <c r="G863" s="31"/>
      <c r="H863" s="31"/>
    </row>
    <row r="864" ht="15.75" customHeight="1">
      <c r="A864" s="31"/>
      <c r="B864" s="31"/>
      <c r="C864" s="31"/>
      <c r="D864" s="31"/>
      <c r="E864" s="31"/>
      <c r="F864" s="31"/>
      <c r="G864" s="31"/>
      <c r="H864" s="31"/>
    </row>
    <row r="865" ht="15.75" customHeight="1">
      <c r="A865" s="31"/>
      <c r="B865" s="31"/>
      <c r="C865" s="31"/>
      <c r="D865" s="31"/>
      <c r="E865" s="31"/>
      <c r="F865" s="31"/>
      <c r="G865" s="31"/>
      <c r="H865" s="31"/>
    </row>
    <row r="866" ht="15.75" customHeight="1">
      <c r="A866" s="31"/>
      <c r="B866" s="31"/>
      <c r="C866" s="31"/>
      <c r="D866" s="31"/>
      <c r="E866" s="31"/>
      <c r="F866" s="31"/>
      <c r="G866" s="31"/>
      <c r="H866" s="31"/>
    </row>
    <row r="867" ht="15.75" customHeight="1">
      <c r="A867" s="31"/>
      <c r="B867" s="31"/>
      <c r="C867" s="31"/>
      <c r="D867" s="31"/>
      <c r="E867" s="31"/>
      <c r="F867" s="31"/>
      <c r="G867" s="31"/>
      <c r="H867" s="31"/>
    </row>
    <row r="868" ht="15.75" customHeight="1">
      <c r="A868" s="31"/>
      <c r="B868" s="31"/>
      <c r="C868" s="31"/>
      <c r="D868" s="31"/>
      <c r="E868" s="31"/>
      <c r="F868" s="31"/>
      <c r="G868" s="31"/>
      <c r="H868" s="31"/>
    </row>
    <row r="869" ht="15.75" customHeight="1">
      <c r="A869" s="31"/>
      <c r="B869" s="31"/>
      <c r="C869" s="31"/>
      <c r="D869" s="31"/>
      <c r="E869" s="31"/>
      <c r="F869" s="31"/>
      <c r="G869" s="31"/>
      <c r="H869" s="31"/>
    </row>
    <row r="870" ht="15.75" customHeight="1">
      <c r="A870" s="31"/>
      <c r="B870" s="31"/>
      <c r="C870" s="31"/>
      <c r="D870" s="31"/>
      <c r="E870" s="31"/>
      <c r="F870" s="31"/>
      <c r="G870" s="31"/>
      <c r="H870" s="31"/>
    </row>
    <row r="871" ht="15.75" customHeight="1">
      <c r="A871" s="31"/>
      <c r="B871" s="31"/>
      <c r="C871" s="31"/>
      <c r="D871" s="31"/>
      <c r="E871" s="31"/>
      <c r="F871" s="31"/>
      <c r="G871" s="31"/>
      <c r="H871" s="31"/>
    </row>
    <row r="872" ht="15.75" customHeight="1">
      <c r="A872" s="31"/>
      <c r="B872" s="31"/>
      <c r="C872" s="31"/>
      <c r="D872" s="31"/>
      <c r="E872" s="31"/>
      <c r="F872" s="31"/>
      <c r="G872" s="31"/>
      <c r="H872" s="31"/>
    </row>
    <row r="873" ht="15.75" customHeight="1">
      <c r="A873" s="31"/>
      <c r="B873" s="31"/>
      <c r="C873" s="31"/>
      <c r="D873" s="31"/>
      <c r="E873" s="31"/>
      <c r="F873" s="31"/>
      <c r="G873" s="31"/>
      <c r="H873" s="31"/>
    </row>
    <row r="874" ht="15.75" customHeight="1">
      <c r="A874" s="31"/>
      <c r="B874" s="31"/>
      <c r="C874" s="31"/>
      <c r="D874" s="31"/>
      <c r="E874" s="31"/>
      <c r="F874" s="31"/>
      <c r="G874" s="31"/>
      <c r="H874" s="31"/>
    </row>
    <row r="875" ht="15.75" customHeight="1">
      <c r="A875" s="31"/>
      <c r="B875" s="31"/>
      <c r="C875" s="31"/>
      <c r="D875" s="31"/>
      <c r="E875" s="31"/>
      <c r="F875" s="31"/>
      <c r="G875" s="31"/>
      <c r="H875" s="31"/>
    </row>
    <row r="876" ht="15.75" customHeight="1">
      <c r="A876" s="31"/>
      <c r="B876" s="31"/>
      <c r="C876" s="31"/>
      <c r="D876" s="31"/>
      <c r="E876" s="31"/>
      <c r="F876" s="31"/>
      <c r="G876" s="31"/>
      <c r="H876" s="31"/>
    </row>
    <row r="877" ht="15.75" customHeight="1">
      <c r="A877" s="31"/>
      <c r="B877" s="31"/>
      <c r="C877" s="31"/>
      <c r="D877" s="31"/>
      <c r="E877" s="31"/>
      <c r="F877" s="31"/>
      <c r="G877" s="31"/>
      <c r="H877" s="31"/>
    </row>
    <row r="878" ht="15.75" customHeight="1">
      <c r="A878" s="31"/>
      <c r="B878" s="31"/>
      <c r="C878" s="31"/>
      <c r="D878" s="31"/>
      <c r="E878" s="31"/>
      <c r="F878" s="31"/>
      <c r="G878" s="31"/>
      <c r="H878" s="31"/>
    </row>
    <row r="879" ht="15.75" customHeight="1">
      <c r="A879" s="31"/>
      <c r="B879" s="31"/>
      <c r="C879" s="31"/>
      <c r="D879" s="31"/>
      <c r="E879" s="31"/>
      <c r="F879" s="31"/>
      <c r="G879" s="31"/>
      <c r="H879" s="31"/>
    </row>
    <row r="880" ht="15.75" customHeight="1">
      <c r="A880" s="31"/>
      <c r="B880" s="31"/>
      <c r="C880" s="31"/>
      <c r="D880" s="31"/>
      <c r="E880" s="31"/>
      <c r="F880" s="31"/>
      <c r="G880" s="31"/>
      <c r="H880" s="31"/>
    </row>
    <row r="881" ht="15.75" customHeight="1">
      <c r="A881" s="31"/>
      <c r="B881" s="31"/>
      <c r="C881" s="31"/>
      <c r="D881" s="31"/>
      <c r="E881" s="31"/>
      <c r="F881" s="31"/>
      <c r="G881" s="31"/>
      <c r="H881" s="31"/>
    </row>
    <row r="882" ht="15.75" customHeight="1">
      <c r="A882" s="31"/>
      <c r="B882" s="31"/>
      <c r="C882" s="31"/>
      <c r="D882" s="31"/>
      <c r="E882" s="31"/>
      <c r="F882" s="31"/>
      <c r="G882" s="31"/>
      <c r="H882" s="31"/>
    </row>
    <row r="883" ht="15.75" customHeight="1">
      <c r="A883" s="31"/>
      <c r="B883" s="31"/>
      <c r="C883" s="31"/>
      <c r="D883" s="31"/>
      <c r="E883" s="31"/>
      <c r="F883" s="31"/>
      <c r="G883" s="31"/>
      <c r="H883" s="31"/>
    </row>
    <row r="884" ht="15.75" customHeight="1">
      <c r="A884" s="31"/>
      <c r="B884" s="31"/>
      <c r="C884" s="31"/>
      <c r="D884" s="31"/>
      <c r="E884" s="31"/>
      <c r="F884" s="31"/>
      <c r="G884" s="31"/>
      <c r="H884" s="31"/>
    </row>
    <row r="885" ht="15.75" customHeight="1">
      <c r="A885" s="31"/>
      <c r="B885" s="31"/>
      <c r="C885" s="31"/>
      <c r="D885" s="31"/>
      <c r="E885" s="31"/>
      <c r="F885" s="31"/>
      <c r="G885" s="31"/>
      <c r="H885" s="31"/>
    </row>
    <row r="886" ht="15.75" customHeight="1">
      <c r="A886" s="31"/>
      <c r="B886" s="31"/>
      <c r="C886" s="31"/>
      <c r="D886" s="31"/>
      <c r="E886" s="31"/>
      <c r="F886" s="31"/>
      <c r="G886" s="31"/>
      <c r="H886" s="31"/>
    </row>
    <row r="887" ht="15.75" customHeight="1">
      <c r="A887" s="31"/>
      <c r="B887" s="31"/>
      <c r="C887" s="31"/>
      <c r="D887" s="31"/>
      <c r="E887" s="31"/>
      <c r="F887" s="31"/>
      <c r="G887" s="31"/>
      <c r="H887" s="31"/>
    </row>
    <row r="888" ht="15.75" customHeight="1">
      <c r="A888" s="31"/>
      <c r="B888" s="31"/>
      <c r="C888" s="31"/>
      <c r="D888" s="31"/>
      <c r="E888" s="31"/>
      <c r="F888" s="31"/>
      <c r="G888" s="31"/>
      <c r="H888" s="31"/>
    </row>
    <row r="889" ht="15.75" customHeight="1">
      <c r="A889" s="31"/>
      <c r="B889" s="31"/>
      <c r="C889" s="31"/>
      <c r="D889" s="31"/>
      <c r="E889" s="31"/>
      <c r="F889" s="31"/>
      <c r="G889" s="31"/>
      <c r="H889" s="31"/>
    </row>
    <row r="890" ht="15.75" customHeight="1">
      <c r="A890" s="31"/>
      <c r="B890" s="31"/>
      <c r="C890" s="31"/>
      <c r="D890" s="31"/>
      <c r="E890" s="31"/>
      <c r="F890" s="31"/>
      <c r="G890" s="31"/>
      <c r="H890" s="31"/>
    </row>
    <row r="891" ht="15.75" customHeight="1">
      <c r="A891" s="31"/>
      <c r="B891" s="31"/>
      <c r="C891" s="31"/>
      <c r="D891" s="31"/>
      <c r="E891" s="31"/>
      <c r="F891" s="31"/>
      <c r="G891" s="31"/>
      <c r="H891" s="31"/>
    </row>
    <row r="892" ht="15.75" customHeight="1">
      <c r="A892" s="31"/>
      <c r="B892" s="31"/>
      <c r="C892" s="31"/>
      <c r="D892" s="31"/>
      <c r="E892" s="31"/>
      <c r="F892" s="31"/>
      <c r="G892" s="31"/>
      <c r="H892" s="31"/>
    </row>
    <row r="893" ht="15.75" customHeight="1">
      <c r="A893" s="31"/>
      <c r="B893" s="31"/>
      <c r="C893" s="31"/>
      <c r="D893" s="31"/>
      <c r="E893" s="31"/>
      <c r="F893" s="31"/>
      <c r="G893" s="31"/>
      <c r="H893" s="31"/>
    </row>
    <row r="894" ht="15.75" customHeight="1">
      <c r="A894" s="31"/>
      <c r="B894" s="31"/>
      <c r="C894" s="31"/>
      <c r="D894" s="31"/>
      <c r="E894" s="31"/>
      <c r="F894" s="31"/>
      <c r="G894" s="31"/>
      <c r="H894" s="31"/>
    </row>
    <row r="895" ht="15.75" customHeight="1">
      <c r="A895" s="31"/>
      <c r="B895" s="31"/>
      <c r="C895" s="31"/>
      <c r="D895" s="31"/>
      <c r="E895" s="31"/>
      <c r="F895" s="31"/>
      <c r="G895" s="31"/>
      <c r="H895" s="31"/>
    </row>
    <row r="896" ht="15.75" customHeight="1">
      <c r="A896" s="31"/>
      <c r="B896" s="31"/>
      <c r="C896" s="31"/>
      <c r="D896" s="31"/>
      <c r="E896" s="31"/>
      <c r="F896" s="31"/>
      <c r="G896" s="31"/>
      <c r="H896" s="31"/>
    </row>
    <row r="897" ht="15.75" customHeight="1">
      <c r="A897" s="31"/>
      <c r="B897" s="31"/>
      <c r="C897" s="31"/>
      <c r="D897" s="31"/>
      <c r="E897" s="31"/>
      <c r="F897" s="31"/>
      <c r="G897" s="31"/>
      <c r="H897" s="31"/>
    </row>
    <row r="898" ht="15.75" customHeight="1">
      <c r="A898" s="31"/>
      <c r="B898" s="31"/>
      <c r="C898" s="31"/>
      <c r="D898" s="31"/>
      <c r="E898" s="31"/>
      <c r="F898" s="31"/>
      <c r="G898" s="31"/>
      <c r="H898" s="31"/>
    </row>
    <row r="899" ht="15.75" customHeight="1">
      <c r="A899" s="31"/>
      <c r="B899" s="31"/>
      <c r="C899" s="31"/>
      <c r="D899" s="31"/>
      <c r="E899" s="31"/>
      <c r="F899" s="31"/>
      <c r="G899" s="31"/>
      <c r="H899" s="31"/>
    </row>
    <row r="900" ht="15.75" customHeight="1">
      <c r="A900" s="31"/>
      <c r="B900" s="31"/>
      <c r="C900" s="31"/>
      <c r="D900" s="31"/>
      <c r="E900" s="31"/>
      <c r="F900" s="31"/>
      <c r="G900" s="31"/>
      <c r="H900" s="31"/>
    </row>
    <row r="901" ht="15.75" customHeight="1">
      <c r="A901" s="31"/>
      <c r="B901" s="31"/>
      <c r="C901" s="31"/>
      <c r="D901" s="31"/>
      <c r="E901" s="31"/>
      <c r="F901" s="31"/>
      <c r="G901" s="31"/>
      <c r="H901" s="31"/>
    </row>
    <row r="902" ht="15.75" customHeight="1">
      <c r="A902" s="31"/>
      <c r="B902" s="31"/>
      <c r="C902" s="31"/>
      <c r="D902" s="31"/>
      <c r="E902" s="31"/>
      <c r="F902" s="31"/>
      <c r="G902" s="31"/>
      <c r="H902" s="31"/>
    </row>
    <row r="903" ht="15.75" customHeight="1">
      <c r="A903" s="31"/>
      <c r="B903" s="31"/>
      <c r="C903" s="31"/>
      <c r="D903" s="31"/>
      <c r="E903" s="31"/>
      <c r="F903" s="31"/>
      <c r="G903" s="31"/>
      <c r="H903" s="31"/>
    </row>
    <row r="904" ht="15.75" customHeight="1">
      <c r="A904" s="31"/>
      <c r="B904" s="31"/>
      <c r="C904" s="31"/>
      <c r="D904" s="31"/>
      <c r="E904" s="31"/>
      <c r="F904" s="31"/>
      <c r="G904" s="31"/>
      <c r="H904" s="31"/>
    </row>
    <row r="905" ht="15.75" customHeight="1">
      <c r="A905" s="31"/>
      <c r="B905" s="31"/>
      <c r="C905" s="31"/>
      <c r="D905" s="31"/>
      <c r="E905" s="31"/>
      <c r="F905" s="31"/>
      <c r="G905" s="31"/>
      <c r="H905" s="31"/>
    </row>
    <row r="906" ht="15.75" customHeight="1">
      <c r="A906" s="31"/>
      <c r="B906" s="31"/>
      <c r="C906" s="31"/>
      <c r="D906" s="31"/>
      <c r="E906" s="31"/>
      <c r="F906" s="31"/>
      <c r="G906" s="31"/>
      <c r="H906" s="31"/>
    </row>
    <row r="907" ht="15.75" customHeight="1">
      <c r="A907" s="31"/>
      <c r="B907" s="31"/>
      <c r="C907" s="31"/>
      <c r="D907" s="31"/>
      <c r="E907" s="31"/>
      <c r="F907" s="31"/>
      <c r="G907" s="31"/>
      <c r="H907" s="31"/>
    </row>
    <row r="908" ht="15.75" customHeight="1">
      <c r="A908" s="31"/>
      <c r="B908" s="31"/>
      <c r="C908" s="31"/>
      <c r="D908" s="31"/>
      <c r="E908" s="31"/>
      <c r="F908" s="31"/>
      <c r="G908" s="31"/>
      <c r="H908" s="31"/>
    </row>
    <row r="909" ht="15.75" customHeight="1">
      <c r="A909" s="31"/>
      <c r="B909" s="31"/>
      <c r="C909" s="31"/>
      <c r="D909" s="31"/>
      <c r="E909" s="31"/>
      <c r="F909" s="31"/>
      <c r="G909" s="31"/>
      <c r="H909" s="31"/>
    </row>
    <row r="910" ht="15.75" customHeight="1">
      <c r="A910" s="31"/>
      <c r="B910" s="31"/>
      <c r="C910" s="31"/>
      <c r="D910" s="31"/>
      <c r="E910" s="31"/>
      <c r="F910" s="31"/>
      <c r="G910" s="31"/>
      <c r="H910" s="31"/>
    </row>
    <row r="911" ht="15.75" customHeight="1">
      <c r="A911" s="31"/>
      <c r="B911" s="31"/>
      <c r="C911" s="31"/>
      <c r="D911" s="31"/>
      <c r="E911" s="31"/>
      <c r="F911" s="31"/>
      <c r="G911" s="31"/>
      <c r="H911" s="31"/>
    </row>
    <row r="912" ht="15.75" customHeight="1">
      <c r="A912" s="31"/>
      <c r="B912" s="31"/>
      <c r="C912" s="31"/>
      <c r="D912" s="31"/>
      <c r="E912" s="31"/>
      <c r="F912" s="31"/>
      <c r="G912" s="31"/>
      <c r="H912" s="31"/>
    </row>
    <row r="913" ht="15.75" customHeight="1">
      <c r="A913" s="31"/>
      <c r="B913" s="31"/>
      <c r="C913" s="31"/>
      <c r="D913" s="31"/>
      <c r="E913" s="31"/>
      <c r="F913" s="31"/>
      <c r="G913" s="31"/>
      <c r="H913" s="31"/>
    </row>
    <row r="914" ht="15.75" customHeight="1">
      <c r="A914" s="31"/>
      <c r="B914" s="31"/>
      <c r="C914" s="31"/>
      <c r="D914" s="31"/>
      <c r="E914" s="31"/>
      <c r="F914" s="31"/>
      <c r="G914" s="31"/>
      <c r="H914" s="31"/>
    </row>
    <row r="915" ht="15.75" customHeight="1">
      <c r="A915" s="31"/>
      <c r="B915" s="31"/>
      <c r="C915" s="31"/>
      <c r="D915" s="31"/>
      <c r="E915" s="31"/>
      <c r="F915" s="31"/>
      <c r="G915" s="31"/>
      <c r="H915" s="31"/>
    </row>
    <row r="916" ht="15.75" customHeight="1">
      <c r="A916" s="31"/>
      <c r="B916" s="31"/>
      <c r="C916" s="31"/>
      <c r="D916" s="31"/>
      <c r="E916" s="31"/>
      <c r="F916" s="31"/>
      <c r="G916" s="31"/>
      <c r="H916" s="31"/>
    </row>
    <row r="917" ht="15.75" customHeight="1">
      <c r="A917" s="31"/>
      <c r="B917" s="31"/>
      <c r="C917" s="31"/>
      <c r="D917" s="31"/>
      <c r="E917" s="31"/>
      <c r="F917" s="31"/>
      <c r="G917" s="31"/>
      <c r="H917" s="31"/>
    </row>
    <row r="918" ht="15.75" customHeight="1">
      <c r="A918" s="31"/>
      <c r="B918" s="31"/>
      <c r="C918" s="31"/>
      <c r="D918" s="31"/>
      <c r="E918" s="31"/>
      <c r="F918" s="31"/>
      <c r="G918" s="31"/>
      <c r="H918" s="31"/>
    </row>
    <row r="919" ht="15.75" customHeight="1">
      <c r="A919" s="31"/>
      <c r="B919" s="31"/>
      <c r="C919" s="31"/>
      <c r="D919" s="31"/>
      <c r="E919" s="31"/>
      <c r="F919" s="31"/>
      <c r="G919" s="31"/>
      <c r="H919" s="31"/>
    </row>
    <row r="920" ht="15.75" customHeight="1">
      <c r="A920" s="31"/>
      <c r="B920" s="31"/>
      <c r="C920" s="31"/>
      <c r="D920" s="31"/>
      <c r="E920" s="31"/>
      <c r="F920" s="31"/>
      <c r="G920" s="31"/>
      <c r="H920" s="31"/>
    </row>
    <row r="921" ht="15.75" customHeight="1">
      <c r="A921" s="31"/>
      <c r="B921" s="31"/>
      <c r="C921" s="31"/>
      <c r="D921" s="31"/>
      <c r="E921" s="31"/>
      <c r="F921" s="31"/>
      <c r="G921" s="31"/>
      <c r="H921" s="31"/>
    </row>
    <row r="922" ht="15.75" customHeight="1">
      <c r="A922" s="31"/>
      <c r="B922" s="31"/>
      <c r="C922" s="31"/>
      <c r="D922" s="31"/>
      <c r="E922" s="31"/>
      <c r="F922" s="31"/>
      <c r="G922" s="31"/>
      <c r="H922" s="31"/>
    </row>
    <row r="923" ht="15.75" customHeight="1">
      <c r="A923" s="31"/>
      <c r="B923" s="31"/>
      <c r="C923" s="31"/>
      <c r="D923" s="31"/>
      <c r="E923" s="31"/>
      <c r="F923" s="31"/>
      <c r="G923" s="31"/>
      <c r="H923" s="31"/>
    </row>
    <row r="924" ht="15.75" customHeight="1">
      <c r="A924" s="31"/>
      <c r="B924" s="31"/>
      <c r="C924" s="31"/>
      <c r="D924" s="31"/>
      <c r="E924" s="31"/>
      <c r="F924" s="31"/>
      <c r="G924" s="31"/>
      <c r="H924" s="31"/>
    </row>
    <row r="925" ht="15.75" customHeight="1">
      <c r="A925" s="31"/>
      <c r="B925" s="31"/>
      <c r="C925" s="31"/>
      <c r="D925" s="31"/>
      <c r="E925" s="31"/>
      <c r="F925" s="31"/>
      <c r="G925" s="31"/>
      <c r="H925" s="31"/>
    </row>
    <row r="926" ht="15.75" customHeight="1">
      <c r="A926" s="31"/>
      <c r="B926" s="31"/>
      <c r="C926" s="31"/>
      <c r="D926" s="31"/>
      <c r="E926" s="31"/>
      <c r="F926" s="31"/>
      <c r="G926" s="31"/>
      <c r="H926" s="31"/>
    </row>
    <row r="927" ht="15.75" customHeight="1">
      <c r="A927" s="31"/>
      <c r="B927" s="31"/>
      <c r="C927" s="31"/>
      <c r="D927" s="31"/>
      <c r="E927" s="31"/>
      <c r="F927" s="31"/>
      <c r="G927" s="31"/>
      <c r="H927" s="31"/>
    </row>
    <row r="928" ht="15.75" customHeight="1">
      <c r="A928" s="31"/>
      <c r="B928" s="31"/>
      <c r="C928" s="31"/>
      <c r="D928" s="31"/>
      <c r="E928" s="31"/>
      <c r="F928" s="31"/>
      <c r="G928" s="31"/>
      <c r="H928" s="31"/>
    </row>
    <row r="929" ht="15.75" customHeight="1">
      <c r="A929" s="31"/>
      <c r="B929" s="31"/>
      <c r="C929" s="31"/>
      <c r="D929" s="31"/>
      <c r="E929" s="31"/>
      <c r="F929" s="31"/>
      <c r="G929" s="31"/>
      <c r="H929" s="31"/>
    </row>
    <row r="930" ht="15.75" customHeight="1">
      <c r="A930" s="31"/>
      <c r="B930" s="31"/>
      <c r="C930" s="31"/>
      <c r="D930" s="31"/>
      <c r="E930" s="31"/>
      <c r="F930" s="31"/>
      <c r="G930" s="31"/>
      <c r="H930" s="31"/>
    </row>
    <row r="931" ht="15.75" customHeight="1">
      <c r="A931" s="31"/>
      <c r="B931" s="31"/>
      <c r="C931" s="31"/>
      <c r="D931" s="31"/>
      <c r="E931" s="31"/>
      <c r="F931" s="31"/>
      <c r="G931" s="31"/>
      <c r="H931" s="31"/>
    </row>
    <row r="932" ht="15.75" customHeight="1">
      <c r="A932" s="31"/>
      <c r="B932" s="31"/>
      <c r="C932" s="31"/>
      <c r="D932" s="31"/>
      <c r="E932" s="31"/>
      <c r="F932" s="31"/>
      <c r="G932" s="31"/>
      <c r="H932" s="31"/>
    </row>
    <row r="933" ht="15.75" customHeight="1">
      <c r="A933" s="31"/>
      <c r="B933" s="31"/>
      <c r="C933" s="31"/>
      <c r="D933" s="31"/>
      <c r="E933" s="31"/>
      <c r="F933" s="31"/>
      <c r="G933" s="31"/>
      <c r="H933" s="31"/>
    </row>
    <row r="934" ht="15.75" customHeight="1">
      <c r="A934" s="31"/>
      <c r="B934" s="31"/>
      <c r="C934" s="31"/>
      <c r="D934" s="31"/>
      <c r="E934" s="31"/>
      <c r="F934" s="31"/>
      <c r="G934" s="31"/>
      <c r="H934" s="31"/>
    </row>
    <row r="935" ht="15.75" customHeight="1">
      <c r="A935" s="31"/>
      <c r="B935" s="31"/>
      <c r="C935" s="31"/>
      <c r="D935" s="31"/>
      <c r="E935" s="31"/>
      <c r="F935" s="31"/>
      <c r="G935" s="31"/>
      <c r="H935" s="31"/>
    </row>
    <row r="936" ht="15.75" customHeight="1">
      <c r="A936" s="31"/>
      <c r="B936" s="31"/>
      <c r="C936" s="31"/>
      <c r="D936" s="31"/>
      <c r="E936" s="31"/>
      <c r="F936" s="31"/>
      <c r="G936" s="31"/>
      <c r="H936" s="31"/>
    </row>
    <row r="937" ht="15.75" customHeight="1">
      <c r="A937" s="31"/>
      <c r="B937" s="31"/>
      <c r="C937" s="31"/>
      <c r="D937" s="31"/>
      <c r="E937" s="31"/>
      <c r="F937" s="31"/>
      <c r="G937" s="31"/>
      <c r="H937" s="31"/>
    </row>
    <row r="938" ht="15.75" customHeight="1">
      <c r="A938" s="31"/>
      <c r="B938" s="31"/>
      <c r="C938" s="31"/>
      <c r="D938" s="31"/>
      <c r="E938" s="31"/>
      <c r="F938" s="31"/>
      <c r="G938" s="31"/>
      <c r="H938" s="31"/>
    </row>
    <row r="939" ht="15.75" customHeight="1">
      <c r="A939" s="31"/>
      <c r="B939" s="31"/>
      <c r="C939" s="31"/>
      <c r="D939" s="31"/>
      <c r="E939" s="31"/>
      <c r="F939" s="31"/>
      <c r="G939" s="31"/>
      <c r="H939" s="31"/>
    </row>
    <row r="940" ht="15.75" customHeight="1">
      <c r="A940" s="31"/>
      <c r="B940" s="31"/>
      <c r="C940" s="31"/>
      <c r="D940" s="31"/>
      <c r="E940" s="31"/>
      <c r="F940" s="31"/>
      <c r="G940" s="31"/>
      <c r="H940" s="31"/>
    </row>
    <row r="941" ht="15.75" customHeight="1">
      <c r="A941" s="31"/>
      <c r="B941" s="31"/>
      <c r="C941" s="31"/>
      <c r="D941" s="31"/>
      <c r="E941" s="31"/>
      <c r="F941" s="31"/>
      <c r="G941" s="31"/>
      <c r="H941" s="31"/>
    </row>
    <row r="942" ht="15.75" customHeight="1">
      <c r="A942" s="31"/>
      <c r="B942" s="31"/>
      <c r="C942" s="31"/>
      <c r="D942" s="31"/>
      <c r="E942" s="31"/>
      <c r="F942" s="31"/>
      <c r="G942" s="31"/>
      <c r="H942" s="31"/>
    </row>
    <row r="943" ht="15.75" customHeight="1">
      <c r="A943" s="31"/>
      <c r="B943" s="31"/>
      <c r="C943" s="31"/>
      <c r="D943" s="31"/>
      <c r="E943" s="31"/>
      <c r="F943" s="31"/>
      <c r="G943" s="31"/>
      <c r="H943" s="31"/>
    </row>
    <row r="944" ht="15.75" customHeight="1">
      <c r="A944" s="31"/>
      <c r="B944" s="31"/>
      <c r="C944" s="31"/>
      <c r="D944" s="31"/>
      <c r="E944" s="31"/>
      <c r="F944" s="31"/>
      <c r="G944" s="31"/>
      <c r="H944" s="31"/>
    </row>
    <row r="945" ht="15.75" customHeight="1">
      <c r="A945" s="31"/>
      <c r="B945" s="31"/>
      <c r="C945" s="31"/>
      <c r="D945" s="31"/>
      <c r="E945" s="31"/>
      <c r="F945" s="31"/>
      <c r="G945" s="31"/>
      <c r="H945" s="31"/>
    </row>
    <row r="946" ht="15.75" customHeight="1">
      <c r="A946" s="31"/>
      <c r="B946" s="31"/>
      <c r="C946" s="31"/>
      <c r="D946" s="31"/>
      <c r="E946" s="31"/>
      <c r="F946" s="31"/>
      <c r="G946" s="31"/>
      <c r="H946" s="31"/>
    </row>
    <row r="947" ht="15.75" customHeight="1">
      <c r="A947" s="31"/>
      <c r="B947" s="31"/>
      <c r="C947" s="31"/>
      <c r="D947" s="31"/>
      <c r="E947" s="31"/>
      <c r="F947" s="31"/>
      <c r="G947" s="31"/>
      <c r="H947" s="31"/>
    </row>
    <row r="948" ht="15.75" customHeight="1">
      <c r="A948" s="31"/>
      <c r="B948" s="31"/>
      <c r="C948" s="31"/>
      <c r="D948" s="31"/>
      <c r="E948" s="31"/>
      <c r="F948" s="31"/>
      <c r="G948" s="31"/>
      <c r="H948" s="31"/>
    </row>
    <row r="949" ht="15.75" customHeight="1">
      <c r="A949" s="31"/>
      <c r="B949" s="31"/>
      <c r="C949" s="31"/>
      <c r="D949" s="31"/>
      <c r="E949" s="31"/>
      <c r="F949" s="31"/>
      <c r="G949" s="31"/>
      <c r="H949" s="31"/>
    </row>
    <row r="950" ht="15.75" customHeight="1">
      <c r="A950" s="31"/>
      <c r="B950" s="31"/>
      <c r="C950" s="31"/>
      <c r="D950" s="31"/>
      <c r="E950" s="31"/>
      <c r="F950" s="31"/>
      <c r="G950" s="31"/>
      <c r="H950" s="31"/>
    </row>
    <row r="951" ht="15.75" customHeight="1">
      <c r="A951" s="31"/>
      <c r="B951" s="31"/>
      <c r="C951" s="31"/>
      <c r="D951" s="31"/>
      <c r="E951" s="31"/>
      <c r="F951" s="31"/>
      <c r="G951" s="31"/>
      <c r="H951" s="31"/>
    </row>
    <row r="952" ht="15.75" customHeight="1">
      <c r="A952" s="31"/>
      <c r="B952" s="31"/>
      <c r="C952" s="31"/>
      <c r="D952" s="31"/>
      <c r="E952" s="31"/>
      <c r="F952" s="31"/>
      <c r="G952" s="31"/>
      <c r="H952" s="31"/>
    </row>
    <row r="953" ht="15.75" customHeight="1">
      <c r="A953" s="31"/>
      <c r="B953" s="31"/>
      <c r="C953" s="31"/>
      <c r="D953" s="31"/>
      <c r="E953" s="31"/>
      <c r="F953" s="31"/>
      <c r="G953" s="31"/>
      <c r="H953" s="31"/>
    </row>
    <row r="954" ht="15.75" customHeight="1">
      <c r="A954" s="31"/>
      <c r="B954" s="31"/>
      <c r="C954" s="31"/>
      <c r="D954" s="31"/>
      <c r="E954" s="31"/>
      <c r="F954" s="31"/>
      <c r="G954" s="31"/>
      <c r="H954" s="31"/>
    </row>
    <row r="955" ht="15.75" customHeight="1">
      <c r="A955" s="31"/>
      <c r="B955" s="31"/>
      <c r="C955" s="31"/>
      <c r="D955" s="31"/>
      <c r="E955" s="31"/>
      <c r="F955" s="31"/>
      <c r="G955" s="31"/>
      <c r="H955" s="31"/>
    </row>
    <row r="956" ht="15.75" customHeight="1">
      <c r="A956" s="31"/>
      <c r="B956" s="31"/>
      <c r="C956" s="31"/>
      <c r="D956" s="31"/>
      <c r="E956" s="31"/>
      <c r="F956" s="31"/>
      <c r="G956" s="31"/>
      <c r="H956" s="31"/>
    </row>
    <row r="957" ht="15.75" customHeight="1">
      <c r="A957" s="31"/>
      <c r="B957" s="31"/>
      <c r="C957" s="31"/>
      <c r="D957" s="31"/>
      <c r="E957" s="31"/>
      <c r="F957" s="31"/>
      <c r="G957" s="31"/>
      <c r="H957" s="31"/>
    </row>
    <row r="958" ht="15.75" customHeight="1">
      <c r="A958" s="31"/>
      <c r="B958" s="31"/>
      <c r="C958" s="31"/>
      <c r="D958" s="31"/>
      <c r="E958" s="31"/>
      <c r="F958" s="31"/>
      <c r="G958" s="31"/>
      <c r="H958" s="31"/>
    </row>
    <row r="959" ht="15.75" customHeight="1">
      <c r="A959" s="31"/>
      <c r="B959" s="31"/>
      <c r="C959" s="31"/>
      <c r="D959" s="31"/>
      <c r="E959" s="31"/>
      <c r="F959" s="31"/>
      <c r="G959" s="31"/>
      <c r="H959" s="31"/>
    </row>
    <row r="960" ht="15.75" customHeight="1">
      <c r="A960" s="31"/>
      <c r="B960" s="31"/>
      <c r="C960" s="31"/>
      <c r="D960" s="31"/>
      <c r="E960" s="31"/>
      <c r="F960" s="31"/>
      <c r="G960" s="31"/>
      <c r="H960" s="31"/>
    </row>
    <row r="961" ht="15.75" customHeight="1">
      <c r="A961" s="31"/>
      <c r="B961" s="31"/>
      <c r="C961" s="31"/>
      <c r="D961" s="31"/>
      <c r="E961" s="31"/>
      <c r="F961" s="31"/>
      <c r="G961" s="31"/>
      <c r="H961" s="31"/>
    </row>
    <row r="962" ht="15.75" customHeight="1">
      <c r="A962" s="31"/>
      <c r="B962" s="31"/>
      <c r="C962" s="31"/>
      <c r="D962" s="31"/>
      <c r="E962" s="31"/>
      <c r="F962" s="31"/>
      <c r="G962" s="31"/>
      <c r="H962" s="31"/>
    </row>
    <row r="963" ht="15.75" customHeight="1">
      <c r="A963" s="31"/>
      <c r="B963" s="31"/>
      <c r="C963" s="31"/>
      <c r="D963" s="31"/>
      <c r="E963" s="31"/>
      <c r="F963" s="31"/>
      <c r="G963" s="31"/>
      <c r="H963" s="31"/>
    </row>
    <row r="964" ht="15.75" customHeight="1">
      <c r="A964" s="31"/>
      <c r="B964" s="31"/>
      <c r="C964" s="31"/>
      <c r="D964" s="31"/>
      <c r="E964" s="31"/>
      <c r="F964" s="31"/>
      <c r="G964" s="31"/>
      <c r="H964" s="31"/>
    </row>
    <row r="965" ht="15.75" customHeight="1">
      <c r="A965" s="31"/>
      <c r="B965" s="31"/>
      <c r="C965" s="31"/>
      <c r="D965" s="31"/>
      <c r="E965" s="31"/>
      <c r="F965" s="31"/>
      <c r="G965" s="31"/>
      <c r="H965" s="31"/>
    </row>
    <row r="966" ht="15.75" customHeight="1">
      <c r="A966" s="31"/>
      <c r="B966" s="31"/>
      <c r="C966" s="31"/>
      <c r="D966" s="31"/>
      <c r="E966" s="31"/>
      <c r="F966" s="31"/>
      <c r="G966" s="31"/>
      <c r="H966" s="31"/>
    </row>
    <row r="967" ht="15.75" customHeight="1">
      <c r="A967" s="31"/>
      <c r="B967" s="31"/>
      <c r="C967" s="31"/>
      <c r="D967" s="31"/>
      <c r="E967" s="31"/>
      <c r="F967" s="31"/>
      <c r="G967" s="31"/>
      <c r="H967" s="31"/>
    </row>
    <row r="968" ht="15.75" customHeight="1">
      <c r="A968" s="31"/>
      <c r="B968" s="31"/>
      <c r="C968" s="31"/>
      <c r="D968" s="31"/>
      <c r="E968" s="31"/>
      <c r="F968" s="31"/>
      <c r="G968" s="31"/>
      <c r="H968" s="31"/>
    </row>
    <row r="969" ht="15.75" customHeight="1">
      <c r="A969" s="31"/>
      <c r="B969" s="31"/>
      <c r="C969" s="31"/>
      <c r="D969" s="31"/>
      <c r="E969" s="31"/>
      <c r="F969" s="31"/>
      <c r="G969" s="31"/>
      <c r="H969" s="31"/>
    </row>
    <row r="970" ht="15.75" customHeight="1">
      <c r="A970" s="31"/>
      <c r="B970" s="31"/>
      <c r="C970" s="31"/>
      <c r="D970" s="31"/>
      <c r="E970" s="31"/>
      <c r="F970" s="31"/>
      <c r="G970" s="31"/>
      <c r="H970" s="31"/>
    </row>
    <row r="971" ht="15.75" customHeight="1">
      <c r="A971" s="31"/>
      <c r="B971" s="31"/>
      <c r="C971" s="31"/>
      <c r="D971" s="31"/>
      <c r="E971" s="31"/>
      <c r="F971" s="31"/>
      <c r="G971" s="31"/>
      <c r="H971" s="31"/>
    </row>
    <row r="972" ht="15.75" customHeight="1">
      <c r="A972" s="31"/>
      <c r="B972" s="31"/>
      <c r="C972" s="31"/>
      <c r="D972" s="31"/>
      <c r="E972" s="31"/>
      <c r="F972" s="31"/>
      <c r="G972" s="31"/>
      <c r="H972" s="31"/>
    </row>
    <row r="973" ht="15.75" customHeight="1">
      <c r="A973" s="31"/>
      <c r="B973" s="31"/>
      <c r="C973" s="31"/>
      <c r="D973" s="31"/>
      <c r="E973" s="31"/>
      <c r="F973" s="31"/>
      <c r="G973" s="31"/>
      <c r="H973" s="31"/>
    </row>
    <row r="974" ht="15.75" customHeight="1">
      <c r="A974" s="31"/>
      <c r="B974" s="31"/>
      <c r="C974" s="31"/>
      <c r="D974" s="31"/>
      <c r="E974" s="31"/>
      <c r="F974" s="31"/>
      <c r="G974" s="31"/>
      <c r="H974" s="31"/>
    </row>
    <row r="975" ht="15.75" customHeight="1">
      <c r="A975" s="31"/>
      <c r="B975" s="31"/>
      <c r="C975" s="31"/>
      <c r="D975" s="31"/>
      <c r="E975" s="31"/>
      <c r="F975" s="31"/>
      <c r="G975" s="31"/>
      <c r="H975" s="31"/>
    </row>
    <row r="976" ht="15.75" customHeight="1">
      <c r="A976" s="31"/>
      <c r="B976" s="31"/>
      <c r="C976" s="31"/>
      <c r="D976" s="31"/>
      <c r="E976" s="31"/>
      <c r="F976" s="31"/>
      <c r="G976" s="31"/>
      <c r="H976" s="31"/>
    </row>
    <row r="977" ht="15.75" customHeight="1">
      <c r="A977" s="31"/>
      <c r="B977" s="31"/>
      <c r="C977" s="31"/>
      <c r="D977" s="31"/>
      <c r="E977" s="31"/>
      <c r="F977" s="31"/>
      <c r="G977" s="31"/>
      <c r="H977" s="31"/>
    </row>
    <row r="978" ht="15.75" customHeight="1">
      <c r="A978" s="31"/>
      <c r="B978" s="31"/>
      <c r="C978" s="31"/>
      <c r="D978" s="31"/>
      <c r="E978" s="31"/>
      <c r="F978" s="31"/>
      <c r="G978" s="31"/>
      <c r="H978" s="31"/>
    </row>
    <row r="979" ht="15.75" customHeight="1">
      <c r="A979" s="31"/>
      <c r="B979" s="31"/>
      <c r="C979" s="31"/>
      <c r="D979" s="31"/>
      <c r="E979" s="31"/>
      <c r="F979" s="31"/>
      <c r="G979" s="31"/>
      <c r="H979" s="31"/>
    </row>
    <row r="980" ht="15.75" customHeight="1">
      <c r="A980" s="31"/>
      <c r="B980" s="31"/>
      <c r="C980" s="31"/>
      <c r="D980" s="31"/>
      <c r="E980" s="31"/>
      <c r="F980" s="31"/>
      <c r="G980" s="31"/>
      <c r="H980" s="31"/>
    </row>
    <row r="981" ht="15.75" customHeight="1">
      <c r="A981" s="31"/>
      <c r="B981" s="31"/>
      <c r="C981" s="31"/>
      <c r="D981" s="31"/>
      <c r="E981" s="31"/>
      <c r="F981" s="31"/>
      <c r="G981" s="31"/>
      <c r="H981" s="31"/>
    </row>
    <row r="982" ht="15.75" customHeight="1">
      <c r="A982" s="31"/>
      <c r="B982" s="31"/>
      <c r="C982" s="31"/>
      <c r="D982" s="31"/>
      <c r="E982" s="31"/>
      <c r="F982" s="31"/>
      <c r="G982" s="31"/>
      <c r="H982" s="31"/>
    </row>
    <row r="983" ht="15.75" customHeight="1">
      <c r="A983" s="31"/>
      <c r="B983" s="31"/>
      <c r="C983" s="31"/>
      <c r="D983" s="31"/>
      <c r="E983" s="31"/>
      <c r="F983" s="31"/>
      <c r="G983" s="31"/>
      <c r="H983" s="31"/>
    </row>
    <row r="984" ht="15.75" customHeight="1">
      <c r="A984" s="31"/>
      <c r="B984" s="31"/>
      <c r="C984" s="31"/>
      <c r="D984" s="31"/>
      <c r="E984" s="31"/>
      <c r="F984" s="31"/>
      <c r="G984" s="31"/>
      <c r="H984" s="31"/>
    </row>
    <row r="985" ht="15.75" customHeight="1">
      <c r="A985" s="31"/>
      <c r="B985" s="31"/>
      <c r="C985" s="31"/>
      <c r="D985" s="31"/>
      <c r="E985" s="31"/>
      <c r="F985" s="31"/>
      <c r="G985" s="31"/>
      <c r="H985" s="31"/>
    </row>
    <row r="986" ht="15.75" customHeight="1">
      <c r="A986" s="31"/>
      <c r="B986" s="31"/>
      <c r="C986" s="31"/>
      <c r="D986" s="31"/>
      <c r="E986" s="31"/>
      <c r="F986" s="31"/>
      <c r="G986" s="31"/>
      <c r="H986" s="31"/>
    </row>
    <row r="987" ht="15.75" customHeight="1">
      <c r="A987" s="31"/>
      <c r="B987" s="31"/>
      <c r="C987" s="31"/>
      <c r="D987" s="31"/>
      <c r="E987" s="31"/>
      <c r="F987" s="31"/>
      <c r="G987" s="31"/>
      <c r="H987" s="31"/>
    </row>
    <row r="988" ht="15.75" customHeight="1">
      <c r="A988" s="31"/>
      <c r="B988" s="31"/>
      <c r="C988" s="31"/>
      <c r="D988" s="31"/>
      <c r="E988" s="31"/>
      <c r="F988" s="31"/>
      <c r="G988" s="31"/>
      <c r="H988" s="31"/>
    </row>
    <row r="989" ht="15.75" customHeight="1">
      <c r="A989" s="31"/>
      <c r="B989" s="31"/>
      <c r="C989" s="31"/>
      <c r="D989" s="31"/>
      <c r="E989" s="31"/>
      <c r="F989" s="31"/>
      <c r="G989" s="31"/>
      <c r="H989" s="31"/>
    </row>
    <row r="990" ht="15.75" customHeight="1">
      <c r="A990" s="31"/>
      <c r="B990" s="31"/>
      <c r="C990" s="31"/>
      <c r="D990" s="31"/>
      <c r="E990" s="31"/>
      <c r="F990" s="31"/>
      <c r="G990" s="31"/>
      <c r="H990" s="31"/>
    </row>
    <row r="991" ht="15.75" customHeight="1">
      <c r="A991" s="31"/>
      <c r="B991" s="31"/>
      <c r="C991" s="31"/>
      <c r="D991" s="31"/>
      <c r="E991" s="31"/>
      <c r="F991" s="31"/>
      <c r="G991" s="31"/>
      <c r="H991" s="31"/>
    </row>
    <row r="992" ht="15.75" customHeight="1">
      <c r="A992" s="31"/>
      <c r="B992" s="31"/>
      <c r="C992" s="31"/>
      <c r="D992" s="31"/>
      <c r="E992" s="31"/>
      <c r="F992" s="31"/>
      <c r="G992" s="31"/>
      <c r="H992" s="31"/>
    </row>
    <row r="993" ht="15.75" customHeight="1">
      <c r="A993" s="31"/>
      <c r="B993" s="31"/>
      <c r="C993" s="31"/>
      <c r="D993" s="31"/>
      <c r="E993" s="31"/>
      <c r="F993" s="31"/>
      <c r="G993" s="31"/>
      <c r="H993" s="31"/>
    </row>
    <row r="994" ht="15.75" customHeight="1">
      <c r="A994" s="31"/>
      <c r="B994" s="31"/>
      <c r="C994" s="31"/>
      <c r="D994" s="31"/>
      <c r="E994" s="31"/>
      <c r="F994" s="31"/>
      <c r="G994" s="31"/>
      <c r="H994" s="31"/>
    </row>
    <row r="995" ht="15.75" customHeight="1">
      <c r="A995" s="31"/>
      <c r="B995" s="31"/>
      <c r="C995" s="31"/>
      <c r="D995" s="31"/>
      <c r="E995" s="31"/>
      <c r="F995" s="31"/>
      <c r="G995" s="31"/>
      <c r="H995" s="31"/>
    </row>
    <row r="996" ht="15.75" customHeight="1">
      <c r="A996" s="31"/>
      <c r="B996" s="31"/>
      <c r="C996" s="31"/>
      <c r="D996" s="31"/>
      <c r="E996" s="31"/>
      <c r="F996" s="31"/>
      <c r="G996" s="31"/>
      <c r="H996" s="31"/>
    </row>
    <row r="997" ht="15.75" customHeight="1">
      <c r="A997" s="31"/>
      <c r="B997" s="31"/>
      <c r="C997" s="31"/>
      <c r="D997" s="31"/>
      <c r="E997" s="31"/>
      <c r="F997" s="31"/>
      <c r="G997" s="31"/>
      <c r="H997" s="31"/>
    </row>
    <row r="998" ht="15.75" customHeight="1">
      <c r="A998" s="31"/>
      <c r="B998" s="31"/>
      <c r="C998" s="31"/>
      <c r="D998" s="31"/>
      <c r="E998" s="31"/>
      <c r="F998" s="31"/>
      <c r="G998" s="31"/>
      <c r="H998" s="31"/>
    </row>
    <row r="999" ht="15.75" customHeight="1">
      <c r="A999" s="31"/>
      <c r="B999" s="31"/>
      <c r="C999" s="31"/>
      <c r="D999" s="31"/>
      <c r="E999" s="31"/>
      <c r="F999" s="31"/>
      <c r="G999" s="31"/>
      <c r="H999" s="31"/>
    </row>
    <row r="1000" ht="15.75" customHeight="1">
      <c r="A1000" s="31"/>
      <c r="B1000" s="31"/>
      <c r="C1000" s="31"/>
      <c r="D1000" s="31"/>
      <c r="E1000" s="31"/>
      <c r="F1000" s="31"/>
      <c r="G1000" s="31"/>
      <c r="H1000" s="31"/>
    </row>
  </sheetData>
  <mergeCells count="2">
    <mergeCell ref="A1:C1"/>
    <mergeCell ref="A2:C2"/>
  </mergeCells>
  <conditionalFormatting sqref="C21:C29">
    <cfRule type="cellIs" dxfId="5" priority="1" operator="equal">
      <formula>"Not Ready"</formula>
    </cfRule>
  </conditionalFormatting>
  <conditionalFormatting sqref="C21:C29">
    <cfRule type="cellIs" dxfId="6" priority="2" operator="equal">
      <formula>"Ready"</formula>
    </cfRule>
  </conditionalFormatting>
  <dataValidations>
    <dataValidation type="list" allowBlank="1" showErrorMessage="1" sqref="B12">
      <formula1>"Pending,Accepted,Accepted with Conditions,Rejected"</formula1>
    </dataValidation>
    <dataValidation type="list" allowBlank="1" showErrorMessage="1" sqref="C15:C18">
      <formula1>"Yes,No"</formula1>
    </dataValidation>
    <dataValidation type="list" allowBlank="1" showErrorMessage="1" sqref="C21:C29">
      <formula1>"Not Ready,Ready,Not Applicable"</formula1>
    </dataValidation>
  </dataValidations>
  <hyperlinks>
    <hyperlink r:id="rId2" ref="B13"/>
  </hyperlinks>
  <printOptions/>
  <pageMargins bottom="1.0" footer="0.0" header="0.0" left="0.75" right="0.75" top="1.0"/>
  <pageSetup paperSize="9" orientation="portrait"/>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11.43"/>
    <col customWidth="1" min="3" max="3" width="8.29"/>
    <col customWidth="1" min="4" max="4" width="47.57"/>
    <col customWidth="1" min="5" max="5" width="24.0"/>
    <col customWidth="1" min="6" max="6" width="44.0"/>
    <col customWidth="1" min="7" max="7" width="48.71"/>
    <col customWidth="1" min="8" max="8" width="19.57"/>
    <col customWidth="1" min="9" max="9" width="22.57"/>
    <col customWidth="1" min="10" max="26" width="12.57"/>
  </cols>
  <sheetData>
    <row r="1" ht="31.5" customHeight="1">
      <c r="A1" s="59" t="s">
        <v>1394</v>
      </c>
      <c r="B1" s="59" t="s">
        <v>1395</v>
      </c>
      <c r="C1" s="59" t="s">
        <v>1396</v>
      </c>
      <c r="D1" s="59" t="s">
        <v>1397</v>
      </c>
      <c r="E1" s="59" t="s">
        <v>1398</v>
      </c>
      <c r="F1" s="59" t="s">
        <v>1399</v>
      </c>
      <c r="G1" s="59" t="s">
        <v>5</v>
      </c>
      <c r="H1" s="59" t="s">
        <v>1400</v>
      </c>
      <c r="I1" s="59" t="s">
        <v>1401</v>
      </c>
    </row>
    <row r="2">
      <c r="A2" s="21" t="s">
        <v>1402</v>
      </c>
      <c r="B2" s="21" t="s">
        <v>1403</v>
      </c>
      <c r="C2" s="21">
        <v>1.0</v>
      </c>
      <c r="D2" s="67" t="s">
        <v>1404</v>
      </c>
      <c r="E2" s="21" t="s">
        <v>1405</v>
      </c>
      <c r="F2" s="21" t="s">
        <v>1406</v>
      </c>
      <c r="G2" s="21" t="s">
        <v>1407</v>
      </c>
      <c r="H2" s="21" t="s">
        <v>1408</v>
      </c>
      <c r="I2" s="21" t="s">
        <v>1409</v>
      </c>
    </row>
    <row r="3" ht="102.0" customHeight="1">
      <c r="A3" s="21" t="s">
        <v>1410</v>
      </c>
      <c r="B3" s="21" t="s">
        <v>1403</v>
      </c>
      <c r="C3" s="21">
        <v>2.0</v>
      </c>
      <c r="D3" s="21" t="s">
        <v>1411</v>
      </c>
      <c r="E3" s="21" t="s">
        <v>1412</v>
      </c>
      <c r="F3" s="21" t="s">
        <v>1413</v>
      </c>
      <c r="G3" s="21" t="s">
        <v>1414</v>
      </c>
      <c r="H3" s="21" t="s">
        <v>1415</v>
      </c>
      <c r="I3" s="21" t="s">
        <v>1409</v>
      </c>
    </row>
    <row r="4" ht="180.0" customHeight="1">
      <c r="A4" s="21" t="s">
        <v>1416</v>
      </c>
      <c r="B4" s="21" t="s">
        <v>1403</v>
      </c>
      <c r="C4" s="21">
        <v>3.0</v>
      </c>
      <c r="D4" s="21" t="s">
        <v>1417</v>
      </c>
      <c r="E4" s="21" t="s">
        <v>1418</v>
      </c>
      <c r="F4" s="21" t="s">
        <v>1419</v>
      </c>
      <c r="G4" s="21" t="s">
        <v>1420</v>
      </c>
      <c r="H4" s="21" t="s">
        <v>1421</v>
      </c>
      <c r="I4" s="21" t="s">
        <v>1409</v>
      </c>
    </row>
    <row r="5" ht="202.5" customHeight="1">
      <c r="A5" s="21" t="s">
        <v>1422</v>
      </c>
      <c r="B5" s="21" t="s">
        <v>1403</v>
      </c>
      <c r="C5" s="21">
        <v>4.0</v>
      </c>
      <c r="D5" s="21" t="s">
        <v>1423</v>
      </c>
      <c r="E5" s="21" t="s">
        <v>1424</v>
      </c>
      <c r="F5" s="21" t="s">
        <v>1425</v>
      </c>
      <c r="G5" s="21" t="s">
        <v>1426</v>
      </c>
      <c r="H5" s="21" t="s">
        <v>1427</v>
      </c>
      <c r="I5" s="21" t="s">
        <v>1428</v>
      </c>
    </row>
    <row r="6" ht="202.5" customHeight="1">
      <c r="A6" s="21" t="s">
        <v>1429</v>
      </c>
      <c r="B6" s="21" t="s">
        <v>1403</v>
      </c>
      <c r="C6" s="21">
        <v>5.0</v>
      </c>
      <c r="D6" s="21" t="s">
        <v>1430</v>
      </c>
      <c r="E6" s="21" t="s">
        <v>1431</v>
      </c>
      <c r="F6" s="21" t="s">
        <v>1432</v>
      </c>
      <c r="G6" s="21" t="s">
        <v>1433</v>
      </c>
      <c r="H6" s="21" t="s">
        <v>1434</v>
      </c>
      <c r="I6" s="21" t="s">
        <v>1435</v>
      </c>
    </row>
    <row r="7" ht="202.5" customHeight="1">
      <c r="A7" s="21" t="s">
        <v>1436</v>
      </c>
      <c r="B7" s="21" t="s">
        <v>1403</v>
      </c>
      <c r="C7" s="21">
        <v>6.0</v>
      </c>
      <c r="D7" s="21" t="s">
        <v>1437</v>
      </c>
      <c r="E7" s="21" t="s">
        <v>1438</v>
      </c>
      <c r="F7" s="21" t="s">
        <v>1439</v>
      </c>
      <c r="G7" s="21" t="s">
        <v>1440</v>
      </c>
      <c r="H7" s="21" t="s">
        <v>1441</v>
      </c>
      <c r="I7" s="21" t="s">
        <v>1428</v>
      </c>
    </row>
    <row r="8" ht="135.75" customHeight="1">
      <c r="A8" s="21" t="s">
        <v>1442</v>
      </c>
      <c r="B8" s="21" t="s">
        <v>1403</v>
      </c>
      <c r="C8" s="21">
        <v>7.0</v>
      </c>
      <c r="D8" s="21" t="s">
        <v>1443</v>
      </c>
      <c r="E8" s="21" t="s">
        <v>1444</v>
      </c>
      <c r="F8" s="21" t="s">
        <v>1445</v>
      </c>
      <c r="G8" s="21" t="s">
        <v>1446</v>
      </c>
      <c r="H8" s="21" t="s">
        <v>1447</v>
      </c>
      <c r="I8" s="21" t="s">
        <v>1428</v>
      </c>
    </row>
    <row r="9" ht="180.0" customHeight="1">
      <c r="A9" s="21" t="s">
        <v>1448</v>
      </c>
      <c r="B9" s="21" t="s">
        <v>1403</v>
      </c>
      <c r="C9" s="21">
        <v>8.0</v>
      </c>
      <c r="D9" s="21" t="s">
        <v>1449</v>
      </c>
      <c r="E9" s="21" t="s">
        <v>1450</v>
      </c>
      <c r="F9" s="21" t="s">
        <v>1451</v>
      </c>
      <c r="G9" s="21" t="s">
        <v>1452</v>
      </c>
      <c r="H9" s="21" t="s">
        <v>1453</v>
      </c>
      <c r="I9" s="21" t="s">
        <v>1428</v>
      </c>
    </row>
    <row r="10" ht="236.25" customHeight="1">
      <c r="A10" s="21" t="s">
        <v>1454</v>
      </c>
      <c r="B10" s="21" t="s">
        <v>1403</v>
      </c>
      <c r="C10" s="21">
        <v>9.0</v>
      </c>
      <c r="D10" s="21" t="s">
        <v>1455</v>
      </c>
      <c r="E10" s="21" t="s">
        <v>1456</v>
      </c>
      <c r="F10" s="21" t="s">
        <v>1457</v>
      </c>
      <c r="G10" s="21" t="s">
        <v>1458</v>
      </c>
      <c r="H10" s="21" t="s">
        <v>1459</v>
      </c>
      <c r="I10" s="21" t="s">
        <v>1428</v>
      </c>
    </row>
    <row r="11" ht="202.5" customHeight="1">
      <c r="A11" s="21" t="s">
        <v>1460</v>
      </c>
      <c r="B11" s="21" t="s">
        <v>1461</v>
      </c>
      <c r="C11" s="21">
        <v>1.0</v>
      </c>
      <c r="D11" s="67" t="s">
        <v>1462</v>
      </c>
      <c r="E11" s="21" t="s">
        <v>1463</v>
      </c>
      <c r="F11" s="21" t="s">
        <v>1464</v>
      </c>
      <c r="G11" s="21" t="s">
        <v>1465</v>
      </c>
      <c r="H11" s="21" t="s">
        <v>1408</v>
      </c>
      <c r="I11" s="21" t="s">
        <v>1409</v>
      </c>
    </row>
    <row r="12" ht="191.25" customHeight="1">
      <c r="A12" s="21" t="s">
        <v>1466</v>
      </c>
      <c r="B12" s="21" t="s">
        <v>1461</v>
      </c>
      <c r="C12" s="21">
        <v>2.0</v>
      </c>
      <c r="D12" s="21" t="s">
        <v>1467</v>
      </c>
      <c r="E12" s="21" t="s">
        <v>1468</v>
      </c>
      <c r="F12" s="21" t="s">
        <v>1469</v>
      </c>
      <c r="G12" s="21" t="s">
        <v>1470</v>
      </c>
      <c r="H12" s="21" t="s">
        <v>1471</v>
      </c>
      <c r="I12" s="21" t="s">
        <v>1409</v>
      </c>
    </row>
    <row r="13" ht="236.25" customHeight="1">
      <c r="A13" s="21" t="s">
        <v>1472</v>
      </c>
      <c r="B13" s="21" t="s">
        <v>1461</v>
      </c>
      <c r="C13" s="21">
        <v>3.0</v>
      </c>
      <c r="D13" s="21" t="s">
        <v>1473</v>
      </c>
      <c r="E13" s="21" t="s">
        <v>1474</v>
      </c>
      <c r="F13" s="21" t="s">
        <v>1475</v>
      </c>
      <c r="G13" s="21" t="s">
        <v>1476</v>
      </c>
      <c r="H13" s="21" t="s">
        <v>1477</v>
      </c>
      <c r="I13" s="21" t="s">
        <v>1428</v>
      </c>
    </row>
    <row r="14" ht="213.75" customHeight="1">
      <c r="A14" s="21" t="s">
        <v>1478</v>
      </c>
      <c r="B14" s="21" t="s">
        <v>1461</v>
      </c>
      <c r="C14" s="21">
        <v>4.0</v>
      </c>
      <c r="D14" s="21" t="s">
        <v>1479</v>
      </c>
      <c r="E14" s="21" t="s">
        <v>1480</v>
      </c>
      <c r="F14" s="21" t="s">
        <v>1481</v>
      </c>
      <c r="G14" s="21" t="s">
        <v>1482</v>
      </c>
      <c r="H14" s="21" t="s">
        <v>1483</v>
      </c>
      <c r="I14" s="21" t="s">
        <v>1428</v>
      </c>
    </row>
    <row r="15" ht="202.5" customHeight="1">
      <c r="A15" s="21" t="s">
        <v>1484</v>
      </c>
      <c r="B15" s="21" t="s">
        <v>1461</v>
      </c>
      <c r="C15" s="21">
        <v>5.0</v>
      </c>
      <c r="D15" s="21" t="s">
        <v>1485</v>
      </c>
      <c r="E15" s="21" t="s">
        <v>1486</v>
      </c>
      <c r="F15" s="21" t="s">
        <v>1487</v>
      </c>
      <c r="G15" s="21" t="s">
        <v>1488</v>
      </c>
      <c r="H15" s="21" t="s">
        <v>1489</v>
      </c>
      <c r="I15" s="21" t="s">
        <v>1428</v>
      </c>
    </row>
    <row r="16" ht="157.5" customHeight="1">
      <c r="A16" s="21" t="s">
        <v>1490</v>
      </c>
      <c r="B16" s="21" t="s">
        <v>1461</v>
      </c>
      <c r="C16" s="21">
        <v>6.0</v>
      </c>
      <c r="D16" s="21" t="s">
        <v>1491</v>
      </c>
      <c r="E16" s="21" t="s">
        <v>1492</v>
      </c>
      <c r="F16" s="21" t="s">
        <v>1493</v>
      </c>
      <c r="G16" s="21"/>
      <c r="H16" s="21" t="s">
        <v>1494</v>
      </c>
      <c r="I16" s="21" t="s">
        <v>1428</v>
      </c>
    </row>
    <row r="17">
      <c r="A17" s="31"/>
      <c r="B17" s="31"/>
      <c r="C17" s="31"/>
      <c r="D17" s="31"/>
      <c r="E17" s="31"/>
      <c r="F17" s="31"/>
      <c r="G17" s="31"/>
      <c r="H17" s="31"/>
      <c r="I17" s="31"/>
    </row>
    <row r="18">
      <c r="A18" s="31"/>
      <c r="B18" s="31"/>
      <c r="C18" s="31"/>
      <c r="D18" s="31"/>
      <c r="E18" s="31"/>
      <c r="F18" s="31"/>
      <c r="G18" s="31"/>
      <c r="H18" s="31"/>
      <c r="I18" s="31"/>
    </row>
    <row r="19">
      <c r="A19" s="31"/>
      <c r="B19" s="31"/>
      <c r="C19" s="31"/>
      <c r="D19" s="31"/>
      <c r="E19" s="31"/>
      <c r="F19" s="31"/>
      <c r="G19" s="31"/>
      <c r="H19" s="31"/>
      <c r="I19" s="31"/>
    </row>
    <row r="20">
      <c r="A20" s="31"/>
      <c r="B20" s="31"/>
      <c r="C20" s="31"/>
      <c r="D20" s="31"/>
      <c r="E20" s="31"/>
      <c r="F20" s="31"/>
      <c r="G20" s="31"/>
      <c r="H20" s="31"/>
      <c r="I20" s="31"/>
    </row>
    <row r="21" ht="15.75" customHeight="1">
      <c r="A21" s="31"/>
      <c r="B21" s="31"/>
      <c r="C21" s="31"/>
      <c r="D21" s="31"/>
      <c r="E21" s="31"/>
      <c r="F21" s="31"/>
      <c r="G21" s="31"/>
      <c r="H21" s="31"/>
      <c r="I21" s="31"/>
    </row>
    <row r="22" ht="15.75" customHeight="1">
      <c r="A22" s="31"/>
      <c r="B22" s="31"/>
      <c r="C22" s="31"/>
      <c r="D22" s="31"/>
      <c r="E22" s="31"/>
      <c r="F22" s="31"/>
      <c r="G22" s="31"/>
      <c r="H22" s="31"/>
      <c r="I22" s="31"/>
    </row>
    <row r="23" ht="15.75" customHeight="1">
      <c r="A23" s="31"/>
      <c r="B23" s="31"/>
      <c r="C23" s="31"/>
      <c r="D23" s="31"/>
      <c r="E23" s="31"/>
      <c r="F23" s="31"/>
      <c r="G23" s="31"/>
      <c r="H23" s="31"/>
      <c r="I23" s="31"/>
    </row>
    <row r="24" ht="15.75" customHeight="1">
      <c r="A24" s="31"/>
      <c r="B24" s="31"/>
      <c r="C24" s="31"/>
      <c r="D24" s="31"/>
      <c r="E24" s="31"/>
      <c r="F24" s="31"/>
      <c r="G24" s="31"/>
      <c r="H24" s="31"/>
      <c r="I24" s="31"/>
    </row>
    <row r="25" ht="15.75" customHeight="1">
      <c r="A25" s="31"/>
      <c r="B25" s="31"/>
      <c r="C25" s="31"/>
      <c r="D25" s="31"/>
      <c r="E25" s="31"/>
      <c r="F25" s="31"/>
      <c r="G25" s="31"/>
      <c r="H25" s="31"/>
      <c r="I25" s="31"/>
    </row>
    <row r="26" ht="15.75" customHeight="1">
      <c r="A26" s="31"/>
      <c r="B26" s="31"/>
      <c r="C26" s="31"/>
      <c r="D26" s="31"/>
      <c r="E26" s="31"/>
      <c r="F26" s="31"/>
      <c r="G26" s="31"/>
      <c r="H26" s="31"/>
      <c r="I26" s="31"/>
    </row>
    <row r="27" ht="15.75" customHeight="1">
      <c r="A27" s="31"/>
      <c r="B27" s="31"/>
      <c r="C27" s="31"/>
      <c r="D27" s="31"/>
      <c r="E27" s="31"/>
      <c r="F27" s="31"/>
      <c r="G27" s="31"/>
      <c r="H27" s="31"/>
      <c r="I27" s="31"/>
    </row>
    <row r="28" ht="15.75" customHeight="1">
      <c r="A28" s="31"/>
      <c r="B28" s="31"/>
      <c r="C28" s="31"/>
      <c r="D28" s="31"/>
      <c r="E28" s="31"/>
      <c r="F28" s="31"/>
      <c r="G28" s="31"/>
      <c r="H28" s="31"/>
      <c r="I28" s="31"/>
    </row>
    <row r="29" ht="15.75" customHeight="1">
      <c r="A29" s="31"/>
      <c r="B29" s="31"/>
      <c r="C29" s="31"/>
      <c r="D29" s="31"/>
      <c r="E29" s="31"/>
      <c r="F29" s="31"/>
      <c r="G29" s="31"/>
      <c r="H29" s="31"/>
      <c r="I29" s="31"/>
    </row>
    <row r="30" ht="15.75" customHeight="1">
      <c r="A30" s="31"/>
      <c r="B30" s="31"/>
      <c r="C30" s="31"/>
      <c r="D30" s="31"/>
      <c r="E30" s="31"/>
      <c r="F30" s="31"/>
      <c r="G30" s="31"/>
      <c r="H30" s="31"/>
      <c r="I30" s="31"/>
    </row>
    <row r="31" ht="15.75" customHeight="1">
      <c r="A31" s="31"/>
      <c r="B31" s="31"/>
      <c r="C31" s="31"/>
      <c r="D31" s="31"/>
      <c r="E31" s="31"/>
      <c r="F31" s="31"/>
      <c r="G31" s="31"/>
      <c r="H31" s="31"/>
      <c r="I31" s="31"/>
    </row>
    <row r="32" ht="15.75" customHeight="1">
      <c r="A32" s="31"/>
      <c r="B32" s="31"/>
      <c r="C32" s="31"/>
      <c r="D32" s="31"/>
      <c r="E32" s="31"/>
      <c r="F32" s="31"/>
      <c r="G32" s="31"/>
      <c r="H32" s="31"/>
      <c r="I32" s="31"/>
    </row>
    <row r="33" ht="15.75" customHeight="1">
      <c r="A33" s="31"/>
      <c r="B33" s="31"/>
      <c r="C33" s="31"/>
      <c r="D33" s="31"/>
      <c r="E33" s="31"/>
      <c r="F33" s="31"/>
      <c r="G33" s="31"/>
      <c r="H33" s="31"/>
      <c r="I33" s="31"/>
    </row>
    <row r="34" ht="15.75" customHeight="1">
      <c r="A34" s="31"/>
      <c r="B34" s="31"/>
      <c r="C34" s="31"/>
      <c r="D34" s="31"/>
      <c r="E34" s="31"/>
      <c r="F34" s="31"/>
      <c r="G34" s="31"/>
      <c r="H34" s="31"/>
      <c r="I34" s="31"/>
    </row>
    <row r="35" ht="15.75" customHeight="1">
      <c r="A35" s="31"/>
      <c r="B35" s="31"/>
      <c r="C35" s="31"/>
      <c r="D35" s="31"/>
      <c r="E35" s="31"/>
      <c r="F35" s="31"/>
      <c r="G35" s="31"/>
      <c r="H35" s="31"/>
      <c r="I35" s="31"/>
    </row>
    <row r="36" ht="15.75" customHeight="1">
      <c r="A36" s="31"/>
      <c r="B36" s="31"/>
      <c r="C36" s="31"/>
      <c r="D36" s="31"/>
      <c r="E36" s="31"/>
      <c r="F36" s="31"/>
      <c r="G36" s="31"/>
      <c r="H36" s="31"/>
      <c r="I36" s="31"/>
    </row>
    <row r="37" ht="15.75" customHeight="1">
      <c r="A37" s="31"/>
      <c r="B37" s="31"/>
      <c r="C37" s="31"/>
      <c r="D37" s="31"/>
      <c r="E37" s="31"/>
      <c r="F37" s="31"/>
      <c r="G37" s="31"/>
      <c r="H37" s="31"/>
      <c r="I37" s="31"/>
    </row>
    <row r="38" ht="15.75" customHeight="1">
      <c r="A38" s="31"/>
      <c r="B38" s="31"/>
      <c r="C38" s="31"/>
      <c r="D38" s="31"/>
      <c r="E38" s="31"/>
      <c r="F38" s="31"/>
      <c r="G38" s="31"/>
      <c r="H38" s="31"/>
      <c r="I38" s="31"/>
    </row>
    <row r="39" ht="15.75" customHeight="1">
      <c r="A39" s="31"/>
      <c r="B39" s="31"/>
      <c r="C39" s="31"/>
      <c r="D39" s="31"/>
      <c r="E39" s="31"/>
      <c r="F39" s="31"/>
      <c r="G39" s="31"/>
      <c r="H39" s="31"/>
      <c r="I39" s="31"/>
    </row>
    <row r="40" ht="15.75" customHeight="1">
      <c r="A40" s="31"/>
      <c r="B40" s="31"/>
      <c r="C40" s="31"/>
      <c r="D40" s="31"/>
      <c r="E40" s="31"/>
      <c r="F40" s="31"/>
      <c r="G40" s="31"/>
      <c r="H40" s="31"/>
      <c r="I40" s="31"/>
    </row>
    <row r="41" ht="15.75" customHeight="1">
      <c r="A41" s="31"/>
      <c r="B41" s="31"/>
      <c r="C41" s="31"/>
      <c r="D41" s="31"/>
      <c r="E41" s="31"/>
      <c r="F41" s="31"/>
      <c r="G41" s="31"/>
      <c r="H41" s="31"/>
      <c r="I41" s="31"/>
    </row>
    <row r="42" ht="15.75" customHeight="1">
      <c r="A42" s="31"/>
      <c r="B42" s="31"/>
      <c r="C42" s="31"/>
      <c r="D42" s="31"/>
      <c r="E42" s="31"/>
      <c r="F42" s="31"/>
      <c r="G42" s="31"/>
      <c r="H42" s="31"/>
      <c r="I42" s="31"/>
    </row>
    <row r="43" ht="15.75" customHeight="1">
      <c r="A43" s="31"/>
      <c r="B43" s="31"/>
      <c r="C43" s="31"/>
      <c r="D43" s="31"/>
      <c r="E43" s="31"/>
      <c r="F43" s="31"/>
      <c r="G43" s="31"/>
      <c r="H43" s="31"/>
      <c r="I43" s="31"/>
    </row>
    <row r="44" ht="15.75" customHeight="1">
      <c r="A44" s="31"/>
      <c r="B44" s="31"/>
      <c r="C44" s="31"/>
      <c r="D44" s="31"/>
      <c r="E44" s="31"/>
      <c r="F44" s="31"/>
      <c r="G44" s="31"/>
      <c r="H44" s="31"/>
      <c r="I44" s="31"/>
    </row>
    <row r="45" ht="15.75" customHeight="1">
      <c r="A45" s="31"/>
      <c r="B45" s="31"/>
      <c r="C45" s="31"/>
      <c r="D45" s="31"/>
      <c r="E45" s="31"/>
      <c r="F45" s="31"/>
      <c r="G45" s="31"/>
      <c r="H45" s="31"/>
      <c r="I45" s="31"/>
    </row>
    <row r="46" ht="15.75" customHeight="1">
      <c r="A46" s="31"/>
      <c r="B46" s="31"/>
      <c r="C46" s="31"/>
      <c r="D46" s="31"/>
      <c r="E46" s="31"/>
      <c r="F46" s="31"/>
      <c r="G46" s="31"/>
      <c r="H46" s="31"/>
      <c r="I46" s="31"/>
    </row>
    <row r="47" ht="15.75" customHeight="1">
      <c r="A47" s="31"/>
      <c r="B47" s="31"/>
      <c r="C47" s="31"/>
      <c r="D47" s="31"/>
      <c r="E47" s="31"/>
      <c r="F47" s="31"/>
      <c r="G47" s="31"/>
      <c r="H47" s="31"/>
      <c r="I47" s="31"/>
    </row>
    <row r="48" ht="15.75" customHeight="1">
      <c r="A48" s="31"/>
      <c r="B48" s="31"/>
      <c r="C48" s="31"/>
      <c r="D48" s="31"/>
      <c r="E48" s="31"/>
      <c r="F48" s="31"/>
      <c r="G48" s="31"/>
      <c r="H48" s="31"/>
      <c r="I48" s="31"/>
    </row>
    <row r="49" ht="15.75" customHeight="1">
      <c r="A49" s="31"/>
      <c r="B49" s="31"/>
      <c r="C49" s="31"/>
      <c r="D49" s="31"/>
      <c r="E49" s="31"/>
      <c r="F49" s="31"/>
      <c r="G49" s="31"/>
      <c r="H49" s="31"/>
      <c r="I49" s="31"/>
    </row>
    <row r="50" ht="15.75" customHeight="1">
      <c r="A50" s="31"/>
      <c r="B50" s="31"/>
      <c r="C50" s="31"/>
      <c r="D50" s="31"/>
      <c r="E50" s="31"/>
      <c r="F50" s="31"/>
      <c r="G50" s="31"/>
      <c r="H50" s="31"/>
      <c r="I50" s="31"/>
    </row>
    <row r="51" ht="15.75" customHeight="1">
      <c r="A51" s="31"/>
      <c r="B51" s="31"/>
      <c r="C51" s="31"/>
      <c r="D51" s="31"/>
      <c r="E51" s="31"/>
      <c r="F51" s="31"/>
      <c r="G51" s="31"/>
      <c r="H51" s="31"/>
      <c r="I51" s="31"/>
    </row>
    <row r="52" ht="15.75" customHeight="1">
      <c r="A52" s="31"/>
      <c r="B52" s="31"/>
      <c r="C52" s="31"/>
      <c r="D52" s="31"/>
      <c r="E52" s="31"/>
      <c r="F52" s="31"/>
      <c r="G52" s="31"/>
      <c r="H52" s="31"/>
      <c r="I52" s="31"/>
    </row>
    <row r="53" ht="15.75" customHeight="1">
      <c r="A53" s="31"/>
      <c r="B53" s="31"/>
      <c r="C53" s="31"/>
      <c r="D53" s="31"/>
      <c r="E53" s="31"/>
      <c r="F53" s="31"/>
      <c r="G53" s="31"/>
      <c r="H53" s="31"/>
      <c r="I53" s="31"/>
    </row>
    <row r="54" ht="15.75" customHeight="1">
      <c r="A54" s="31"/>
      <c r="B54" s="31"/>
      <c r="C54" s="31"/>
      <c r="D54" s="31"/>
      <c r="E54" s="31"/>
      <c r="F54" s="31"/>
      <c r="G54" s="31"/>
      <c r="H54" s="31"/>
      <c r="I54" s="31"/>
    </row>
    <row r="55" ht="15.75" customHeight="1">
      <c r="A55" s="31"/>
      <c r="B55" s="31"/>
      <c r="C55" s="31"/>
      <c r="D55" s="31"/>
      <c r="E55" s="31"/>
      <c r="F55" s="31"/>
      <c r="G55" s="31"/>
      <c r="H55" s="31"/>
      <c r="I55" s="31"/>
    </row>
    <row r="56" ht="15.75" customHeight="1">
      <c r="A56" s="31"/>
      <c r="B56" s="31"/>
      <c r="C56" s="31"/>
      <c r="D56" s="31"/>
      <c r="E56" s="31"/>
      <c r="F56" s="31"/>
      <c r="G56" s="31"/>
      <c r="H56" s="31"/>
      <c r="I56" s="31"/>
    </row>
    <row r="57" ht="15.75" customHeight="1">
      <c r="A57" s="31"/>
      <c r="B57" s="31"/>
      <c r="C57" s="31"/>
      <c r="D57" s="31"/>
      <c r="E57" s="31"/>
      <c r="F57" s="31"/>
      <c r="G57" s="31"/>
      <c r="H57" s="31"/>
      <c r="I57" s="31"/>
    </row>
    <row r="58" ht="15.75" customHeight="1">
      <c r="A58" s="31"/>
      <c r="B58" s="31"/>
      <c r="C58" s="31"/>
      <c r="D58" s="31"/>
      <c r="E58" s="31"/>
      <c r="F58" s="31"/>
      <c r="G58" s="31"/>
      <c r="H58" s="31"/>
      <c r="I58" s="31"/>
    </row>
    <row r="59" ht="15.75" customHeight="1">
      <c r="A59" s="31"/>
      <c r="B59" s="31"/>
      <c r="C59" s="31"/>
      <c r="D59" s="31"/>
      <c r="E59" s="31"/>
      <c r="F59" s="31"/>
      <c r="G59" s="31"/>
      <c r="H59" s="31"/>
      <c r="I59" s="31"/>
    </row>
    <row r="60" ht="15.75" customHeight="1">
      <c r="A60" s="31"/>
      <c r="B60" s="31"/>
      <c r="C60" s="31"/>
      <c r="D60" s="31"/>
      <c r="E60" s="31"/>
      <c r="F60" s="31"/>
      <c r="G60" s="31"/>
      <c r="H60" s="31"/>
      <c r="I60" s="31"/>
    </row>
    <row r="61" ht="15.75" customHeight="1">
      <c r="A61" s="31"/>
      <c r="B61" s="31"/>
      <c r="C61" s="31"/>
      <c r="D61" s="31"/>
      <c r="E61" s="31"/>
      <c r="F61" s="31"/>
      <c r="G61" s="31"/>
      <c r="H61" s="31"/>
      <c r="I61" s="31"/>
    </row>
    <row r="62" ht="15.75" customHeight="1">
      <c r="A62" s="31"/>
      <c r="B62" s="31"/>
      <c r="C62" s="31"/>
      <c r="D62" s="31"/>
      <c r="E62" s="31"/>
      <c r="F62" s="31"/>
      <c r="G62" s="31"/>
      <c r="H62" s="31"/>
      <c r="I62" s="31"/>
    </row>
    <row r="63" ht="15.75" customHeight="1">
      <c r="A63" s="31"/>
      <c r="B63" s="31"/>
      <c r="C63" s="31"/>
      <c r="D63" s="31"/>
      <c r="E63" s="31"/>
      <c r="F63" s="31"/>
      <c r="G63" s="31"/>
      <c r="H63" s="31"/>
      <c r="I63" s="31"/>
    </row>
    <row r="64" ht="15.75" customHeight="1">
      <c r="A64" s="31"/>
      <c r="B64" s="31"/>
      <c r="C64" s="31"/>
      <c r="D64" s="31"/>
      <c r="E64" s="31"/>
      <c r="F64" s="31"/>
      <c r="G64" s="31"/>
      <c r="H64" s="31"/>
      <c r="I64" s="31"/>
    </row>
    <row r="65" ht="15.75" customHeight="1">
      <c r="A65" s="31"/>
      <c r="B65" s="31"/>
      <c r="C65" s="31"/>
      <c r="D65" s="31"/>
      <c r="E65" s="31"/>
      <c r="F65" s="31"/>
      <c r="G65" s="31"/>
      <c r="H65" s="31"/>
      <c r="I65" s="31"/>
    </row>
    <row r="66" ht="15.75" customHeight="1">
      <c r="A66" s="31"/>
      <c r="B66" s="31"/>
      <c r="C66" s="31"/>
      <c r="D66" s="31"/>
      <c r="E66" s="31"/>
      <c r="F66" s="31"/>
      <c r="G66" s="31"/>
      <c r="H66" s="31"/>
      <c r="I66" s="31"/>
    </row>
    <row r="67" ht="15.75" customHeight="1">
      <c r="A67" s="31"/>
      <c r="B67" s="31"/>
      <c r="C67" s="31"/>
      <c r="D67" s="31"/>
      <c r="E67" s="31"/>
      <c r="F67" s="31"/>
      <c r="G67" s="31"/>
      <c r="H67" s="31"/>
      <c r="I67" s="31"/>
    </row>
    <row r="68" ht="15.75" customHeight="1">
      <c r="A68" s="31"/>
      <c r="B68" s="31"/>
      <c r="C68" s="31"/>
      <c r="D68" s="31"/>
      <c r="E68" s="31"/>
      <c r="F68" s="31"/>
      <c r="G68" s="31"/>
      <c r="H68" s="31"/>
      <c r="I68" s="31"/>
    </row>
    <row r="69" ht="15.75" customHeight="1">
      <c r="A69" s="31"/>
      <c r="B69" s="31"/>
      <c r="C69" s="31"/>
      <c r="D69" s="31"/>
      <c r="E69" s="31"/>
      <c r="F69" s="31"/>
      <c r="G69" s="31"/>
      <c r="H69" s="31"/>
      <c r="I69" s="31"/>
    </row>
    <row r="70" ht="15.75" customHeight="1">
      <c r="A70" s="31"/>
      <c r="B70" s="31"/>
      <c r="C70" s="31"/>
      <c r="D70" s="31"/>
      <c r="E70" s="31"/>
      <c r="F70" s="31"/>
      <c r="G70" s="31"/>
      <c r="H70" s="31"/>
      <c r="I70" s="31"/>
    </row>
    <row r="71" ht="15.75" customHeight="1">
      <c r="A71" s="31"/>
      <c r="B71" s="31"/>
      <c r="C71" s="31"/>
      <c r="D71" s="31"/>
      <c r="E71" s="31"/>
      <c r="F71" s="31"/>
      <c r="G71" s="31"/>
      <c r="H71" s="31"/>
      <c r="I71" s="31"/>
    </row>
    <row r="72" ht="15.75" customHeight="1">
      <c r="A72" s="31"/>
      <c r="B72" s="31"/>
      <c r="C72" s="31"/>
      <c r="D72" s="31"/>
      <c r="E72" s="31"/>
      <c r="F72" s="31"/>
      <c r="G72" s="31"/>
      <c r="H72" s="31"/>
      <c r="I72" s="31"/>
    </row>
    <row r="73" ht="15.75" customHeight="1">
      <c r="A73" s="31"/>
      <c r="B73" s="31"/>
      <c r="C73" s="31"/>
      <c r="D73" s="31"/>
      <c r="E73" s="31"/>
      <c r="F73" s="31"/>
      <c r="G73" s="31"/>
      <c r="H73" s="31"/>
      <c r="I73" s="31"/>
    </row>
    <row r="74" ht="15.75" customHeight="1">
      <c r="A74" s="31"/>
      <c r="B74" s="31"/>
      <c r="C74" s="31"/>
      <c r="D74" s="31"/>
      <c r="E74" s="31"/>
      <c r="F74" s="31"/>
      <c r="G74" s="31"/>
      <c r="H74" s="31"/>
      <c r="I74" s="31"/>
    </row>
    <row r="75" ht="15.75" customHeight="1">
      <c r="A75" s="31"/>
      <c r="B75" s="31"/>
      <c r="C75" s="31"/>
      <c r="D75" s="31"/>
      <c r="E75" s="31"/>
      <c r="F75" s="31"/>
      <c r="G75" s="31"/>
      <c r="H75" s="31"/>
      <c r="I75" s="31"/>
    </row>
    <row r="76" ht="15.75" customHeight="1">
      <c r="A76" s="31"/>
      <c r="B76" s="31"/>
      <c r="C76" s="31"/>
      <c r="D76" s="31"/>
      <c r="E76" s="31"/>
      <c r="F76" s="31"/>
      <c r="G76" s="31"/>
      <c r="H76" s="31"/>
      <c r="I76" s="31"/>
    </row>
    <row r="77" ht="15.75" customHeight="1">
      <c r="A77" s="31"/>
      <c r="B77" s="31"/>
      <c r="C77" s="31"/>
      <c r="D77" s="31"/>
      <c r="E77" s="31"/>
      <c r="F77" s="31"/>
      <c r="G77" s="31"/>
      <c r="H77" s="31"/>
      <c r="I77" s="31"/>
    </row>
    <row r="78" ht="15.75" customHeight="1">
      <c r="A78" s="31"/>
      <c r="B78" s="31"/>
      <c r="C78" s="31"/>
      <c r="D78" s="31"/>
      <c r="E78" s="31"/>
      <c r="F78" s="31"/>
      <c r="G78" s="31"/>
      <c r="H78" s="31"/>
      <c r="I78" s="31"/>
    </row>
    <row r="79" ht="15.75" customHeight="1">
      <c r="A79" s="31"/>
      <c r="B79" s="31"/>
      <c r="C79" s="31"/>
      <c r="D79" s="31"/>
      <c r="E79" s="31"/>
      <c r="F79" s="31"/>
      <c r="G79" s="31"/>
      <c r="H79" s="31"/>
      <c r="I79" s="31"/>
    </row>
    <row r="80" ht="15.75" customHeight="1">
      <c r="A80" s="31"/>
      <c r="B80" s="31"/>
      <c r="C80" s="31"/>
      <c r="D80" s="31"/>
      <c r="E80" s="31"/>
      <c r="F80" s="31"/>
      <c r="G80" s="31"/>
      <c r="H80" s="31"/>
      <c r="I80" s="31"/>
    </row>
    <row r="81" ht="15.75" customHeight="1">
      <c r="A81" s="31"/>
      <c r="B81" s="31"/>
      <c r="C81" s="31"/>
      <c r="D81" s="31"/>
      <c r="E81" s="31"/>
      <c r="F81" s="31"/>
      <c r="G81" s="31"/>
      <c r="H81" s="31"/>
      <c r="I81" s="31"/>
    </row>
    <row r="82" ht="15.75" customHeight="1">
      <c r="A82" s="31"/>
      <c r="B82" s="31"/>
      <c r="C82" s="31"/>
      <c r="D82" s="31"/>
      <c r="E82" s="31"/>
      <c r="F82" s="31"/>
      <c r="G82" s="31"/>
      <c r="H82" s="31"/>
      <c r="I82" s="31"/>
    </row>
    <row r="83" ht="15.75" customHeight="1">
      <c r="A83" s="31"/>
      <c r="B83" s="31"/>
      <c r="C83" s="31"/>
      <c r="D83" s="31"/>
      <c r="E83" s="31"/>
      <c r="F83" s="31"/>
      <c r="G83" s="31"/>
      <c r="H83" s="31"/>
      <c r="I83" s="31"/>
    </row>
    <row r="84" ht="15.75" customHeight="1">
      <c r="A84" s="31"/>
      <c r="B84" s="31"/>
      <c r="C84" s="31"/>
      <c r="D84" s="31"/>
      <c r="E84" s="31"/>
      <c r="F84" s="31"/>
      <c r="G84" s="31"/>
      <c r="H84" s="31"/>
      <c r="I84" s="31"/>
    </row>
    <row r="85" ht="15.75" customHeight="1">
      <c r="A85" s="31"/>
      <c r="B85" s="31"/>
      <c r="C85" s="31"/>
      <c r="D85" s="31"/>
      <c r="E85" s="31"/>
      <c r="F85" s="31"/>
      <c r="G85" s="31"/>
      <c r="H85" s="31"/>
      <c r="I85" s="31"/>
    </row>
    <row r="86" ht="15.75" customHeight="1">
      <c r="A86" s="31"/>
      <c r="B86" s="31"/>
      <c r="C86" s="31"/>
      <c r="D86" s="31"/>
      <c r="E86" s="31"/>
      <c r="F86" s="31"/>
      <c r="G86" s="31"/>
      <c r="H86" s="31"/>
      <c r="I86" s="31"/>
    </row>
    <row r="87" ht="15.75" customHeight="1">
      <c r="A87" s="31"/>
      <c r="B87" s="31"/>
      <c r="C87" s="31"/>
      <c r="D87" s="31"/>
      <c r="E87" s="31"/>
      <c r="F87" s="31"/>
      <c r="G87" s="31"/>
      <c r="H87" s="31"/>
      <c r="I87" s="31"/>
    </row>
    <row r="88" ht="15.75" customHeight="1">
      <c r="A88" s="31"/>
      <c r="B88" s="31"/>
      <c r="C88" s="31"/>
      <c r="D88" s="31"/>
      <c r="E88" s="31"/>
      <c r="F88" s="31"/>
      <c r="G88" s="31"/>
      <c r="H88" s="31"/>
      <c r="I88" s="31"/>
    </row>
    <row r="89" ht="15.75" customHeight="1">
      <c r="A89" s="31"/>
      <c r="B89" s="31"/>
      <c r="C89" s="31"/>
      <c r="D89" s="31"/>
      <c r="E89" s="31"/>
      <c r="F89" s="31"/>
      <c r="G89" s="31"/>
      <c r="H89" s="31"/>
      <c r="I89" s="31"/>
    </row>
    <row r="90" ht="15.75" customHeight="1">
      <c r="A90" s="31"/>
      <c r="B90" s="31"/>
      <c r="C90" s="31"/>
      <c r="D90" s="31"/>
      <c r="E90" s="31"/>
      <c r="F90" s="31"/>
      <c r="G90" s="31"/>
      <c r="H90" s="31"/>
      <c r="I90" s="31"/>
    </row>
    <row r="91" ht="15.75" customHeight="1">
      <c r="A91" s="31"/>
      <c r="B91" s="31"/>
      <c r="C91" s="31"/>
      <c r="D91" s="31"/>
      <c r="E91" s="31"/>
      <c r="F91" s="31"/>
      <c r="G91" s="31"/>
      <c r="H91" s="31"/>
      <c r="I91" s="31"/>
    </row>
    <row r="92" ht="15.75" customHeight="1">
      <c r="A92" s="31"/>
      <c r="B92" s="31"/>
      <c r="C92" s="31"/>
      <c r="D92" s="31"/>
      <c r="E92" s="31"/>
      <c r="F92" s="31"/>
      <c r="G92" s="31"/>
      <c r="H92" s="31"/>
      <c r="I92" s="31"/>
    </row>
    <row r="93" ht="15.75" customHeight="1">
      <c r="A93" s="31"/>
      <c r="B93" s="31"/>
      <c r="C93" s="31"/>
      <c r="D93" s="31"/>
      <c r="E93" s="31"/>
      <c r="F93" s="31"/>
      <c r="G93" s="31"/>
      <c r="H93" s="31"/>
      <c r="I93" s="31"/>
    </row>
    <row r="94" ht="15.75" customHeight="1">
      <c r="A94" s="31"/>
      <c r="B94" s="31"/>
      <c r="C94" s="31"/>
      <c r="D94" s="31"/>
      <c r="E94" s="31"/>
      <c r="F94" s="31"/>
      <c r="G94" s="31"/>
      <c r="H94" s="31"/>
      <c r="I94" s="31"/>
    </row>
    <row r="95" ht="15.75" customHeight="1">
      <c r="A95" s="31"/>
      <c r="B95" s="31"/>
      <c r="C95" s="31"/>
      <c r="D95" s="31"/>
      <c r="E95" s="31"/>
      <c r="F95" s="31"/>
      <c r="G95" s="31"/>
      <c r="H95" s="31"/>
      <c r="I95" s="31"/>
    </row>
    <row r="96" ht="15.75" customHeight="1">
      <c r="A96" s="31"/>
      <c r="B96" s="31"/>
      <c r="C96" s="31"/>
      <c r="D96" s="31"/>
      <c r="E96" s="31"/>
      <c r="F96" s="31"/>
      <c r="G96" s="31"/>
      <c r="H96" s="31"/>
      <c r="I96" s="31"/>
    </row>
    <row r="97" ht="15.75" customHeight="1">
      <c r="A97" s="31"/>
      <c r="B97" s="31"/>
      <c r="C97" s="31"/>
      <c r="D97" s="31"/>
      <c r="E97" s="31"/>
      <c r="F97" s="31"/>
      <c r="G97" s="31"/>
      <c r="H97" s="31"/>
      <c r="I97" s="31"/>
    </row>
    <row r="98" ht="15.75" customHeight="1">
      <c r="A98" s="31"/>
      <c r="B98" s="31"/>
      <c r="C98" s="31"/>
      <c r="D98" s="31"/>
      <c r="E98" s="31"/>
      <c r="F98" s="31"/>
      <c r="G98" s="31"/>
      <c r="H98" s="31"/>
      <c r="I98" s="31"/>
    </row>
    <row r="99" ht="15.75" customHeight="1">
      <c r="A99" s="31"/>
      <c r="B99" s="31"/>
      <c r="C99" s="31"/>
      <c r="D99" s="31"/>
      <c r="E99" s="31"/>
      <c r="F99" s="31"/>
      <c r="G99" s="31"/>
      <c r="H99" s="31"/>
      <c r="I99" s="31"/>
    </row>
    <row r="100" ht="15.75" customHeight="1">
      <c r="A100" s="31"/>
      <c r="B100" s="31"/>
      <c r="C100" s="31"/>
      <c r="D100" s="31"/>
      <c r="E100" s="31"/>
      <c r="F100" s="31"/>
      <c r="G100" s="31"/>
      <c r="H100" s="31"/>
      <c r="I100" s="31"/>
    </row>
    <row r="101" ht="15.75" customHeight="1">
      <c r="A101" s="31"/>
      <c r="B101" s="31"/>
      <c r="C101" s="31"/>
      <c r="D101" s="31"/>
      <c r="E101" s="31"/>
      <c r="F101" s="31"/>
      <c r="G101" s="31"/>
      <c r="H101" s="31"/>
      <c r="I101" s="31"/>
    </row>
    <row r="102" ht="15.75" customHeight="1">
      <c r="A102" s="31"/>
      <c r="B102" s="31"/>
      <c r="C102" s="31"/>
      <c r="D102" s="31"/>
      <c r="E102" s="31"/>
      <c r="F102" s="31"/>
      <c r="G102" s="31"/>
      <c r="H102" s="31"/>
      <c r="I102" s="31"/>
    </row>
    <row r="103" ht="15.75" customHeight="1">
      <c r="A103" s="31"/>
      <c r="B103" s="31"/>
      <c r="C103" s="31"/>
      <c r="D103" s="31"/>
      <c r="E103" s="31"/>
      <c r="F103" s="31"/>
      <c r="G103" s="31"/>
      <c r="H103" s="31"/>
      <c r="I103" s="31"/>
    </row>
    <row r="104" ht="15.75" customHeight="1">
      <c r="A104" s="31"/>
      <c r="B104" s="31"/>
      <c r="C104" s="31"/>
      <c r="D104" s="31"/>
      <c r="E104" s="31"/>
      <c r="F104" s="31"/>
      <c r="G104" s="31"/>
      <c r="H104" s="31"/>
      <c r="I104" s="31"/>
    </row>
    <row r="105" ht="15.75" customHeight="1">
      <c r="A105" s="31"/>
      <c r="B105" s="31"/>
      <c r="C105" s="31"/>
      <c r="D105" s="31"/>
      <c r="E105" s="31"/>
      <c r="F105" s="31"/>
      <c r="G105" s="31"/>
      <c r="H105" s="31"/>
      <c r="I105" s="31"/>
    </row>
    <row r="106" ht="15.75" customHeight="1">
      <c r="A106" s="31"/>
      <c r="B106" s="31"/>
      <c r="C106" s="31"/>
      <c r="D106" s="31"/>
      <c r="E106" s="31"/>
      <c r="F106" s="31"/>
      <c r="G106" s="31"/>
      <c r="H106" s="31"/>
      <c r="I106" s="31"/>
    </row>
    <row r="107" ht="15.75" customHeight="1">
      <c r="A107" s="31"/>
      <c r="B107" s="31"/>
      <c r="C107" s="31"/>
      <c r="D107" s="31"/>
      <c r="E107" s="31"/>
      <c r="F107" s="31"/>
      <c r="G107" s="31"/>
      <c r="H107" s="31"/>
      <c r="I107" s="31"/>
    </row>
    <row r="108" ht="15.75" customHeight="1">
      <c r="A108" s="31"/>
      <c r="B108" s="31"/>
      <c r="C108" s="31"/>
      <c r="D108" s="31"/>
      <c r="E108" s="31"/>
      <c r="F108" s="31"/>
      <c r="G108" s="31"/>
      <c r="H108" s="31"/>
      <c r="I108" s="31"/>
    </row>
    <row r="109" ht="15.75" customHeight="1">
      <c r="A109" s="31"/>
      <c r="B109" s="31"/>
      <c r="C109" s="31"/>
      <c r="D109" s="31"/>
      <c r="E109" s="31"/>
      <c r="F109" s="31"/>
      <c r="G109" s="31"/>
      <c r="H109" s="31"/>
      <c r="I109" s="31"/>
    </row>
    <row r="110" ht="15.75" customHeight="1">
      <c r="A110" s="31"/>
      <c r="B110" s="31"/>
      <c r="C110" s="31"/>
      <c r="D110" s="31"/>
      <c r="E110" s="31"/>
      <c r="F110" s="31"/>
      <c r="G110" s="31"/>
      <c r="H110" s="31"/>
      <c r="I110" s="31"/>
    </row>
    <row r="111" ht="15.75" customHeight="1">
      <c r="A111" s="31"/>
      <c r="B111" s="31"/>
      <c r="C111" s="31"/>
      <c r="D111" s="31"/>
      <c r="E111" s="31"/>
      <c r="F111" s="31"/>
      <c r="G111" s="31"/>
      <c r="H111" s="31"/>
      <c r="I111" s="31"/>
    </row>
    <row r="112" ht="15.75" customHeight="1">
      <c r="A112" s="31"/>
      <c r="B112" s="31"/>
      <c r="C112" s="31"/>
      <c r="D112" s="31"/>
      <c r="E112" s="31"/>
      <c r="F112" s="31"/>
      <c r="G112" s="31"/>
      <c r="H112" s="31"/>
      <c r="I112" s="31"/>
    </row>
    <row r="113" ht="15.75" customHeight="1">
      <c r="A113" s="31"/>
      <c r="B113" s="31"/>
      <c r="C113" s="31"/>
      <c r="D113" s="31"/>
      <c r="E113" s="31"/>
      <c r="F113" s="31"/>
      <c r="G113" s="31"/>
      <c r="H113" s="31"/>
      <c r="I113" s="31"/>
    </row>
    <row r="114" ht="15.75" customHeight="1">
      <c r="A114" s="31"/>
      <c r="B114" s="31"/>
      <c r="C114" s="31"/>
      <c r="D114" s="31"/>
      <c r="E114" s="31"/>
      <c r="F114" s="31"/>
      <c r="G114" s="31"/>
      <c r="H114" s="31"/>
      <c r="I114" s="31"/>
    </row>
    <row r="115" ht="15.75" customHeight="1">
      <c r="A115" s="31"/>
      <c r="B115" s="31"/>
      <c r="C115" s="31"/>
      <c r="D115" s="31"/>
      <c r="E115" s="31"/>
      <c r="F115" s="31"/>
      <c r="G115" s="31"/>
      <c r="H115" s="31"/>
      <c r="I115" s="31"/>
    </row>
    <row r="116" ht="15.75" customHeight="1">
      <c r="A116" s="31"/>
      <c r="B116" s="31"/>
      <c r="C116" s="31"/>
      <c r="D116" s="31"/>
      <c r="E116" s="31"/>
      <c r="F116" s="31"/>
      <c r="G116" s="31"/>
      <c r="H116" s="31"/>
      <c r="I116" s="31"/>
    </row>
    <row r="117" ht="15.75" customHeight="1">
      <c r="A117" s="31"/>
      <c r="B117" s="31"/>
      <c r="C117" s="31"/>
      <c r="D117" s="31"/>
      <c r="E117" s="31"/>
      <c r="F117" s="31"/>
      <c r="G117" s="31"/>
      <c r="H117" s="31"/>
      <c r="I117" s="31"/>
    </row>
    <row r="118" ht="15.75" customHeight="1">
      <c r="A118" s="31"/>
      <c r="B118" s="31"/>
      <c r="C118" s="31"/>
      <c r="D118" s="31"/>
      <c r="E118" s="31"/>
      <c r="F118" s="31"/>
      <c r="G118" s="31"/>
      <c r="H118" s="31"/>
      <c r="I118" s="31"/>
    </row>
    <row r="119" ht="15.75" customHeight="1">
      <c r="A119" s="31"/>
      <c r="B119" s="31"/>
      <c r="C119" s="31"/>
      <c r="D119" s="31"/>
      <c r="E119" s="31"/>
      <c r="F119" s="31"/>
      <c r="G119" s="31"/>
      <c r="H119" s="31"/>
      <c r="I119" s="31"/>
    </row>
    <row r="120" ht="15.75" customHeight="1">
      <c r="A120" s="31"/>
      <c r="B120" s="31"/>
      <c r="C120" s="31"/>
      <c r="D120" s="31"/>
      <c r="E120" s="31"/>
      <c r="F120" s="31"/>
      <c r="G120" s="31"/>
      <c r="H120" s="31"/>
      <c r="I120" s="31"/>
    </row>
    <row r="121" ht="15.75" customHeight="1">
      <c r="A121" s="31"/>
      <c r="B121" s="31"/>
      <c r="C121" s="31"/>
      <c r="D121" s="31"/>
      <c r="E121" s="31"/>
      <c r="F121" s="31"/>
      <c r="G121" s="31"/>
      <c r="H121" s="31"/>
      <c r="I121" s="31"/>
    </row>
    <row r="122" ht="15.75" customHeight="1">
      <c r="A122" s="31"/>
      <c r="B122" s="31"/>
      <c r="C122" s="31"/>
      <c r="D122" s="31"/>
      <c r="E122" s="31"/>
      <c r="F122" s="31"/>
      <c r="G122" s="31"/>
      <c r="H122" s="31"/>
      <c r="I122" s="31"/>
    </row>
    <row r="123" ht="15.75" customHeight="1">
      <c r="A123" s="31"/>
      <c r="B123" s="31"/>
      <c r="C123" s="31"/>
      <c r="D123" s="31"/>
      <c r="E123" s="31"/>
      <c r="F123" s="31"/>
      <c r="G123" s="31"/>
      <c r="H123" s="31"/>
      <c r="I123" s="31"/>
    </row>
    <row r="124" ht="15.75" customHeight="1">
      <c r="A124" s="31"/>
      <c r="B124" s="31"/>
      <c r="C124" s="31"/>
      <c r="D124" s="31"/>
      <c r="E124" s="31"/>
      <c r="F124" s="31"/>
      <c r="G124" s="31"/>
      <c r="H124" s="31"/>
      <c r="I124" s="31"/>
    </row>
    <row r="125" ht="15.75" customHeight="1">
      <c r="A125" s="31"/>
      <c r="B125" s="31"/>
      <c r="C125" s="31"/>
      <c r="D125" s="31"/>
      <c r="E125" s="31"/>
      <c r="F125" s="31"/>
      <c r="G125" s="31"/>
      <c r="H125" s="31"/>
      <c r="I125" s="31"/>
    </row>
    <row r="126" ht="15.75" customHeight="1">
      <c r="A126" s="31"/>
      <c r="B126" s="31"/>
      <c r="C126" s="31"/>
      <c r="D126" s="31"/>
      <c r="E126" s="31"/>
      <c r="F126" s="31"/>
      <c r="G126" s="31"/>
      <c r="H126" s="31"/>
      <c r="I126" s="31"/>
    </row>
    <row r="127" ht="15.75" customHeight="1">
      <c r="A127" s="31"/>
      <c r="B127" s="31"/>
      <c r="C127" s="31"/>
      <c r="D127" s="31"/>
      <c r="E127" s="31"/>
      <c r="F127" s="31"/>
      <c r="G127" s="31"/>
      <c r="H127" s="31"/>
      <c r="I127" s="31"/>
    </row>
    <row r="128" ht="15.75" customHeight="1">
      <c r="A128" s="31"/>
      <c r="B128" s="31"/>
      <c r="C128" s="31"/>
      <c r="D128" s="31"/>
      <c r="E128" s="31"/>
      <c r="F128" s="31"/>
      <c r="G128" s="31"/>
      <c r="H128" s="31"/>
      <c r="I128" s="31"/>
    </row>
    <row r="129" ht="15.75" customHeight="1">
      <c r="A129" s="31"/>
      <c r="B129" s="31"/>
      <c r="C129" s="31"/>
      <c r="D129" s="31"/>
      <c r="E129" s="31"/>
      <c r="F129" s="31"/>
      <c r="G129" s="31"/>
      <c r="H129" s="31"/>
      <c r="I129" s="31"/>
    </row>
    <row r="130" ht="15.75" customHeight="1">
      <c r="A130" s="31"/>
      <c r="B130" s="31"/>
      <c r="C130" s="31"/>
      <c r="D130" s="31"/>
      <c r="E130" s="31"/>
      <c r="F130" s="31"/>
      <c r="G130" s="31"/>
      <c r="H130" s="31"/>
      <c r="I130" s="31"/>
    </row>
    <row r="131" ht="15.75" customHeight="1">
      <c r="A131" s="31"/>
      <c r="B131" s="31"/>
      <c r="C131" s="31"/>
      <c r="D131" s="31"/>
      <c r="E131" s="31"/>
      <c r="F131" s="31"/>
      <c r="G131" s="31"/>
      <c r="H131" s="31"/>
      <c r="I131" s="31"/>
    </row>
    <row r="132" ht="15.75" customHeight="1">
      <c r="A132" s="31"/>
      <c r="B132" s="31"/>
      <c r="C132" s="31"/>
      <c r="D132" s="31"/>
      <c r="E132" s="31"/>
      <c r="F132" s="31"/>
      <c r="G132" s="31"/>
      <c r="H132" s="31"/>
      <c r="I132" s="31"/>
    </row>
    <row r="133" ht="15.75" customHeight="1">
      <c r="A133" s="31"/>
      <c r="B133" s="31"/>
      <c r="C133" s="31"/>
      <c r="D133" s="31"/>
      <c r="E133" s="31"/>
      <c r="F133" s="31"/>
      <c r="G133" s="31"/>
      <c r="H133" s="31"/>
      <c r="I133" s="31"/>
    </row>
    <row r="134" ht="15.75" customHeight="1">
      <c r="A134" s="31"/>
      <c r="B134" s="31"/>
      <c r="C134" s="31"/>
      <c r="D134" s="31"/>
      <c r="E134" s="31"/>
      <c r="F134" s="31"/>
      <c r="G134" s="31"/>
      <c r="H134" s="31"/>
      <c r="I134" s="31"/>
    </row>
    <row r="135" ht="15.75" customHeight="1">
      <c r="A135" s="31"/>
      <c r="B135" s="31"/>
      <c r="C135" s="31"/>
      <c r="D135" s="31"/>
      <c r="E135" s="31"/>
      <c r="F135" s="31"/>
      <c r="G135" s="31"/>
      <c r="H135" s="31"/>
      <c r="I135" s="31"/>
    </row>
    <row r="136" ht="15.75" customHeight="1">
      <c r="A136" s="31"/>
      <c r="B136" s="31"/>
      <c r="C136" s="31"/>
      <c r="D136" s="31"/>
      <c r="E136" s="31"/>
      <c r="F136" s="31"/>
      <c r="G136" s="31"/>
      <c r="H136" s="31"/>
      <c r="I136" s="31"/>
    </row>
    <row r="137" ht="15.75" customHeight="1">
      <c r="A137" s="31"/>
      <c r="B137" s="31"/>
      <c r="C137" s="31"/>
      <c r="D137" s="31"/>
      <c r="E137" s="31"/>
      <c r="F137" s="31"/>
      <c r="G137" s="31"/>
      <c r="H137" s="31"/>
      <c r="I137" s="31"/>
    </row>
    <row r="138" ht="15.75" customHeight="1">
      <c r="A138" s="31"/>
      <c r="B138" s="31"/>
      <c r="C138" s="31"/>
      <c r="D138" s="31"/>
      <c r="E138" s="31"/>
      <c r="F138" s="31"/>
      <c r="G138" s="31"/>
      <c r="H138" s="31"/>
      <c r="I138" s="31"/>
    </row>
    <row r="139" ht="15.75" customHeight="1">
      <c r="A139" s="31"/>
      <c r="B139" s="31"/>
      <c r="C139" s="31"/>
      <c r="D139" s="31"/>
      <c r="E139" s="31"/>
      <c r="F139" s="31"/>
      <c r="G139" s="31"/>
      <c r="H139" s="31"/>
      <c r="I139" s="31"/>
    </row>
    <row r="140" ht="15.75" customHeight="1">
      <c r="A140" s="31"/>
      <c r="B140" s="31"/>
      <c r="C140" s="31"/>
      <c r="D140" s="31"/>
      <c r="E140" s="31"/>
      <c r="F140" s="31"/>
      <c r="G140" s="31"/>
      <c r="H140" s="31"/>
      <c r="I140" s="31"/>
    </row>
    <row r="141" ht="15.75" customHeight="1">
      <c r="A141" s="31"/>
      <c r="B141" s="31"/>
      <c r="C141" s="31"/>
      <c r="D141" s="31"/>
      <c r="E141" s="31"/>
      <c r="F141" s="31"/>
      <c r="G141" s="31"/>
      <c r="H141" s="31"/>
      <c r="I141" s="31"/>
    </row>
    <row r="142" ht="15.75" customHeight="1">
      <c r="A142" s="31"/>
      <c r="B142" s="31"/>
      <c r="C142" s="31"/>
      <c r="D142" s="31"/>
      <c r="E142" s="31"/>
      <c r="F142" s="31"/>
      <c r="G142" s="31"/>
      <c r="H142" s="31"/>
      <c r="I142" s="31"/>
    </row>
    <row r="143" ht="15.75" customHeight="1">
      <c r="A143" s="31"/>
      <c r="B143" s="31"/>
      <c r="C143" s="31"/>
      <c r="D143" s="31"/>
      <c r="E143" s="31"/>
      <c r="F143" s="31"/>
      <c r="G143" s="31"/>
      <c r="H143" s="31"/>
      <c r="I143" s="31"/>
    </row>
    <row r="144" ht="15.75" customHeight="1">
      <c r="A144" s="31"/>
      <c r="B144" s="31"/>
      <c r="C144" s="31"/>
      <c r="D144" s="31"/>
      <c r="E144" s="31"/>
      <c r="F144" s="31"/>
      <c r="G144" s="31"/>
      <c r="H144" s="31"/>
      <c r="I144" s="31"/>
    </row>
    <row r="145" ht="15.75" customHeight="1">
      <c r="A145" s="31"/>
      <c r="B145" s="31"/>
      <c r="C145" s="31"/>
      <c r="D145" s="31"/>
      <c r="E145" s="31"/>
      <c r="F145" s="31"/>
      <c r="G145" s="31"/>
      <c r="H145" s="31"/>
      <c r="I145" s="31"/>
    </row>
    <row r="146" ht="15.75" customHeight="1">
      <c r="A146" s="31"/>
      <c r="B146" s="31"/>
      <c r="C146" s="31"/>
      <c r="D146" s="31"/>
      <c r="E146" s="31"/>
      <c r="F146" s="31"/>
      <c r="G146" s="31"/>
      <c r="H146" s="31"/>
      <c r="I146" s="31"/>
    </row>
    <row r="147" ht="15.75" customHeight="1">
      <c r="A147" s="31"/>
      <c r="B147" s="31"/>
      <c r="C147" s="31"/>
      <c r="D147" s="31"/>
      <c r="E147" s="31"/>
      <c r="F147" s="31"/>
      <c r="G147" s="31"/>
      <c r="H147" s="31"/>
      <c r="I147" s="31"/>
    </row>
    <row r="148" ht="15.75" customHeight="1">
      <c r="A148" s="31"/>
      <c r="B148" s="31"/>
      <c r="C148" s="31"/>
      <c r="D148" s="31"/>
      <c r="E148" s="31"/>
      <c r="F148" s="31"/>
      <c r="G148" s="31"/>
      <c r="H148" s="31"/>
      <c r="I148" s="31"/>
    </row>
    <row r="149" ht="15.75" customHeight="1">
      <c r="A149" s="31"/>
      <c r="B149" s="31"/>
      <c r="C149" s="31"/>
      <c r="D149" s="31"/>
      <c r="E149" s="31"/>
      <c r="F149" s="31"/>
      <c r="G149" s="31"/>
      <c r="H149" s="31"/>
      <c r="I149" s="31"/>
    </row>
    <row r="150" ht="15.75" customHeight="1">
      <c r="A150" s="31"/>
      <c r="B150" s="31"/>
      <c r="C150" s="31"/>
      <c r="D150" s="31"/>
      <c r="E150" s="31"/>
      <c r="F150" s="31"/>
      <c r="G150" s="31"/>
      <c r="H150" s="31"/>
      <c r="I150" s="31"/>
    </row>
    <row r="151" ht="15.75" customHeight="1">
      <c r="A151" s="31"/>
      <c r="B151" s="31"/>
      <c r="C151" s="31"/>
      <c r="D151" s="31"/>
      <c r="E151" s="31"/>
      <c r="F151" s="31"/>
      <c r="G151" s="31"/>
      <c r="H151" s="31"/>
      <c r="I151" s="31"/>
    </row>
    <row r="152" ht="15.75" customHeight="1">
      <c r="A152" s="31"/>
      <c r="B152" s="31"/>
      <c r="C152" s="31"/>
      <c r="D152" s="31"/>
      <c r="E152" s="31"/>
      <c r="F152" s="31"/>
      <c r="G152" s="31"/>
      <c r="H152" s="31"/>
      <c r="I152" s="31"/>
    </row>
    <row r="153" ht="15.75" customHeight="1">
      <c r="A153" s="31"/>
      <c r="B153" s="31"/>
      <c r="C153" s="31"/>
      <c r="D153" s="31"/>
      <c r="E153" s="31"/>
      <c r="F153" s="31"/>
      <c r="G153" s="31"/>
      <c r="H153" s="31"/>
      <c r="I153" s="31"/>
    </row>
    <row r="154" ht="15.75" customHeight="1">
      <c r="A154" s="31"/>
      <c r="B154" s="31"/>
      <c r="C154" s="31"/>
      <c r="D154" s="31"/>
      <c r="E154" s="31"/>
      <c r="F154" s="31"/>
      <c r="G154" s="31"/>
      <c r="H154" s="31"/>
      <c r="I154" s="31"/>
    </row>
    <row r="155" ht="15.75" customHeight="1">
      <c r="A155" s="31"/>
      <c r="B155" s="31"/>
      <c r="C155" s="31"/>
      <c r="D155" s="31"/>
      <c r="E155" s="31"/>
      <c r="F155" s="31"/>
      <c r="G155" s="31"/>
      <c r="H155" s="31"/>
      <c r="I155" s="31"/>
    </row>
    <row r="156" ht="15.75" customHeight="1">
      <c r="A156" s="31"/>
      <c r="B156" s="31"/>
      <c r="C156" s="31"/>
      <c r="D156" s="31"/>
      <c r="E156" s="31"/>
      <c r="F156" s="31"/>
      <c r="G156" s="31"/>
      <c r="H156" s="31"/>
      <c r="I156" s="31"/>
    </row>
    <row r="157" ht="15.75" customHeight="1">
      <c r="A157" s="31"/>
      <c r="B157" s="31"/>
      <c r="C157" s="31"/>
      <c r="D157" s="31"/>
      <c r="E157" s="31"/>
      <c r="F157" s="31"/>
      <c r="G157" s="31"/>
      <c r="H157" s="31"/>
      <c r="I157" s="31"/>
    </row>
    <row r="158" ht="15.75" customHeight="1">
      <c r="A158" s="31"/>
      <c r="B158" s="31"/>
      <c r="C158" s="31"/>
      <c r="D158" s="31"/>
      <c r="E158" s="31"/>
      <c r="F158" s="31"/>
      <c r="G158" s="31"/>
      <c r="H158" s="31"/>
      <c r="I158" s="31"/>
    </row>
    <row r="159" ht="15.75" customHeight="1">
      <c r="A159" s="31"/>
      <c r="B159" s="31"/>
      <c r="C159" s="31"/>
      <c r="D159" s="31"/>
      <c r="E159" s="31"/>
      <c r="F159" s="31"/>
      <c r="G159" s="31"/>
      <c r="H159" s="31"/>
      <c r="I159" s="31"/>
    </row>
    <row r="160" ht="15.75" customHeight="1">
      <c r="A160" s="31"/>
      <c r="B160" s="31"/>
      <c r="C160" s="31"/>
      <c r="D160" s="31"/>
      <c r="E160" s="31"/>
      <c r="F160" s="31"/>
      <c r="G160" s="31"/>
      <c r="H160" s="31"/>
      <c r="I160" s="31"/>
    </row>
    <row r="161" ht="15.75" customHeight="1">
      <c r="A161" s="31"/>
      <c r="B161" s="31"/>
      <c r="C161" s="31"/>
      <c r="D161" s="31"/>
      <c r="E161" s="31"/>
      <c r="F161" s="31"/>
      <c r="G161" s="31"/>
      <c r="H161" s="31"/>
      <c r="I161" s="31"/>
    </row>
    <row r="162" ht="15.75" customHeight="1">
      <c r="A162" s="31"/>
      <c r="B162" s="31"/>
      <c r="C162" s="31"/>
      <c r="D162" s="31"/>
      <c r="E162" s="31"/>
      <c r="F162" s="31"/>
      <c r="G162" s="31"/>
      <c r="H162" s="31"/>
      <c r="I162" s="31"/>
    </row>
    <row r="163" ht="15.75" customHeight="1">
      <c r="A163" s="31"/>
      <c r="B163" s="31"/>
      <c r="C163" s="31"/>
      <c r="D163" s="31"/>
      <c r="E163" s="31"/>
      <c r="F163" s="31"/>
      <c r="G163" s="31"/>
      <c r="H163" s="31"/>
      <c r="I163" s="31"/>
    </row>
    <row r="164" ht="15.75" customHeight="1">
      <c r="A164" s="31"/>
      <c r="B164" s="31"/>
      <c r="C164" s="31"/>
      <c r="D164" s="31"/>
      <c r="E164" s="31"/>
      <c r="F164" s="31"/>
      <c r="G164" s="31"/>
      <c r="H164" s="31"/>
      <c r="I164" s="31"/>
    </row>
    <row r="165" ht="15.75" customHeight="1">
      <c r="A165" s="31"/>
      <c r="B165" s="31"/>
      <c r="C165" s="31"/>
      <c r="D165" s="31"/>
      <c r="E165" s="31"/>
      <c r="F165" s="31"/>
      <c r="G165" s="31"/>
      <c r="H165" s="31"/>
      <c r="I165" s="31"/>
    </row>
    <row r="166" ht="15.75" customHeight="1">
      <c r="A166" s="31"/>
      <c r="B166" s="31"/>
      <c r="C166" s="31"/>
      <c r="D166" s="31"/>
      <c r="E166" s="31"/>
      <c r="F166" s="31"/>
      <c r="G166" s="31"/>
      <c r="H166" s="31"/>
      <c r="I166" s="31"/>
    </row>
    <row r="167" ht="15.75" customHeight="1">
      <c r="A167" s="31"/>
      <c r="B167" s="31"/>
      <c r="C167" s="31"/>
      <c r="D167" s="31"/>
      <c r="E167" s="31"/>
      <c r="F167" s="31"/>
      <c r="G167" s="31"/>
      <c r="H167" s="31"/>
      <c r="I167" s="31"/>
    </row>
    <row r="168" ht="15.75" customHeight="1">
      <c r="A168" s="31"/>
      <c r="B168" s="31"/>
      <c r="C168" s="31"/>
      <c r="D168" s="31"/>
      <c r="E168" s="31"/>
      <c r="F168" s="31"/>
      <c r="G168" s="31"/>
      <c r="H168" s="31"/>
      <c r="I168" s="31"/>
    </row>
    <row r="169" ht="15.75" customHeight="1">
      <c r="A169" s="31"/>
      <c r="B169" s="31"/>
      <c r="C169" s="31"/>
      <c r="D169" s="31"/>
      <c r="E169" s="31"/>
      <c r="F169" s="31"/>
      <c r="G169" s="31"/>
      <c r="H169" s="31"/>
      <c r="I169" s="31"/>
    </row>
    <row r="170" ht="15.75" customHeight="1">
      <c r="A170" s="31"/>
      <c r="B170" s="31"/>
      <c r="C170" s="31"/>
      <c r="D170" s="31"/>
      <c r="E170" s="31"/>
      <c r="F170" s="31"/>
      <c r="G170" s="31"/>
      <c r="H170" s="31"/>
      <c r="I170" s="31"/>
    </row>
    <row r="171" ht="15.75" customHeight="1">
      <c r="A171" s="31"/>
      <c r="B171" s="31"/>
      <c r="C171" s="31"/>
      <c r="D171" s="31"/>
      <c r="E171" s="31"/>
      <c r="F171" s="31"/>
      <c r="G171" s="31"/>
      <c r="H171" s="31"/>
      <c r="I171" s="31"/>
    </row>
    <row r="172" ht="15.75" customHeight="1">
      <c r="A172" s="31"/>
      <c r="B172" s="31"/>
      <c r="C172" s="31"/>
      <c r="D172" s="31"/>
      <c r="E172" s="31"/>
      <c r="F172" s="31"/>
      <c r="G172" s="31"/>
      <c r="H172" s="31"/>
      <c r="I172" s="31"/>
    </row>
    <row r="173" ht="15.75" customHeight="1">
      <c r="A173" s="31"/>
      <c r="B173" s="31"/>
      <c r="C173" s="31"/>
      <c r="D173" s="31"/>
      <c r="E173" s="31"/>
      <c r="F173" s="31"/>
      <c r="G173" s="31"/>
      <c r="H173" s="31"/>
      <c r="I173" s="31"/>
    </row>
    <row r="174" ht="15.75" customHeight="1">
      <c r="A174" s="31"/>
      <c r="B174" s="31"/>
      <c r="C174" s="31"/>
      <c r="D174" s="31"/>
      <c r="E174" s="31"/>
      <c r="F174" s="31"/>
      <c r="G174" s="31"/>
      <c r="H174" s="31"/>
      <c r="I174" s="31"/>
    </row>
    <row r="175" ht="15.75" customHeight="1">
      <c r="A175" s="31"/>
      <c r="B175" s="31"/>
      <c r="C175" s="31"/>
      <c r="D175" s="31"/>
      <c r="E175" s="31"/>
      <c r="F175" s="31"/>
      <c r="G175" s="31"/>
      <c r="H175" s="31"/>
      <c r="I175" s="31"/>
    </row>
    <row r="176" ht="15.75" customHeight="1">
      <c r="A176" s="31"/>
      <c r="B176" s="31"/>
      <c r="C176" s="31"/>
      <c r="D176" s="31"/>
      <c r="E176" s="31"/>
      <c r="F176" s="31"/>
      <c r="G176" s="31"/>
      <c r="H176" s="31"/>
      <c r="I176" s="31"/>
    </row>
    <row r="177" ht="15.75" customHeight="1">
      <c r="A177" s="31"/>
      <c r="B177" s="31"/>
      <c r="C177" s="31"/>
      <c r="D177" s="31"/>
      <c r="E177" s="31"/>
      <c r="F177" s="31"/>
      <c r="G177" s="31"/>
      <c r="H177" s="31"/>
      <c r="I177" s="31"/>
    </row>
    <row r="178" ht="15.75" customHeight="1">
      <c r="A178" s="31"/>
      <c r="B178" s="31"/>
      <c r="C178" s="31"/>
      <c r="D178" s="31"/>
      <c r="E178" s="31"/>
      <c r="F178" s="31"/>
      <c r="G178" s="31"/>
      <c r="H178" s="31"/>
      <c r="I178" s="31"/>
    </row>
    <row r="179" ht="15.75" customHeight="1">
      <c r="A179" s="31"/>
      <c r="B179" s="31"/>
      <c r="C179" s="31"/>
      <c r="D179" s="31"/>
      <c r="E179" s="31"/>
      <c r="F179" s="31"/>
      <c r="G179" s="31"/>
      <c r="H179" s="31"/>
      <c r="I179" s="31"/>
    </row>
    <row r="180" ht="15.75" customHeight="1">
      <c r="A180" s="31"/>
      <c r="B180" s="31"/>
      <c r="C180" s="31"/>
      <c r="D180" s="31"/>
      <c r="E180" s="31"/>
      <c r="F180" s="31"/>
      <c r="G180" s="31"/>
      <c r="H180" s="31"/>
      <c r="I180" s="31"/>
    </row>
    <row r="181" ht="15.75" customHeight="1">
      <c r="A181" s="31"/>
      <c r="B181" s="31"/>
      <c r="C181" s="31"/>
      <c r="D181" s="31"/>
      <c r="E181" s="31"/>
      <c r="F181" s="31"/>
      <c r="G181" s="31"/>
      <c r="H181" s="31"/>
      <c r="I181" s="31"/>
    </row>
    <row r="182" ht="15.75" customHeight="1">
      <c r="A182" s="31"/>
      <c r="B182" s="31"/>
      <c r="C182" s="31"/>
      <c r="D182" s="31"/>
      <c r="E182" s="31"/>
      <c r="F182" s="31"/>
      <c r="G182" s="31"/>
      <c r="H182" s="31"/>
      <c r="I182" s="31"/>
    </row>
    <row r="183" ht="15.75" customHeight="1">
      <c r="A183" s="31"/>
      <c r="B183" s="31"/>
      <c r="C183" s="31"/>
      <c r="D183" s="31"/>
      <c r="E183" s="31"/>
      <c r="F183" s="31"/>
      <c r="G183" s="31"/>
      <c r="H183" s="31"/>
      <c r="I183" s="31"/>
    </row>
    <row r="184" ht="15.75" customHeight="1">
      <c r="A184" s="31"/>
      <c r="B184" s="31"/>
      <c r="C184" s="31"/>
      <c r="D184" s="31"/>
      <c r="E184" s="31"/>
      <c r="F184" s="31"/>
      <c r="G184" s="31"/>
      <c r="H184" s="31"/>
      <c r="I184" s="31"/>
    </row>
    <row r="185" ht="15.75" customHeight="1">
      <c r="A185" s="31"/>
      <c r="B185" s="31"/>
      <c r="C185" s="31"/>
      <c r="D185" s="31"/>
      <c r="E185" s="31"/>
      <c r="F185" s="31"/>
      <c r="G185" s="31"/>
      <c r="H185" s="31"/>
      <c r="I185" s="31"/>
    </row>
    <row r="186" ht="15.75" customHeight="1">
      <c r="A186" s="31"/>
      <c r="B186" s="31"/>
      <c r="C186" s="31"/>
      <c r="D186" s="31"/>
      <c r="E186" s="31"/>
      <c r="F186" s="31"/>
      <c r="G186" s="31"/>
      <c r="H186" s="31"/>
      <c r="I186" s="31"/>
    </row>
    <row r="187" ht="15.75" customHeight="1">
      <c r="A187" s="31"/>
      <c r="B187" s="31"/>
      <c r="C187" s="31"/>
      <c r="D187" s="31"/>
      <c r="E187" s="31"/>
      <c r="F187" s="31"/>
      <c r="G187" s="31"/>
      <c r="H187" s="31"/>
      <c r="I187" s="31"/>
    </row>
    <row r="188" ht="15.75" customHeight="1">
      <c r="A188" s="31"/>
      <c r="B188" s="31"/>
      <c r="C188" s="31"/>
      <c r="D188" s="31"/>
      <c r="E188" s="31"/>
      <c r="F188" s="31"/>
      <c r="G188" s="31"/>
      <c r="H188" s="31"/>
      <c r="I188" s="31"/>
    </row>
    <row r="189" ht="15.75" customHeight="1">
      <c r="A189" s="31"/>
      <c r="B189" s="31"/>
      <c r="C189" s="31"/>
      <c r="D189" s="31"/>
      <c r="E189" s="31"/>
      <c r="F189" s="31"/>
      <c r="G189" s="31"/>
      <c r="H189" s="31"/>
      <c r="I189" s="31"/>
    </row>
    <row r="190" ht="15.75" customHeight="1">
      <c r="A190" s="31"/>
      <c r="B190" s="31"/>
      <c r="C190" s="31"/>
      <c r="D190" s="31"/>
      <c r="E190" s="31"/>
      <c r="F190" s="31"/>
      <c r="G190" s="31"/>
      <c r="H190" s="31"/>
      <c r="I190" s="31"/>
    </row>
    <row r="191" ht="15.75" customHeight="1">
      <c r="A191" s="31"/>
      <c r="B191" s="31"/>
      <c r="C191" s="31"/>
      <c r="D191" s="31"/>
      <c r="E191" s="31"/>
      <c r="F191" s="31"/>
      <c r="G191" s="31"/>
      <c r="H191" s="31"/>
      <c r="I191" s="31"/>
    </row>
    <row r="192" ht="15.75" customHeight="1">
      <c r="A192" s="31"/>
      <c r="B192" s="31"/>
      <c r="C192" s="31"/>
      <c r="D192" s="31"/>
      <c r="E192" s="31"/>
      <c r="F192" s="31"/>
      <c r="G192" s="31"/>
      <c r="H192" s="31"/>
      <c r="I192" s="31"/>
    </row>
    <row r="193" ht="15.75" customHeight="1">
      <c r="A193" s="31"/>
      <c r="B193" s="31"/>
      <c r="C193" s="31"/>
      <c r="D193" s="31"/>
      <c r="E193" s="31"/>
      <c r="F193" s="31"/>
      <c r="G193" s="31"/>
      <c r="H193" s="31"/>
      <c r="I193" s="31"/>
    </row>
    <row r="194" ht="15.75" customHeight="1">
      <c r="A194" s="31"/>
      <c r="B194" s="31"/>
      <c r="C194" s="31"/>
      <c r="D194" s="31"/>
      <c r="E194" s="31"/>
      <c r="F194" s="31"/>
      <c r="G194" s="31"/>
      <c r="H194" s="31"/>
      <c r="I194" s="31"/>
    </row>
    <row r="195" ht="15.75" customHeight="1">
      <c r="A195" s="31"/>
      <c r="B195" s="31"/>
      <c r="C195" s="31"/>
      <c r="D195" s="31"/>
      <c r="E195" s="31"/>
      <c r="F195" s="31"/>
      <c r="G195" s="31"/>
      <c r="H195" s="31"/>
      <c r="I195" s="31"/>
    </row>
    <row r="196" ht="15.75" customHeight="1">
      <c r="A196" s="31"/>
      <c r="B196" s="31"/>
      <c r="C196" s="31"/>
      <c r="D196" s="31"/>
      <c r="E196" s="31"/>
      <c r="F196" s="31"/>
      <c r="G196" s="31"/>
      <c r="H196" s="31"/>
      <c r="I196" s="31"/>
    </row>
    <row r="197" ht="15.75" customHeight="1">
      <c r="A197" s="31"/>
      <c r="B197" s="31"/>
      <c r="C197" s="31"/>
      <c r="D197" s="31"/>
      <c r="E197" s="31"/>
      <c r="F197" s="31"/>
      <c r="G197" s="31"/>
      <c r="H197" s="31"/>
      <c r="I197" s="31"/>
    </row>
    <row r="198" ht="15.75" customHeight="1">
      <c r="A198" s="31"/>
      <c r="B198" s="31"/>
      <c r="C198" s="31"/>
      <c r="D198" s="31"/>
      <c r="E198" s="31"/>
      <c r="F198" s="31"/>
      <c r="G198" s="31"/>
      <c r="H198" s="31"/>
      <c r="I198" s="31"/>
    </row>
    <row r="199" ht="15.75" customHeight="1">
      <c r="A199" s="31"/>
      <c r="B199" s="31"/>
      <c r="C199" s="31"/>
      <c r="D199" s="31"/>
      <c r="E199" s="31"/>
      <c r="F199" s="31"/>
      <c r="G199" s="31"/>
      <c r="H199" s="31"/>
      <c r="I199" s="31"/>
    </row>
    <row r="200" ht="15.75" customHeight="1">
      <c r="A200" s="31"/>
      <c r="B200" s="31"/>
      <c r="C200" s="31"/>
      <c r="D200" s="31"/>
      <c r="E200" s="31"/>
      <c r="F200" s="31"/>
      <c r="G200" s="31"/>
      <c r="H200" s="31"/>
      <c r="I200" s="31"/>
    </row>
    <row r="201" ht="15.75" customHeight="1">
      <c r="A201" s="31"/>
      <c r="B201" s="31"/>
      <c r="C201" s="31"/>
      <c r="D201" s="31"/>
      <c r="E201" s="31"/>
      <c r="F201" s="31"/>
      <c r="G201" s="31"/>
      <c r="H201" s="31"/>
      <c r="I201" s="31"/>
    </row>
    <row r="202" ht="15.75" customHeight="1">
      <c r="A202" s="31"/>
      <c r="B202" s="31"/>
      <c r="C202" s="31"/>
      <c r="D202" s="31"/>
      <c r="E202" s="31"/>
      <c r="F202" s="31"/>
      <c r="G202" s="31"/>
      <c r="H202" s="31"/>
      <c r="I202" s="31"/>
    </row>
    <row r="203" ht="15.75" customHeight="1">
      <c r="A203" s="31"/>
      <c r="B203" s="31"/>
      <c r="C203" s="31"/>
      <c r="D203" s="31"/>
      <c r="E203" s="31"/>
      <c r="F203" s="31"/>
      <c r="G203" s="31"/>
      <c r="H203" s="31"/>
      <c r="I203" s="31"/>
    </row>
    <row r="204" ht="15.75" customHeight="1">
      <c r="A204" s="31"/>
      <c r="B204" s="31"/>
      <c r="C204" s="31"/>
      <c r="D204" s="31"/>
      <c r="E204" s="31"/>
      <c r="F204" s="31"/>
      <c r="G204" s="31"/>
      <c r="H204" s="31"/>
      <c r="I204" s="31"/>
    </row>
    <row r="205" ht="15.75" customHeight="1">
      <c r="A205" s="31"/>
      <c r="B205" s="31"/>
      <c r="C205" s="31"/>
      <c r="D205" s="31"/>
      <c r="E205" s="31"/>
      <c r="F205" s="31"/>
      <c r="G205" s="31"/>
      <c r="H205" s="31"/>
      <c r="I205" s="31"/>
    </row>
    <row r="206" ht="15.75" customHeight="1">
      <c r="A206" s="31"/>
      <c r="B206" s="31"/>
      <c r="C206" s="31"/>
      <c r="D206" s="31"/>
      <c r="E206" s="31"/>
      <c r="F206" s="31"/>
      <c r="G206" s="31"/>
      <c r="H206" s="31"/>
      <c r="I206" s="31"/>
    </row>
    <row r="207" ht="15.75" customHeight="1">
      <c r="A207" s="31"/>
      <c r="B207" s="31"/>
      <c r="C207" s="31"/>
      <c r="D207" s="31"/>
      <c r="E207" s="31"/>
      <c r="F207" s="31"/>
      <c r="G207" s="31"/>
      <c r="H207" s="31"/>
      <c r="I207" s="31"/>
    </row>
    <row r="208" ht="15.75" customHeight="1">
      <c r="A208" s="31"/>
      <c r="B208" s="31"/>
      <c r="C208" s="31"/>
      <c r="D208" s="31"/>
      <c r="E208" s="31"/>
      <c r="F208" s="31"/>
      <c r="G208" s="31"/>
      <c r="H208" s="31"/>
      <c r="I208" s="31"/>
    </row>
    <row r="209" ht="15.75" customHeight="1">
      <c r="A209" s="31"/>
      <c r="B209" s="31"/>
      <c r="C209" s="31"/>
      <c r="D209" s="31"/>
      <c r="E209" s="31"/>
      <c r="F209" s="31"/>
      <c r="G209" s="31"/>
      <c r="H209" s="31"/>
      <c r="I209" s="31"/>
    </row>
    <row r="210" ht="15.75" customHeight="1">
      <c r="A210" s="31"/>
      <c r="B210" s="31"/>
      <c r="C210" s="31"/>
      <c r="D210" s="31"/>
      <c r="E210" s="31"/>
      <c r="F210" s="31"/>
      <c r="G210" s="31"/>
      <c r="H210" s="31"/>
      <c r="I210" s="31"/>
    </row>
    <row r="211" ht="15.75" customHeight="1">
      <c r="A211" s="31"/>
      <c r="B211" s="31"/>
      <c r="C211" s="31"/>
      <c r="D211" s="31"/>
      <c r="E211" s="31"/>
      <c r="F211" s="31"/>
      <c r="G211" s="31"/>
      <c r="H211" s="31"/>
      <c r="I211" s="31"/>
    </row>
    <row r="212" ht="15.75" customHeight="1">
      <c r="A212" s="31"/>
      <c r="B212" s="31"/>
      <c r="C212" s="31"/>
      <c r="D212" s="31"/>
      <c r="E212" s="31"/>
      <c r="F212" s="31"/>
      <c r="G212" s="31"/>
      <c r="H212" s="31"/>
      <c r="I212" s="31"/>
    </row>
    <row r="213" ht="15.75" customHeight="1">
      <c r="A213" s="31"/>
      <c r="B213" s="31"/>
      <c r="C213" s="31"/>
      <c r="D213" s="31"/>
      <c r="E213" s="31"/>
      <c r="F213" s="31"/>
      <c r="G213" s="31"/>
      <c r="H213" s="31"/>
      <c r="I213" s="31"/>
    </row>
    <row r="214" ht="15.75" customHeight="1">
      <c r="A214" s="31"/>
      <c r="B214" s="31"/>
      <c r="C214" s="31"/>
      <c r="D214" s="31"/>
      <c r="E214" s="31"/>
      <c r="F214" s="31"/>
      <c r="G214" s="31"/>
      <c r="H214" s="31"/>
      <c r="I214" s="31"/>
    </row>
    <row r="215" ht="15.75" customHeight="1">
      <c r="A215" s="31"/>
      <c r="B215" s="31"/>
      <c r="C215" s="31"/>
      <c r="D215" s="31"/>
      <c r="E215" s="31"/>
      <c r="F215" s="31"/>
      <c r="G215" s="31"/>
      <c r="H215" s="31"/>
      <c r="I215" s="31"/>
    </row>
    <row r="216" ht="15.75" customHeight="1">
      <c r="A216" s="31"/>
      <c r="B216" s="31"/>
      <c r="C216" s="31"/>
      <c r="D216" s="31"/>
      <c r="E216" s="31"/>
      <c r="F216" s="31"/>
      <c r="G216" s="31"/>
      <c r="H216" s="31"/>
      <c r="I216" s="31"/>
    </row>
    <row r="217" ht="15.75" customHeight="1">
      <c r="A217" s="31"/>
      <c r="B217" s="31"/>
      <c r="C217" s="31"/>
      <c r="D217" s="31"/>
      <c r="E217" s="31"/>
      <c r="F217" s="31"/>
      <c r="G217" s="31"/>
      <c r="H217" s="31"/>
      <c r="I217" s="31"/>
    </row>
    <row r="218" ht="15.75" customHeight="1">
      <c r="A218" s="31"/>
      <c r="B218" s="31"/>
      <c r="C218" s="31"/>
      <c r="D218" s="31"/>
      <c r="E218" s="31"/>
      <c r="F218" s="31"/>
      <c r="G218" s="31"/>
      <c r="H218" s="31"/>
      <c r="I218" s="31"/>
    </row>
    <row r="219" ht="15.75" customHeight="1">
      <c r="A219" s="31"/>
      <c r="B219" s="31"/>
      <c r="C219" s="31"/>
      <c r="D219" s="31"/>
      <c r="E219" s="31"/>
      <c r="F219" s="31"/>
      <c r="G219" s="31"/>
      <c r="H219" s="31"/>
      <c r="I219" s="31"/>
    </row>
    <row r="220" ht="15.75" customHeight="1">
      <c r="A220" s="31"/>
      <c r="B220" s="31"/>
      <c r="C220" s="31"/>
      <c r="D220" s="31"/>
      <c r="E220" s="31"/>
      <c r="F220" s="31"/>
      <c r="G220" s="31"/>
      <c r="H220" s="31"/>
      <c r="I220" s="31"/>
    </row>
    <row r="221" ht="15.75" customHeight="1">
      <c r="A221" s="31"/>
      <c r="B221" s="31"/>
      <c r="C221" s="31"/>
      <c r="D221" s="31"/>
      <c r="E221" s="31"/>
      <c r="F221" s="31"/>
      <c r="G221" s="31"/>
      <c r="H221" s="31"/>
      <c r="I221" s="31"/>
    </row>
    <row r="222" ht="15.75" customHeight="1">
      <c r="A222" s="31"/>
      <c r="B222" s="31"/>
      <c r="C222" s="31"/>
      <c r="D222" s="31"/>
      <c r="E222" s="31"/>
      <c r="F222" s="31"/>
      <c r="G222" s="31"/>
      <c r="H222" s="31"/>
      <c r="I222" s="31"/>
    </row>
    <row r="223" ht="15.75" customHeight="1">
      <c r="A223" s="31"/>
      <c r="B223" s="31"/>
      <c r="C223" s="31"/>
      <c r="D223" s="31"/>
      <c r="E223" s="31"/>
      <c r="F223" s="31"/>
      <c r="G223" s="31"/>
      <c r="H223" s="31"/>
      <c r="I223" s="31"/>
    </row>
    <row r="224" ht="15.75" customHeight="1">
      <c r="A224" s="31"/>
      <c r="B224" s="31"/>
      <c r="C224" s="31"/>
      <c r="D224" s="31"/>
      <c r="E224" s="31"/>
      <c r="F224" s="31"/>
      <c r="G224" s="31"/>
      <c r="H224" s="31"/>
      <c r="I224" s="31"/>
    </row>
    <row r="225" ht="15.75" customHeight="1">
      <c r="A225" s="31"/>
      <c r="B225" s="31"/>
      <c r="C225" s="31"/>
      <c r="D225" s="31"/>
      <c r="E225" s="31"/>
      <c r="F225" s="31"/>
      <c r="G225" s="31"/>
      <c r="H225" s="31"/>
      <c r="I225" s="31"/>
    </row>
    <row r="226" ht="15.75" customHeight="1">
      <c r="A226" s="31"/>
      <c r="B226" s="31"/>
      <c r="C226" s="31"/>
      <c r="D226" s="31"/>
      <c r="E226" s="31"/>
      <c r="F226" s="31"/>
      <c r="G226" s="31"/>
      <c r="H226" s="31"/>
      <c r="I226" s="31"/>
    </row>
    <row r="227" ht="15.75" customHeight="1">
      <c r="A227" s="31"/>
      <c r="B227" s="31"/>
      <c r="C227" s="31"/>
      <c r="D227" s="31"/>
      <c r="E227" s="31"/>
      <c r="F227" s="31"/>
      <c r="G227" s="31"/>
      <c r="H227" s="31"/>
      <c r="I227" s="31"/>
    </row>
    <row r="228" ht="15.75" customHeight="1">
      <c r="A228" s="31"/>
      <c r="B228" s="31"/>
      <c r="C228" s="31"/>
      <c r="D228" s="31"/>
      <c r="E228" s="31"/>
      <c r="F228" s="31"/>
      <c r="G228" s="31"/>
      <c r="H228" s="31"/>
      <c r="I228" s="31"/>
    </row>
    <row r="229" ht="15.75" customHeight="1">
      <c r="A229" s="31"/>
      <c r="B229" s="31"/>
      <c r="C229" s="31"/>
      <c r="D229" s="31"/>
      <c r="E229" s="31"/>
      <c r="F229" s="31"/>
      <c r="G229" s="31"/>
      <c r="H229" s="31"/>
      <c r="I229" s="31"/>
    </row>
    <row r="230" ht="15.75" customHeight="1">
      <c r="A230" s="31"/>
      <c r="B230" s="31"/>
      <c r="C230" s="31"/>
      <c r="D230" s="31"/>
      <c r="E230" s="31"/>
      <c r="F230" s="31"/>
      <c r="G230" s="31"/>
      <c r="H230" s="31"/>
      <c r="I230" s="31"/>
    </row>
    <row r="231" ht="15.75" customHeight="1">
      <c r="A231" s="31"/>
      <c r="B231" s="31"/>
      <c r="C231" s="31"/>
      <c r="D231" s="31"/>
      <c r="E231" s="31"/>
      <c r="F231" s="31"/>
      <c r="G231" s="31"/>
      <c r="H231" s="31"/>
      <c r="I231" s="31"/>
    </row>
    <row r="232" ht="15.75" customHeight="1">
      <c r="A232" s="31"/>
      <c r="B232" s="31"/>
      <c r="C232" s="31"/>
      <c r="D232" s="31"/>
      <c r="E232" s="31"/>
      <c r="F232" s="31"/>
      <c r="G232" s="31"/>
      <c r="H232" s="31"/>
      <c r="I232" s="31"/>
    </row>
    <row r="233" ht="15.75" customHeight="1">
      <c r="A233" s="31"/>
      <c r="B233" s="31"/>
      <c r="C233" s="31"/>
      <c r="D233" s="31"/>
      <c r="E233" s="31"/>
      <c r="F233" s="31"/>
      <c r="G233" s="31"/>
      <c r="H233" s="31"/>
      <c r="I233" s="31"/>
    </row>
    <row r="234" ht="15.75" customHeight="1">
      <c r="A234" s="31"/>
      <c r="B234" s="31"/>
      <c r="C234" s="31"/>
      <c r="D234" s="31"/>
      <c r="E234" s="31"/>
      <c r="F234" s="31"/>
      <c r="G234" s="31"/>
      <c r="H234" s="31"/>
      <c r="I234" s="31"/>
    </row>
    <row r="235" ht="15.75" customHeight="1">
      <c r="A235" s="31"/>
      <c r="B235" s="31"/>
      <c r="C235" s="31"/>
      <c r="D235" s="31"/>
      <c r="E235" s="31"/>
      <c r="F235" s="31"/>
      <c r="G235" s="31"/>
      <c r="H235" s="31"/>
      <c r="I235" s="31"/>
    </row>
    <row r="236" ht="15.75" customHeight="1">
      <c r="A236" s="31"/>
      <c r="B236" s="31"/>
      <c r="C236" s="31"/>
      <c r="D236" s="31"/>
      <c r="E236" s="31"/>
      <c r="F236" s="31"/>
      <c r="G236" s="31"/>
      <c r="H236" s="31"/>
      <c r="I236" s="31"/>
    </row>
    <row r="237" ht="15.75" customHeight="1">
      <c r="A237" s="31"/>
      <c r="B237" s="31"/>
      <c r="C237" s="31"/>
      <c r="D237" s="31"/>
      <c r="E237" s="31"/>
      <c r="F237" s="31"/>
      <c r="G237" s="31"/>
      <c r="H237" s="31"/>
      <c r="I237" s="31"/>
    </row>
    <row r="238" ht="15.75" customHeight="1">
      <c r="A238" s="31"/>
      <c r="B238" s="31"/>
      <c r="C238" s="31"/>
      <c r="D238" s="31"/>
      <c r="E238" s="31"/>
      <c r="F238" s="31"/>
      <c r="G238" s="31"/>
      <c r="H238" s="31"/>
      <c r="I238" s="31"/>
    </row>
    <row r="239" ht="15.75" customHeight="1">
      <c r="A239" s="31"/>
      <c r="B239" s="31"/>
      <c r="C239" s="31"/>
      <c r="D239" s="31"/>
      <c r="E239" s="31"/>
      <c r="F239" s="31"/>
      <c r="G239" s="31"/>
      <c r="H239" s="31"/>
      <c r="I239" s="31"/>
    </row>
    <row r="240" ht="15.75" customHeight="1">
      <c r="A240" s="31"/>
      <c r="B240" s="31"/>
      <c r="C240" s="31"/>
      <c r="D240" s="31"/>
      <c r="E240" s="31"/>
      <c r="F240" s="31"/>
      <c r="G240" s="31"/>
      <c r="H240" s="31"/>
      <c r="I240" s="31"/>
    </row>
    <row r="241" ht="15.75" customHeight="1">
      <c r="A241" s="31"/>
      <c r="B241" s="31"/>
      <c r="C241" s="31"/>
      <c r="D241" s="31"/>
      <c r="E241" s="31"/>
      <c r="F241" s="31"/>
      <c r="G241" s="31"/>
      <c r="H241" s="31"/>
      <c r="I241" s="31"/>
    </row>
    <row r="242" ht="15.75" customHeight="1">
      <c r="A242" s="31"/>
      <c r="B242" s="31"/>
      <c r="C242" s="31"/>
      <c r="D242" s="31"/>
      <c r="E242" s="31"/>
      <c r="F242" s="31"/>
      <c r="G242" s="31"/>
      <c r="H242" s="31"/>
      <c r="I242" s="31"/>
    </row>
    <row r="243" ht="15.75" customHeight="1">
      <c r="A243" s="31"/>
      <c r="B243" s="31"/>
      <c r="C243" s="31"/>
      <c r="D243" s="31"/>
      <c r="E243" s="31"/>
      <c r="F243" s="31"/>
      <c r="G243" s="31"/>
      <c r="H243" s="31"/>
      <c r="I243" s="31"/>
    </row>
    <row r="244" ht="15.75" customHeight="1">
      <c r="A244" s="31"/>
      <c r="B244" s="31"/>
      <c r="C244" s="31"/>
      <c r="D244" s="31"/>
      <c r="E244" s="31"/>
      <c r="F244" s="31"/>
      <c r="G244" s="31"/>
      <c r="H244" s="31"/>
      <c r="I244" s="31"/>
    </row>
    <row r="245" ht="15.75" customHeight="1">
      <c r="A245" s="31"/>
      <c r="B245" s="31"/>
      <c r="C245" s="31"/>
      <c r="D245" s="31"/>
      <c r="E245" s="31"/>
      <c r="F245" s="31"/>
      <c r="G245" s="31"/>
      <c r="H245" s="31"/>
      <c r="I245" s="31"/>
    </row>
    <row r="246" ht="15.75" customHeight="1">
      <c r="A246" s="31"/>
      <c r="B246" s="31"/>
      <c r="C246" s="31"/>
      <c r="D246" s="31"/>
      <c r="E246" s="31"/>
      <c r="F246" s="31"/>
      <c r="G246" s="31"/>
      <c r="H246" s="31"/>
      <c r="I246" s="31"/>
    </row>
    <row r="247" ht="15.75" customHeight="1">
      <c r="A247" s="31"/>
      <c r="B247" s="31"/>
      <c r="C247" s="31"/>
      <c r="D247" s="31"/>
      <c r="E247" s="31"/>
      <c r="F247" s="31"/>
      <c r="G247" s="31"/>
      <c r="H247" s="31"/>
      <c r="I247" s="31"/>
    </row>
    <row r="248" ht="15.75" customHeight="1">
      <c r="A248" s="31"/>
      <c r="B248" s="31"/>
      <c r="C248" s="31"/>
      <c r="D248" s="31"/>
      <c r="E248" s="31"/>
      <c r="F248" s="31"/>
      <c r="G248" s="31"/>
      <c r="H248" s="31"/>
      <c r="I248" s="31"/>
    </row>
    <row r="249" ht="15.75" customHeight="1">
      <c r="A249" s="31"/>
      <c r="B249" s="31"/>
      <c r="C249" s="31"/>
      <c r="D249" s="31"/>
      <c r="E249" s="31"/>
      <c r="F249" s="31"/>
      <c r="G249" s="31"/>
      <c r="H249" s="31"/>
      <c r="I249" s="31"/>
    </row>
    <row r="250" ht="15.75" customHeight="1">
      <c r="A250" s="31"/>
      <c r="B250" s="31"/>
      <c r="C250" s="31"/>
      <c r="D250" s="31"/>
      <c r="E250" s="31"/>
      <c r="F250" s="31"/>
      <c r="G250" s="31"/>
      <c r="H250" s="31"/>
      <c r="I250" s="31"/>
    </row>
    <row r="251" ht="15.75" customHeight="1">
      <c r="A251" s="31"/>
      <c r="B251" s="31"/>
      <c r="C251" s="31"/>
      <c r="D251" s="31"/>
      <c r="E251" s="31"/>
      <c r="F251" s="31"/>
      <c r="G251" s="31"/>
      <c r="H251" s="31"/>
      <c r="I251" s="31"/>
    </row>
    <row r="252" ht="15.75" customHeight="1">
      <c r="A252" s="31"/>
      <c r="B252" s="31"/>
      <c r="C252" s="31"/>
      <c r="D252" s="31"/>
      <c r="E252" s="31"/>
      <c r="F252" s="31"/>
      <c r="G252" s="31"/>
      <c r="H252" s="31"/>
      <c r="I252" s="31"/>
    </row>
    <row r="253" ht="15.75" customHeight="1">
      <c r="A253" s="31"/>
      <c r="B253" s="31"/>
      <c r="C253" s="31"/>
      <c r="D253" s="31"/>
      <c r="E253" s="31"/>
      <c r="F253" s="31"/>
      <c r="G253" s="31"/>
      <c r="H253" s="31"/>
      <c r="I253" s="31"/>
    </row>
    <row r="254" ht="15.75" customHeight="1">
      <c r="A254" s="31"/>
      <c r="B254" s="31"/>
      <c r="C254" s="31"/>
      <c r="D254" s="31"/>
      <c r="E254" s="31"/>
      <c r="F254" s="31"/>
      <c r="G254" s="31"/>
      <c r="H254" s="31"/>
      <c r="I254" s="31"/>
    </row>
    <row r="255" ht="15.75" customHeight="1">
      <c r="A255" s="31"/>
      <c r="B255" s="31"/>
      <c r="C255" s="31"/>
      <c r="D255" s="31"/>
      <c r="E255" s="31"/>
      <c r="F255" s="31"/>
      <c r="G255" s="31"/>
      <c r="H255" s="31"/>
      <c r="I255" s="31"/>
    </row>
    <row r="256" ht="15.75" customHeight="1">
      <c r="A256" s="31"/>
      <c r="B256" s="31"/>
      <c r="C256" s="31"/>
      <c r="D256" s="31"/>
      <c r="E256" s="31"/>
      <c r="F256" s="31"/>
      <c r="G256" s="31"/>
      <c r="H256" s="31"/>
      <c r="I256" s="31"/>
    </row>
    <row r="257" ht="15.75" customHeight="1">
      <c r="A257" s="31"/>
      <c r="B257" s="31"/>
      <c r="C257" s="31"/>
      <c r="D257" s="31"/>
      <c r="E257" s="31"/>
      <c r="F257" s="31"/>
      <c r="G257" s="31"/>
      <c r="H257" s="31"/>
      <c r="I257" s="31"/>
    </row>
    <row r="258" ht="15.75" customHeight="1">
      <c r="A258" s="31"/>
      <c r="B258" s="31"/>
      <c r="C258" s="31"/>
      <c r="D258" s="31"/>
      <c r="E258" s="31"/>
      <c r="F258" s="31"/>
      <c r="G258" s="31"/>
      <c r="H258" s="31"/>
      <c r="I258" s="31"/>
    </row>
    <row r="259" ht="15.75" customHeight="1">
      <c r="A259" s="31"/>
      <c r="B259" s="31"/>
      <c r="C259" s="31"/>
      <c r="D259" s="31"/>
      <c r="E259" s="31"/>
      <c r="F259" s="31"/>
      <c r="G259" s="31"/>
      <c r="H259" s="31"/>
      <c r="I259" s="31"/>
    </row>
    <row r="260" ht="15.75" customHeight="1">
      <c r="A260" s="31"/>
      <c r="B260" s="31"/>
      <c r="C260" s="31"/>
      <c r="D260" s="31"/>
      <c r="E260" s="31"/>
      <c r="F260" s="31"/>
      <c r="G260" s="31"/>
      <c r="H260" s="31"/>
      <c r="I260" s="31"/>
    </row>
    <row r="261" ht="15.75" customHeight="1">
      <c r="A261" s="31"/>
      <c r="B261" s="31"/>
      <c r="C261" s="31"/>
      <c r="D261" s="31"/>
      <c r="E261" s="31"/>
      <c r="F261" s="31"/>
      <c r="G261" s="31"/>
      <c r="H261" s="31"/>
      <c r="I261" s="31"/>
    </row>
    <row r="262" ht="15.75" customHeight="1">
      <c r="A262" s="31"/>
      <c r="B262" s="31"/>
      <c r="C262" s="31"/>
      <c r="D262" s="31"/>
      <c r="E262" s="31"/>
      <c r="F262" s="31"/>
      <c r="G262" s="31"/>
      <c r="H262" s="31"/>
      <c r="I262" s="31"/>
    </row>
    <row r="263" ht="15.75" customHeight="1">
      <c r="A263" s="31"/>
      <c r="B263" s="31"/>
      <c r="C263" s="31"/>
      <c r="D263" s="31"/>
      <c r="E263" s="31"/>
      <c r="F263" s="31"/>
      <c r="G263" s="31"/>
      <c r="H263" s="31"/>
      <c r="I263" s="31"/>
    </row>
    <row r="264" ht="15.75" customHeight="1">
      <c r="A264" s="31"/>
      <c r="B264" s="31"/>
      <c r="C264" s="31"/>
      <c r="D264" s="31"/>
      <c r="E264" s="31"/>
      <c r="F264" s="31"/>
      <c r="G264" s="31"/>
      <c r="H264" s="31"/>
      <c r="I264" s="31"/>
    </row>
    <row r="265" ht="15.75" customHeight="1">
      <c r="A265" s="31"/>
      <c r="B265" s="31"/>
      <c r="C265" s="31"/>
      <c r="D265" s="31"/>
      <c r="E265" s="31"/>
      <c r="F265" s="31"/>
      <c r="G265" s="31"/>
      <c r="H265" s="31"/>
      <c r="I265" s="31"/>
    </row>
    <row r="266" ht="15.75" customHeight="1">
      <c r="A266" s="31"/>
      <c r="B266" s="31"/>
      <c r="C266" s="31"/>
      <c r="D266" s="31"/>
      <c r="E266" s="31"/>
      <c r="F266" s="31"/>
      <c r="G266" s="31"/>
      <c r="H266" s="31"/>
      <c r="I266" s="31"/>
    </row>
    <row r="267" ht="15.75" customHeight="1">
      <c r="A267" s="31"/>
      <c r="B267" s="31"/>
      <c r="C267" s="31"/>
      <c r="D267" s="31"/>
      <c r="E267" s="31"/>
      <c r="F267" s="31"/>
      <c r="G267" s="31"/>
      <c r="H267" s="31"/>
      <c r="I267" s="31"/>
    </row>
    <row r="268" ht="15.75" customHeight="1">
      <c r="A268" s="31"/>
      <c r="B268" s="31"/>
      <c r="C268" s="31"/>
      <c r="D268" s="31"/>
      <c r="E268" s="31"/>
      <c r="F268" s="31"/>
      <c r="G268" s="31"/>
      <c r="H268" s="31"/>
      <c r="I268" s="31"/>
    </row>
    <row r="269" ht="15.75" customHeight="1">
      <c r="A269" s="31"/>
      <c r="B269" s="31"/>
      <c r="C269" s="31"/>
      <c r="D269" s="31"/>
      <c r="E269" s="31"/>
      <c r="F269" s="31"/>
      <c r="G269" s="31"/>
      <c r="H269" s="31"/>
      <c r="I269" s="31"/>
    </row>
    <row r="270" ht="15.75" customHeight="1">
      <c r="A270" s="31"/>
      <c r="B270" s="31"/>
      <c r="C270" s="31"/>
      <c r="D270" s="31"/>
      <c r="E270" s="31"/>
      <c r="F270" s="31"/>
      <c r="G270" s="31"/>
      <c r="H270" s="31"/>
      <c r="I270" s="31"/>
    </row>
    <row r="271" ht="15.75" customHeight="1">
      <c r="A271" s="31"/>
      <c r="B271" s="31"/>
      <c r="C271" s="31"/>
      <c r="D271" s="31"/>
      <c r="E271" s="31"/>
      <c r="F271" s="31"/>
      <c r="G271" s="31"/>
      <c r="H271" s="31"/>
      <c r="I271" s="31"/>
    </row>
    <row r="272" ht="15.75" customHeight="1">
      <c r="A272" s="31"/>
      <c r="B272" s="31"/>
      <c r="C272" s="31"/>
      <c r="D272" s="31"/>
      <c r="E272" s="31"/>
      <c r="F272" s="31"/>
      <c r="G272" s="31"/>
      <c r="H272" s="31"/>
      <c r="I272" s="31"/>
    </row>
    <row r="273" ht="15.75" customHeight="1">
      <c r="A273" s="31"/>
      <c r="B273" s="31"/>
      <c r="C273" s="31"/>
      <c r="D273" s="31"/>
      <c r="E273" s="31"/>
      <c r="F273" s="31"/>
      <c r="G273" s="31"/>
      <c r="H273" s="31"/>
      <c r="I273" s="31"/>
    </row>
    <row r="274" ht="15.75" customHeight="1">
      <c r="A274" s="31"/>
      <c r="B274" s="31"/>
      <c r="C274" s="31"/>
      <c r="D274" s="31"/>
      <c r="E274" s="31"/>
      <c r="F274" s="31"/>
      <c r="G274" s="31"/>
      <c r="H274" s="31"/>
      <c r="I274" s="31"/>
    </row>
    <row r="275" ht="15.75" customHeight="1">
      <c r="A275" s="31"/>
      <c r="B275" s="31"/>
      <c r="C275" s="31"/>
      <c r="D275" s="31"/>
      <c r="E275" s="31"/>
      <c r="F275" s="31"/>
      <c r="G275" s="31"/>
      <c r="H275" s="31"/>
      <c r="I275" s="31"/>
    </row>
    <row r="276" ht="15.75" customHeight="1">
      <c r="A276" s="31"/>
      <c r="B276" s="31"/>
      <c r="C276" s="31"/>
      <c r="D276" s="31"/>
      <c r="E276" s="31"/>
      <c r="F276" s="31"/>
      <c r="G276" s="31"/>
      <c r="H276" s="31"/>
      <c r="I276" s="31"/>
    </row>
    <row r="277" ht="15.75" customHeight="1">
      <c r="A277" s="31"/>
      <c r="B277" s="31"/>
      <c r="C277" s="31"/>
      <c r="D277" s="31"/>
      <c r="E277" s="31"/>
      <c r="F277" s="31"/>
      <c r="G277" s="31"/>
      <c r="H277" s="31"/>
      <c r="I277" s="31"/>
    </row>
    <row r="278" ht="15.75" customHeight="1">
      <c r="A278" s="31"/>
      <c r="B278" s="31"/>
      <c r="C278" s="31"/>
      <c r="D278" s="31"/>
      <c r="E278" s="31"/>
      <c r="F278" s="31"/>
      <c r="G278" s="31"/>
      <c r="H278" s="31"/>
      <c r="I278" s="31"/>
    </row>
    <row r="279" ht="15.75" customHeight="1">
      <c r="A279" s="31"/>
      <c r="B279" s="31"/>
      <c r="C279" s="31"/>
      <c r="D279" s="31"/>
      <c r="E279" s="31"/>
      <c r="F279" s="31"/>
      <c r="G279" s="31"/>
      <c r="H279" s="31"/>
      <c r="I279" s="31"/>
    </row>
    <row r="280" ht="15.75" customHeight="1">
      <c r="A280" s="31"/>
      <c r="B280" s="31"/>
      <c r="C280" s="31"/>
      <c r="D280" s="31"/>
      <c r="E280" s="31"/>
      <c r="F280" s="31"/>
      <c r="G280" s="31"/>
      <c r="H280" s="31"/>
      <c r="I280" s="31"/>
    </row>
    <row r="281" ht="15.75" customHeight="1">
      <c r="A281" s="31"/>
      <c r="B281" s="31"/>
      <c r="C281" s="31"/>
      <c r="D281" s="31"/>
      <c r="E281" s="31"/>
      <c r="F281" s="31"/>
      <c r="G281" s="31"/>
      <c r="H281" s="31"/>
      <c r="I281" s="31"/>
    </row>
    <row r="282" ht="15.75" customHeight="1">
      <c r="A282" s="31"/>
      <c r="B282" s="31"/>
      <c r="C282" s="31"/>
      <c r="D282" s="31"/>
      <c r="E282" s="31"/>
      <c r="F282" s="31"/>
      <c r="G282" s="31"/>
      <c r="H282" s="31"/>
      <c r="I282" s="31"/>
    </row>
    <row r="283" ht="15.75" customHeight="1">
      <c r="A283" s="31"/>
      <c r="B283" s="31"/>
      <c r="C283" s="31"/>
      <c r="D283" s="31"/>
      <c r="E283" s="31"/>
      <c r="F283" s="31"/>
      <c r="G283" s="31"/>
      <c r="H283" s="31"/>
      <c r="I283" s="31"/>
    </row>
    <row r="284" ht="15.75" customHeight="1">
      <c r="A284" s="31"/>
      <c r="B284" s="31"/>
      <c r="C284" s="31"/>
      <c r="D284" s="31"/>
      <c r="E284" s="31"/>
      <c r="F284" s="31"/>
      <c r="G284" s="31"/>
      <c r="H284" s="31"/>
      <c r="I284" s="31"/>
    </row>
    <row r="285" ht="15.75" customHeight="1">
      <c r="A285" s="31"/>
      <c r="B285" s="31"/>
      <c r="C285" s="31"/>
      <c r="D285" s="31"/>
      <c r="E285" s="31"/>
      <c r="F285" s="31"/>
      <c r="G285" s="31"/>
      <c r="H285" s="31"/>
      <c r="I285" s="31"/>
    </row>
    <row r="286" ht="15.75" customHeight="1">
      <c r="A286" s="31"/>
      <c r="B286" s="31"/>
      <c r="C286" s="31"/>
      <c r="D286" s="31"/>
      <c r="E286" s="31"/>
      <c r="F286" s="31"/>
      <c r="G286" s="31"/>
      <c r="H286" s="31"/>
      <c r="I286" s="31"/>
    </row>
    <row r="287" ht="15.75" customHeight="1">
      <c r="A287" s="31"/>
      <c r="B287" s="31"/>
      <c r="C287" s="31"/>
      <c r="D287" s="31"/>
      <c r="E287" s="31"/>
      <c r="F287" s="31"/>
      <c r="G287" s="31"/>
      <c r="H287" s="31"/>
      <c r="I287" s="31"/>
    </row>
    <row r="288" ht="15.75" customHeight="1">
      <c r="A288" s="31"/>
      <c r="B288" s="31"/>
      <c r="C288" s="31"/>
      <c r="D288" s="31"/>
      <c r="E288" s="31"/>
      <c r="F288" s="31"/>
      <c r="G288" s="31"/>
      <c r="H288" s="31"/>
      <c r="I288" s="31"/>
    </row>
    <row r="289" ht="15.75" customHeight="1">
      <c r="A289" s="31"/>
      <c r="B289" s="31"/>
      <c r="C289" s="31"/>
      <c r="D289" s="31"/>
      <c r="E289" s="31"/>
      <c r="F289" s="31"/>
      <c r="G289" s="31"/>
      <c r="H289" s="31"/>
      <c r="I289" s="31"/>
    </row>
    <row r="290" ht="15.75" customHeight="1">
      <c r="A290" s="31"/>
      <c r="B290" s="31"/>
      <c r="C290" s="31"/>
      <c r="D290" s="31"/>
      <c r="E290" s="31"/>
      <c r="F290" s="31"/>
      <c r="G290" s="31"/>
      <c r="H290" s="31"/>
      <c r="I290" s="31"/>
    </row>
    <row r="291" ht="15.75" customHeight="1">
      <c r="A291" s="31"/>
      <c r="B291" s="31"/>
      <c r="C291" s="31"/>
      <c r="D291" s="31"/>
      <c r="E291" s="31"/>
      <c r="F291" s="31"/>
      <c r="G291" s="31"/>
      <c r="H291" s="31"/>
      <c r="I291" s="31"/>
    </row>
    <row r="292" ht="15.75" customHeight="1">
      <c r="A292" s="31"/>
      <c r="B292" s="31"/>
      <c r="C292" s="31"/>
      <c r="D292" s="31"/>
      <c r="E292" s="31"/>
      <c r="F292" s="31"/>
      <c r="G292" s="31"/>
      <c r="H292" s="31"/>
      <c r="I292" s="31"/>
    </row>
    <row r="293" ht="15.75" customHeight="1">
      <c r="A293" s="31"/>
      <c r="B293" s="31"/>
      <c r="C293" s="31"/>
      <c r="D293" s="31"/>
      <c r="E293" s="31"/>
      <c r="F293" s="31"/>
      <c r="G293" s="31"/>
      <c r="H293" s="31"/>
      <c r="I293" s="31"/>
    </row>
    <row r="294" ht="15.75" customHeight="1">
      <c r="A294" s="31"/>
      <c r="B294" s="31"/>
      <c r="C294" s="31"/>
      <c r="D294" s="31"/>
      <c r="E294" s="31"/>
      <c r="F294" s="31"/>
      <c r="G294" s="31"/>
      <c r="H294" s="31"/>
      <c r="I294" s="31"/>
    </row>
    <row r="295" ht="15.75" customHeight="1">
      <c r="A295" s="31"/>
      <c r="B295" s="31"/>
      <c r="C295" s="31"/>
      <c r="D295" s="31"/>
      <c r="E295" s="31"/>
      <c r="F295" s="31"/>
      <c r="G295" s="31"/>
      <c r="H295" s="31"/>
      <c r="I295" s="31"/>
    </row>
    <row r="296" ht="15.75" customHeight="1">
      <c r="A296" s="31"/>
      <c r="B296" s="31"/>
      <c r="C296" s="31"/>
      <c r="D296" s="31"/>
      <c r="E296" s="31"/>
      <c r="F296" s="31"/>
      <c r="G296" s="31"/>
      <c r="H296" s="31"/>
      <c r="I296" s="31"/>
    </row>
    <row r="297" ht="15.75" customHeight="1">
      <c r="A297" s="31"/>
      <c r="B297" s="31"/>
      <c r="C297" s="31"/>
      <c r="D297" s="31"/>
      <c r="E297" s="31"/>
      <c r="F297" s="31"/>
      <c r="G297" s="31"/>
      <c r="H297" s="31"/>
      <c r="I297" s="31"/>
    </row>
    <row r="298" ht="15.75" customHeight="1">
      <c r="A298" s="31"/>
      <c r="B298" s="31"/>
      <c r="C298" s="31"/>
      <c r="D298" s="31"/>
      <c r="E298" s="31"/>
      <c r="F298" s="31"/>
      <c r="G298" s="31"/>
      <c r="H298" s="31"/>
      <c r="I298" s="31"/>
    </row>
    <row r="299" ht="15.75" customHeight="1">
      <c r="A299" s="31"/>
      <c r="B299" s="31"/>
      <c r="C299" s="31"/>
      <c r="D299" s="31"/>
      <c r="E299" s="31"/>
      <c r="F299" s="31"/>
      <c r="G299" s="31"/>
      <c r="H299" s="31"/>
      <c r="I299" s="31"/>
    </row>
    <row r="300" ht="15.75" customHeight="1">
      <c r="A300" s="31"/>
      <c r="B300" s="31"/>
      <c r="C300" s="31"/>
      <c r="D300" s="31"/>
      <c r="E300" s="31"/>
      <c r="F300" s="31"/>
      <c r="G300" s="31"/>
      <c r="H300" s="31"/>
      <c r="I300" s="31"/>
    </row>
    <row r="301" ht="15.75" customHeight="1">
      <c r="A301" s="31"/>
      <c r="B301" s="31"/>
      <c r="C301" s="31"/>
      <c r="D301" s="31"/>
      <c r="E301" s="31"/>
      <c r="F301" s="31"/>
      <c r="G301" s="31"/>
      <c r="H301" s="31"/>
      <c r="I301" s="31"/>
    </row>
    <row r="302" ht="15.75" customHeight="1">
      <c r="A302" s="31"/>
      <c r="B302" s="31"/>
      <c r="C302" s="31"/>
      <c r="D302" s="31"/>
      <c r="E302" s="31"/>
      <c r="F302" s="31"/>
      <c r="G302" s="31"/>
      <c r="H302" s="31"/>
      <c r="I302" s="31"/>
    </row>
    <row r="303" ht="15.75" customHeight="1">
      <c r="A303" s="31"/>
      <c r="B303" s="31"/>
      <c r="C303" s="31"/>
      <c r="D303" s="31"/>
      <c r="E303" s="31"/>
      <c r="F303" s="31"/>
      <c r="G303" s="31"/>
      <c r="H303" s="31"/>
      <c r="I303" s="31"/>
    </row>
    <row r="304" ht="15.75" customHeight="1">
      <c r="A304" s="31"/>
      <c r="B304" s="31"/>
      <c r="C304" s="31"/>
      <c r="D304" s="31"/>
      <c r="E304" s="31"/>
      <c r="F304" s="31"/>
      <c r="G304" s="31"/>
      <c r="H304" s="31"/>
      <c r="I304" s="31"/>
    </row>
    <row r="305" ht="15.75" customHeight="1">
      <c r="A305" s="31"/>
      <c r="B305" s="31"/>
      <c r="C305" s="31"/>
      <c r="D305" s="31"/>
      <c r="E305" s="31"/>
      <c r="F305" s="31"/>
      <c r="G305" s="31"/>
      <c r="H305" s="31"/>
      <c r="I305" s="31"/>
    </row>
    <row r="306" ht="15.75" customHeight="1">
      <c r="A306" s="31"/>
      <c r="B306" s="31"/>
      <c r="C306" s="31"/>
      <c r="D306" s="31"/>
      <c r="E306" s="31"/>
      <c r="F306" s="31"/>
      <c r="G306" s="31"/>
      <c r="H306" s="31"/>
      <c r="I306" s="31"/>
    </row>
    <row r="307" ht="15.75" customHeight="1">
      <c r="A307" s="31"/>
      <c r="B307" s="31"/>
      <c r="C307" s="31"/>
      <c r="D307" s="31"/>
      <c r="E307" s="31"/>
      <c r="F307" s="31"/>
      <c r="G307" s="31"/>
      <c r="H307" s="31"/>
      <c r="I307" s="31"/>
    </row>
    <row r="308" ht="15.75" customHeight="1">
      <c r="A308" s="31"/>
      <c r="B308" s="31"/>
      <c r="C308" s="31"/>
      <c r="D308" s="31"/>
      <c r="E308" s="31"/>
      <c r="F308" s="31"/>
      <c r="G308" s="31"/>
      <c r="H308" s="31"/>
      <c r="I308" s="31"/>
    </row>
    <row r="309" ht="15.75" customHeight="1">
      <c r="A309" s="31"/>
      <c r="B309" s="31"/>
      <c r="C309" s="31"/>
      <c r="D309" s="31"/>
      <c r="E309" s="31"/>
      <c r="F309" s="31"/>
      <c r="G309" s="31"/>
      <c r="H309" s="31"/>
      <c r="I309" s="31"/>
    </row>
    <row r="310" ht="15.75" customHeight="1">
      <c r="A310" s="31"/>
      <c r="B310" s="31"/>
      <c r="C310" s="31"/>
      <c r="D310" s="31"/>
      <c r="E310" s="31"/>
      <c r="F310" s="31"/>
      <c r="G310" s="31"/>
      <c r="H310" s="31"/>
      <c r="I310" s="31"/>
    </row>
    <row r="311" ht="15.75" customHeight="1">
      <c r="A311" s="31"/>
      <c r="B311" s="31"/>
      <c r="C311" s="31"/>
      <c r="D311" s="31"/>
      <c r="E311" s="31"/>
      <c r="F311" s="31"/>
      <c r="G311" s="31"/>
      <c r="H311" s="31"/>
      <c r="I311" s="31"/>
    </row>
    <row r="312" ht="15.75" customHeight="1">
      <c r="A312" s="31"/>
      <c r="B312" s="31"/>
      <c r="C312" s="31"/>
      <c r="D312" s="31"/>
      <c r="E312" s="31"/>
      <c r="F312" s="31"/>
      <c r="G312" s="31"/>
      <c r="H312" s="31"/>
      <c r="I312" s="31"/>
    </row>
    <row r="313" ht="15.75" customHeight="1">
      <c r="A313" s="31"/>
      <c r="B313" s="31"/>
      <c r="C313" s="31"/>
      <c r="D313" s="31"/>
      <c r="E313" s="31"/>
      <c r="F313" s="31"/>
      <c r="G313" s="31"/>
      <c r="H313" s="31"/>
      <c r="I313" s="31"/>
    </row>
    <row r="314" ht="15.75" customHeight="1">
      <c r="A314" s="31"/>
      <c r="B314" s="31"/>
      <c r="C314" s="31"/>
      <c r="D314" s="31"/>
      <c r="E314" s="31"/>
      <c r="F314" s="31"/>
      <c r="G314" s="31"/>
      <c r="H314" s="31"/>
      <c r="I314" s="31"/>
    </row>
    <row r="315" ht="15.75" customHeight="1">
      <c r="A315" s="31"/>
      <c r="B315" s="31"/>
      <c r="C315" s="31"/>
      <c r="D315" s="31"/>
      <c r="E315" s="31"/>
      <c r="F315" s="31"/>
      <c r="G315" s="31"/>
      <c r="H315" s="31"/>
      <c r="I315" s="31"/>
    </row>
    <row r="316" ht="15.75" customHeight="1">
      <c r="A316" s="31"/>
      <c r="B316" s="31"/>
      <c r="C316" s="31"/>
      <c r="D316" s="31"/>
      <c r="E316" s="31"/>
      <c r="F316" s="31"/>
      <c r="G316" s="31"/>
      <c r="H316" s="31"/>
      <c r="I316" s="31"/>
    </row>
    <row r="317" ht="15.75" customHeight="1">
      <c r="A317" s="31"/>
      <c r="B317" s="31"/>
      <c r="C317" s="31"/>
      <c r="D317" s="31"/>
      <c r="E317" s="31"/>
      <c r="F317" s="31"/>
      <c r="G317" s="31"/>
      <c r="H317" s="31"/>
      <c r="I317" s="31"/>
    </row>
    <row r="318" ht="15.75" customHeight="1">
      <c r="A318" s="31"/>
      <c r="B318" s="31"/>
      <c r="C318" s="31"/>
      <c r="D318" s="31"/>
      <c r="E318" s="31"/>
      <c r="F318" s="31"/>
      <c r="G318" s="31"/>
      <c r="H318" s="31"/>
      <c r="I318" s="31"/>
    </row>
    <row r="319" ht="15.75" customHeight="1">
      <c r="A319" s="31"/>
      <c r="B319" s="31"/>
      <c r="C319" s="31"/>
      <c r="D319" s="31"/>
      <c r="E319" s="31"/>
      <c r="F319" s="31"/>
      <c r="G319" s="31"/>
      <c r="H319" s="31"/>
      <c r="I319" s="31"/>
    </row>
    <row r="320" ht="15.75" customHeight="1">
      <c r="A320" s="31"/>
      <c r="B320" s="31"/>
      <c r="C320" s="31"/>
      <c r="D320" s="31"/>
      <c r="E320" s="31"/>
      <c r="F320" s="31"/>
      <c r="G320" s="31"/>
      <c r="H320" s="31"/>
      <c r="I320" s="31"/>
    </row>
    <row r="321" ht="15.75" customHeight="1">
      <c r="A321" s="31"/>
      <c r="B321" s="31"/>
      <c r="C321" s="31"/>
      <c r="D321" s="31"/>
      <c r="E321" s="31"/>
      <c r="F321" s="31"/>
      <c r="G321" s="31"/>
      <c r="H321" s="31"/>
      <c r="I321" s="31"/>
    </row>
    <row r="322" ht="15.75" customHeight="1">
      <c r="A322" s="31"/>
      <c r="B322" s="31"/>
      <c r="C322" s="31"/>
      <c r="D322" s="31"/>
      <c r="E322" s="31"/>
      <c r="F322" s="31"/>
      <c r="G322" s="31"/>
      <c r="H322" s="31"/>
      <c r="I322" s="31"/>
    </row>
    <row r="323" ht="15.75" customHeight="1">
      <c r="A323" s="31"/>
      <c r="B323" s="31"/>
      <c r="C323" s="31"/>
      <c r="D323" s="31"/>
      <c r="E323" s="31"/>
      <c r="F323" s="31"/>
      <c r="G323" s="31"/>
      <c r="H323" s="31"/>
      <c r="I323" s="31"/>
    </row>
    <row r="324" ht="15.75" customHeight="1">
      <c r="A324" s="31"/>
      <c r="B324" s="31"/>
      <c r="C324" s="31"/>
      <c r="D324" s="31"/>
      <c r="E324" s="31"/>
      <c r="F324" s="31"/>
      <c r="G324" s="31"/>
      <c r="H324" s="31"/>
      <c r="I324" s="31"/>
    </row>
    <row r="325" ht="15.75" customHeight="1">
      <c r="A325" s="31"/>
      <c r="B325" s="31"/>
      <c r="C325" s="31"/>
      <c r="D325" s="31"/>
      <c r="E325" s="31"/>
      <c r="F325" s="31"/>
      <c r="G325" s="31"/>
      <c r="H325" s="31"/>
      <c r="I325" s="31"/>
    </row>
    <row r="326" ht="15.75" customHeight="1">
      <c r="A326" s="31"/>
      <c r="B326" s="31"/>
      <c r="C326" s="31"/>
      <c r="D326" s="31"/>
      <c r="E326" s="31"/>
      <c r="F326" s="31"/>
      <c r="G326" s="31"/>
      <c r="H326" s="31"/>
      <c r="I326" s="31"/>
    </row>
    <row r="327" ht="15.75" customHeight="1">
      <c r="A327" s="31"/>
      <c r="B327" s="31"/>
      <c r="C327" s="31"/>
      <c r="D327" s="31"/>
      <c r="E327" s="31"/>
      <c r="F327" s="31"/>
      <c r="G327" s="31"/>
      <c r="H327" s="31"/>
      <c r="I327" s="31"/>
    </row>
    <row r="328" ht="15.75" customHeight="1">
      <c r="A328" s="31"/>
      <c r="B328" s="31"/>
      <c r="C328" s="31"/>
      <c r="D328" s="31"/>
      <c r="E328" s="31"/>
      <c r="F328" s="31"/>
      <c r="G328" s="31"/>
      <c r="H328" s="31"/>
      <c r="I328" s="31"/>
    </row>
    <row r="329" ht="15.75" customHeight="1">
      <c r="A329" s="31"/>
      <c r="B329" s="31"/>
      <c r="C329" s="31"/>
      <c r="D329" s="31"/>
      <c r="E329" s="31"/>
      <c r="F329" s="31"/>
      <c r="G329" s="31"/>
      <c r="H329" s="31"/>
      <c r="I329" s="31"/>
    </row>
    <row r="330" ht="15.75" customHeight="1">
      <c r="A330" s="31"/>
      <c r="B330" s="31"/>
      <c r="C330" s="31"/>
      <c r="D330" s="31"/>
      <c r="E330" s="31"/>
      <c r="F330" s="31"/>
      <c r="G330" s="31"/>
      <c r="H330" s="31"/>
      <c r="I330" s="31"/>
    </row>
    <row r="331" ht="15.75" customHeight="1">
      <c r="A331" s="31"/>
      <c r="B331" s="31"/>
      <c r="C331" s="31"/>
      <c r="D331" s="31"/>
      <c r="E331" s="31"/>
      <c r="F331" s="31"/>
      <c r="G331" s="31"/>
      <c r="H331" s="31"/>
      <c r="I331" s="31"/>
    </row>
    <row r="332" ht="15.75" customHeight="1">
      <c r="A332" s="31"/>
      <c r="B332" s="31"/>
      <c r="C332" s="31"/>
      <c r="D332" s="31"/>
      <c r="E332" s="31"/>
      <c r="F332" s="31"/>
      <c r="G332" s="31"/>
      <c r="H332" s="31"/>
      <c r="I332" s="31"/>
    </row>
    <row r="333" ht="15.75" customHeight="1">
      <c r="A333" s="31"/>
      <c r="B333" s="31"/>
      <c r="C333" s="31"/>
      <c r="D333" s="31"/>
      <c r="E333" s="31"/>
      <c r="F333" s="31"/>
      <c r="G333" s="31"/>
      <c r="H333" s="31"/>
      <c r="I333" s="31"/>
    </row>
    <row r="334" ht="15.75" customHeight="1">
      <c r="A334" s="31"/>
      <c r="B334" s="31"/>
      <c r="C334" s="31"/>
      <c r="D334" s="31"/>
      <c r="E334" s="31"/>
      <c r="F334" s="31"/>
      <c r="G334" s="31"/>
      <c r="H334" s="31"/>
      <c r="I334" s="31"/>
    </row>
    <row r="335" ht="15.75" customHeight="1">
      <c r="A335" s="31"/>
      <c r="B335" s="31"/>
      <c r="C335" s="31"/>
      <c r="D335" s="31"/>
      <c r="E335" s="31"/>
      <c r="F335" s="31"/>
      <c r="G335" s="31"/>
      <c r="H335" s="31"/>
      <c r="I335" s="31"/>
    </row>
    <row r="336" ht="15.75" customHeight="1">
      <c r="A336" s="31"/>
      <c r="B336" s="31"/>
      <c r="C336" s="31"/>
      <c r="D336" s="31"/>
      <c r="E336" s="31"/>
      <c r="F336" s="31"/>
      <c r="G336" s="31"/>
      <c r="H336" s="31"/>
      <c r="I336" s="31"/>
    </row>
    <row r="337" ht="15.75" customHeight="1">
      <c r="A337" s="31"/>
      <c r="B337" s="31"/>
      <c r="C337" s="31"/>
      <c r="D337" s="31"/>
      <c r="E337" s="31"/>
      <c r="F337" s="31"/>
      <c r="G337" s="31"/>
      <c r="H337" s="31"/>
      <c r="I337" s="31"/>
    </row>
    <row r="338" ht="15.75" customHeight="1">
      <c r="A338" s="31"/>
      <c r="B338" s="31"/>
      <c r="C338" s="31"/>
      <c r="D338" s="31"/>
      <c r="E338" s="31"/>
      <c r="F338" s="31"/>
      <c r="G338" s="31"/>
      <c r="H338" s="31"/>
      <c r="I338" s="31"/>
    </row>
    <row r="339" ht="15.75" customHeight="1">
      <c r="A339" s="31"/>
      <c r="B339" s="31"/>
      <c r="C339" s="31"/>
      <c r="D339" s="31"/>
      <c r="E339" s="31"/>
      <c r="F339" s="31"/>
      <c r="G339" s="31"/>
      <c r="H339" s="31"/>
      <c r="I339" s="31"/>
    </row>
    <row r="340" ht="15.75" customHeight="1">
      <c r="A340" s="31"/>
      <c r="B340" s="31"/>
      <c r="C340" s="31"/>
      <c r="D340" s="31"/>
      <c r="E340" s="31"/>
      <c r="F340" s="31"/>
      <c r="G340" s="31"/>
      <c r="H340" s="31"/>
      <c r="I340" s="31"/>
    </row>
    <row r="341" ht="15.75" customHeight="1">
      <c r="A341" s="31"/>
      <c r="B341" s="31"/>
      <c r="C341" s="31"/>
      <c r="D341" s="31"/>
      <c r="E341" s="31"/>
      <c r="F341" s="31"/>
      <c r="G341" s="31"/>
      <c r="H341" s="31"/>
      <c r="I341" s="31"/>
    </row>
    <row r="342" ht="15.75" customHeight="1">
      <c r="A342" s="31"/>
      <c r="B342" s="31"/>
      <c r="C342" s="31"/>
      <c r="D342" s="31"/>
      <c r="E342" s="31"/>
      <c r="F342" s="31"/>
      <c r="G342" s="31"/>
      <c r="H342" s="31"/>
      <c r="I342" s="31"/>
    </row>
    <row r="343" ht="15.75" customHeight="1">
      <c r="A343" s="31"/>
      <c r="B343" s="31"/>
      <c r="C343" s="31"/>
      <c r="D343" s="31"/>
      <c r="E343" s="31"/>
      <c r="F343" s="31"/>
      <c r="G343" s="31"/>
      <c r="H343" s="31"/>
      <c r="I343" s="31"/>
    </row>
    <row r="344" ht="15.75" customHeight="1">
      <c r="A344" s="31"/>
      <c r="B344" s="31"/>
      <c r="C344" s="31"/>
      <c r="D344" s="31"/>
      <c r="E344" s="31"/>
      <c r="F344" s="31"/>
      <c r="G344" s="31"/>
      <c r="H344" s="31"/>
      <c r="I344" s="31"/>
    </row>
    <row r="345" ht="15.75" customHeight="1">
      <c r="A345" s="31"/>
      <c r="B345" s="31"/>
      <c r="C345" s="31"/>
      <c r="D345" s="31"/>
      <c r="E345" s="31"/>
      <c r="F345" s="31"/>
      <c r="G345" s="31"/>
      <c r="H345" s="31"/>
      <c r="I345" s="31"/>
    </row>
    <row r="346" ht="15.75" customHeight="1">
      <c r="A346" s="31"/>
      <c r="B346" s="31"/>
      <c r="C346" s="31"/>
      <c r="D346" s="31"/>
      <c r="E346" s="31"/>
      <c r="F346" s="31"/>
      <c r="G346" s="31"/>
      <c r="H346" s="31"/>
      <c r="I346" s="31"/>
    </row>
    <row r="347" ht="15.75" customHeight="1">
      <c r="A347" s="31"/>
      <c r="B347" s="31"/>
      <c r="C347" s="31"/>
      <c r="D347" s="31"/>
      <c r="E347" s="31"/>
      <c r="F347" s="31"/>
      <c r="G347" s="31"/>
      <c r="H347" s="31"/>
      <c r="I347" s="31"/>
    </row>
    <row r="348" ht="15.75" customHeight="1">
      <c r="A348" s="31"/>
      <c r="B348" s="31"/>
      <c r="C348" s="31"/>
      <c r="D348" s="31"/>
      <c r="E348" s="31"/>
      <c r="F348" s="31"/>
      <c r="G348" s="31"/>
      <c r="H348" s="31"/>
      <c r="I348" s="31"/>
    </row>
    <row r="349" ht="15.75" customHeight="1">
      <c r="A349" s="31"/>
      <c r="B349" s="31"/>
      <c r="C349" s="31"/>
      <c r="D349" s="31"/>
      <c r="E349" s="31"/>
      <c r="F349" s="31"/>
      <c r="G349" s="31"/>
      <c r="H349" s="31"/>
      <c r="I349" s="31"/>
    </row>
    <row r="350" ht="15.75" customHeight="1">
      <c r="A350" s="31"/>
      <c r="B350" s="31"/>
      <c r="C350" s="31"/>
      <c r="D350" s="31"/>
      <c r="E350" s="31"/>
      <c r="F350" s="31"/>
      <c r="G350" s="31"/>
      <c r="H350" s="31"/>
      <c r="I350" s="31"/>
    </row>
    <row r="351" ht="15.75" customHeight="1">
      <c r="A351" s="31"/>
      <c r="B351" s="31"/>
      <c r="C351" s="31"/>
      <c r="D351" s="31"/>
      <c r="E351" s="31"/>
      <c r="F351" s="31"/>
      <c r="G351" s="31"/>
      <c r="H351" s="31"/>
      <c r="I351" s="31"/>
    </row>
    <row r="352" ht="15.75" customHeight="1">
      <c r="A352" s="31"/>
      <c r="B352" s="31"/>
      <c r="C352" s="31"/>
      <c r="D352" s="31"/>
      <c r="E352" s="31"/>
      <c r="F352" s="31"/>
      <c r="G352" s="31"/>
      <c r="H352" s="31"/>
      <c r="I352" s="31"/>
    </row>
    <row r="353" ht="15.75" customHeight="1">
      <c r="A353" s="31"/>
      <c r="B353" s="31"/>
      <c r="C353" s="31"/>
      <c r="D353" s="31"/>
      <c r="E353" s="31"/>
      <c r="F353" s="31"/>
      <c r="G353" s="31"/>
      <c r="H353" s="31"/>
      <c r="I353" s="31"/>
    </row>
    <row r="354" ht="15.75" customHeight="1">
      <c r="A354" s="31"/>
      <c r="B354" s="31"/>
      <c r="C354" s="31"/>
      <c r="D354" s="31"/>
      <c r="E354" s="31"/>
      <c r="F354" s="31"/>
      <c r="G354" s="31"/>
      <c r="H354" s="31"/>
      <c r="I354" s="31"/>
    </row>
    <row r="355" ht="15.75" customHeight="1">
      <c r="A355" s="31"/>
      <c r="B355" s="31"/>
      <c r="C355" s="31"/>
      <c r="D355" s="31"/>
      <c r="E355" s="31"/>
      <c r="F355" s="31"/>
      <c r="G355" s="31"/>
      <c r="H355" s="31"/>
      <c r="I355" s="31"/>
    </row>
    <row r="356" ht="15.75" customHeight="1">
      <c r="A356" s="31"/>
      <c r="B356" s="31"/>
      <c r="C356" s="31"/>
      <c r="D356" s="31"/>
      <c r="E356" s="31"/>
      <c r="F356" s="31"/>
      <c r="G356" s="31"/>
      <c r="H356" s="31"/>
      <c r="I356" s="31"/>
    </row>
    <row r="357" ht="15.75" customHeight="1">
      <c r="A357" s="31"/>
      <c r="B357" s="31"/>
      <c r="C357" s="31"/>
      <c r="D357" s="31"/>
      <c r="E357" s="31"/>
      <c r="F357" s="31"/>
      <c r="G357" s="31"/>
      <c r="H357" s="31"/>
      <c r="I357" s="31"/>
    </row>
    <row r="358" ht="15.75" customHeight="1">
      <c r="A358" s="31"/>
      <c r="B358" s="31"/>
      <c r="C358" s="31"/>
      <c r="D358" s="31"/>
      <c r="E358" s="31"/>
      <c r="F358" s="31"/>
      <c r="G358" s="31"/>
      <c r="H358" s="31"/>
      <c r="I358" s="31"/>
    </row>
    <row r="359" ht="15.75" customHeight="1">
      <c r="A359" s="31"/>
      <c r="B359" s="31"/>
      <c r="C359" s="31"/>
      <c r="D359" s="31"/>
      <c r="E359" s="31"/>
      <c r="F359" s="31"/>
      <c r="G359" s="31"/>
      <c r="H359" s="31"/>
      <c r="I359" s="31"/>
    </row>
    <row r="360" ht="15.75" customHeight="1">
      <c r="A360" s="31"/>
      <c r="B360" s="31"/>
      <c r="C360" s="31"/>
      <c r="D360" s="31"/>
      <c r="E360" s="31"/>
      <c r="F360" s="31"/>
      <c r="G360" s="31"/>
      <c r="H360" s="31"/>
      <c r="I360" s="31"/>
    </row>
    <row r="361" ht="15.75" customHeight="1">
      <c r="A361" s="31"/>
      <c r="B361" s="31"/>
      <c r="C361" s="31"/>
      <c r="D361" s="31"/>
      <c r="E361" s="31"/>
      <c r="F361" s="31"/>
      <c r="G361" s="31"/>
      <c r="H361" s="31"/>
      <c r="I361" s="31"/>
    </row>
    <row r="362" ht="15.75" customHeight="1">
      <c r="A362" s="31"/>
      <c r="B362" s="31"/>
      <c r="C362" s="31"/>
      <c r="D362" s="31"/>
      <c r="E362" s="31"/>
      <c r="F362" s="31"/>
      <c r="G362" s="31"/>
      <c r="H362" s="31"/>
      <c r="I362" s="31"/>
    </row>
    <row r="363" ht="15.75" customHeight="1">
      <c r="A363" s="31"/>
      <c r="B363" s="31"/>
      <c r="C363" s="31"/>
      <c r="D363" s="31"/>
      <c r="E363" s="31"/>
      <c r="F363" s="31"/>
      <c r="G363" s="31"/>
      <c r="H363" s="31"/>
      <c r="I363" s="31"/>
    </row>
    <row r="364" ht="15.75" customHeight="1">
      <c r="A364" s="31"/>
      <c r="B364" s="31"/>
      <c r="C364" s="31"/>
      <c r="D364" s="31"/>
      <c r="E364" s="31"/>
      <c r="F364" s="31"/>
      <c r="G364" s="31"/>
      <c r="H364" s="31"/>
      <c r="I364" s="31"/>
    </row>
    <row r="365" ht="15.75" customHeight="1">
      <c r="A365" s="31"/>
      <c r="B365" s="31"/>
      <c r="C365" s="31"/>
      <c r="D365" s="31"/>
      <c r="E365" s="31"/>
      <c r="F365" s="31"/>
      <c r="G365" s="31"/>
      <c r="H365" s="31"/>
      <c r="I365" s="31"/>
    </row>
    <row r="366" ht="15.75" customHeight="1">
      <c r="A366" s="31"/>
      <c r="B366" s="31"/>
      <c r="C366" s="31"/>
      <c r="D366" s="31"/>
      <c r="E366" s="31"/>
      <c r="F366" s="31"/>
      <c r="G366" s="31"/>
      <c r="H366" s="31"/>
      <c r="I366" s="31"/>
    </row>
    <row r="367" ht="15.75" customHeight="1">
      <c r="A367" s="31"/>
      <c r="B367" s="31"/>
      <c r="C367" s="31"/>
      <c r="D367" s="31"/>
      <c r="E367" s="31"/>
      <c r="F367" s="31"/>
      <c r="G367" s="31"/>
      <c r="H367" s="31"/>
      <c r="I367" s="31"/>
    </row>
    <row r="368" ht="15.75" customHeight="1">
      <c r="A368" s="31"/>
      <c r="B368" s="31"/>
      <c r="C368" s="31"/>
      <c r="D368" s="31"/>
      <c r="E368" s="31"/>
      <c r="F368" s="31"/>
      <c r="G368" s="31"/>
      <c r="H368" s="31"/>
      <c r="I368" s="31"/>
    </row>
    <row r="369" ht="15.75" customHeight="1">
      <c r="A369" s="31"/>
      <c r="B369" s="31"/>
      <c r="C369" s="31"/>
      <c r="D369" s="31"/>
      <c r="E369" s="31"/>
      <c r="F369" s="31"/>
      <c r="G369" s="31"/>
      <c r="H369" s="31"/>
      <c r="I369" s="31"/>
    </row>
    <row r="370" ht="15.75" customHeight="1">
      <c r="A370" s="31"/>
      <c r="B370" s="31"/>
      <c r="C370" s="31"/>
      <c r="D370" s="31"/>
      <c r="E370" s="31"/>
      <c r="F370" s="31"/>
      <c r="G370" s="31"/>
      <c r="H370" s="31"/>
      <c r="I370" s="31"/>
    </row>
    <row r="371" ht="15.75" customHeight="1">
      <c r="A371" s="31"/>
      <c r="B371" s="31"/>
      <c r="C371" s="31"/>
      <c r="D371" s="31"/>
      <c r="E371" s="31"/>
      <c r="F371" s="31"/>
      <c r="G371" s="31"/>
      <c r="H371" s="31"/>
      <c r="I371" s="31"/>
    </row>
    <row r="372" ht="15.75" customHeight="1">
      <c r="A372" s="31"/>
      <c r="B372" s="31"/>
      <c r="C372" s="31"/>
      <c r="D372" s="31"/>
      <c r="E372" s="31"/>
      <c r="F372" s="31"/>
      <c r="G372" s="31"/>
      <c r="H372" s="31"/>
      <c r="I372" s="31"/>
    </row>
    <row r="373" ht="15.75" customHeight="1">
      <c r="A373" s="31"/>
      <c r="B373" s="31"/>
      <c r="C373" s="31"/>
      <c r="D373" s="31"/>
      <c r="E373" s="31"/>
      <c r="F373" s="31"/>
      <c r="G373" s="31"/>
      <c r="H373" s="31"/>
      <c r="I373" s="31"/>
    </row>
    <row r="374" ht="15.75" customHeight="1">
      <c r="A374" s="31"/>
      <c r="B374" s="31"/>
      <c r="C374" s="31"/>
      <c r="D374" s="31"/>
      <c r="E374" s="31"/>
      <c r="F374" s="31"/>
      <c r="G374" s="31"/>
      <c r="H374" s="31"/>
      <c r="I374" s="31"/>
    </row>
    <row r="375" ht="15.75" customHeight="1">
      <c r="A375" s="31"/>
      <c r="B375" s="31"/>
      <c r="C375" s="31"/>
      <c r="D375" s="31"/>
      <c r="E375" s="31"/>
      <c r="F375" s="31"/>
      <c r="G375" s="31"/>
      <c r="H375" s="31"/>
      <c r="I375" s="31"/>
    </row>
    <row r="376" ht="15.75" customHeight="1">
      <c r="A376" s="31"/>
      <c r="B376" s="31"/>
      <c r="C376" s="31"/>
      <c r="D376" s="31"/>
      <c r="E376" s="31"/>
      <c r="F376" s="31"/>
      <c r="G376" s="31"/>
      <c r="H376" s="31"/>
      <c r="I376" s="31"/>
    </row>
    <row r="377" ht="15.75" customHeight="1">
      <c r="A377" s="31"/>
      <c r="B377" s="31"/>
      <c r="C377" s="31"/>
      <c r="D377" s="31"/>
      <c r="E377" s="31"/>
      <c r="F377" s="31"/>
      <c r="G377" s="31"/>
      <c r="H377" s="31"/>
      <c r="I377" s="31"/>
    </row>
    <row r="378" ht="15.75" customHeight="1">
      <c r="A378" s="31"/>
      <c r="B378" s="31"/>
      <c r="C378" s="31"/>
      <c r="D378" s="31"/>
      <c r="E378" s="31"/>
      <c r="F378" s="31"/>
      <c r="G378" s="31"/>
      <c r="H378" s="31"/>
      <c r="I378" s="31"/>
    </row>
    <row r="379" ht="15.75" customHeight="1">
      <c r="A379" s="31"/>
      <c r="B379" s="31"/>
      <c r="C379" s="31"/>
      <c r="D379" s="31"/>
      <c r="E379" s="31"/>
      <c r="F379" s="31"/>
      <c r="G379" s="31"/>
      <c r="H379" s="31"/>
      <c r="I379" s="31"/>
    </row>
    <row r="380" ht="15.75" customHeight="1">
      <c r="A380" s="31"/>
      <c r="B380" s="31"/>
      <c r="C380" s="31"/>
      <c r="D380" s="31"/>
      <c r="E380" s="31"/>
      <c r="F380" s="31"/>
      <c r="G380" s="31"/>
      <c r="H380" s="31"/>
      <c r="I380" s="31"/>
    </row>
    <row r="381" ht="15.75" customHeight="1">
      <c r="A381" s="31"/>
      <c r="B381" s="31"/>
      <c r="C381" s="31"/>
      <c r="D381" s="31"/>
      <c r="E381" s="31"/>
      <c r="F381" s="31"/>
      <c r="G381" s="31"/>
      <c r="H381" s="31"/>
      <c r="I381" s="31"/>
    </row>
    <row r="382" ht="15.75" customHeight="1">
      <c r="A382" s="31"/>
      <c r="B382" s="31"/>
      <c r="C382" s="31"/>
      <c r="D382" s="31"/>
      <c r="E382" s="31"/>
      <c r="F382" s="31"/>
      <c r="G382" s="31"/>
      <c r="H382" s="31"/>
      <c r="I382" s="31"/>
    </row>
    <row r="383" ht="15.75" customHeight="1">
      <c r="A383" s="31"/>
      <c r="B383" s="31"/>
      <c r="C383" s="31"/>
      <c r="D383" s="31"/>
      <c r="E383" s="31"/>
      <c r="F383" s="31"/>
      <c r="G383" s="31"/>
      <c r="H383" s="31"/>
      <c r="I383" s="31"/>
    </row>
    <row r="384" ht="15.75" customHeight="1">
      <c r="A384" s="31"/>
      <c r="B384" s="31"/>
      <c r="C384" s="31"/>
      <c r="D384" s="31"/>
      <c r="E384" s="31"/>
      <c r="F384" s="31"/>
      <c r="G384" s="31"/>
      <c r="H384" s="31"/>
      <c r="I384" s="31"/>
    </row>
    <row r="385" ht="15.75" customHeight="1">
      <c r="A385" s="31"/>
      <c r="B385" s="31"/>
      <c r="C385" s="31"/>
      <c r="D385" s="31"/>
      <c r="E385" s="31"/>
      <c r="F385" s="31"/>
      <c r="G385" s="31"/>
      <c r="H385" s="31"/>
      <c r="I385" s="31"/>
    </row>
    <row r="386" ht="15.75" customHeight="1">
      <c r="A386" s="31"/>
      <c r="B386" s="31"/>
      <c r="C386" s="31"/>
      <c r="D386" s="31"/>
      <c r="E386" s="31"/>
      <c r="F386" s="31"/>
      <c r="G386" s="31"/>
      <c r="H386" s="31"/>
      <c r="I386" s="31"/>
    </row>
    <row r="387" ht="15.75" customHeight="1">
      <c r="A387" s="31"/>
      <c r="B387" s="31"/>
      <c r="C387" s="31"/>
      <c r="D387" s="31"/>
      <c r="E387" s="31"/>
      <c r="F387" s="31"/>
      <c r="G387" s="31"/>
      <c r="H387" s="31"/>
      <c r="I387" s="31"/>
    </row>
    <row r="388" ht="15.75" customHeight="1">
      <c r="A388" s="31"/>
      <c r="B388" s="31"/>
      <c r="C388" s="31"/>
      <c r="D388" s="31"/>
      <c r="E388" s="31"/>
      <c r="F388" s="31"/>
      <c r="G388" s="31"/>
      <c r="H388" s="31"/>
      <c r="I388" s="31"/>
    </row>
    <row r="389" ht="15.75" customHeight="1">
      <c r="A389" s="31"/>
      <c r="B389" s="31"/>
      <c r="C389" s="31"/>
      <c r="D389" s="31"/>
      <c r="E389" s="31"/>
      <c r="F389" s="31"/>
      <c r="G389" s="31"/>
      <c r="H389" s="31"/>
      <c r="I389" s="31"/>
    </row>
    <row r="390" ht="15.75" customHeight="1">
      <c r="A390" s="31"/>
      <c r="B390" s="31"/>
      <c r="C390" s="31"/>
      <c r="D390" s="31"/>
      <c r="E390" s="31"/>
      <c r="F390" s="31"/>
      <c r="G390" s="31"/>
      <c r="H390" s="31"/>
      <c r="I390" s="31"/>
    </row>
    <row r="391" ht="15.75" customHeight="1">
      <c r="A391" s="31"/>
      <c r="B391" s="31"/>
      <c r="C391" s="31"/>
      <c r="D391" s="31"/>
      <c r="E391" s="31"/>
      <c r="F391" s="31"/>
      <c r="G391" s="31"/>
      <c r="H391" s="31"/>
      <c r="I391" s="31"/>
    </row>
    <row r="392" ht="15.75" customHeight="1">
      <c r="A392" s="31"/>
      <c r="B392" s="31"/>
      <c r="C392" s="31"/>
      <c r="D392" s="31"/>
      <c r="E392" s="31"/>
      <c r="F392" s="31"/>
      <c r="G392" s="31"/>
      <c r="H392" s="31"/>
      <c r="I392" s="31"/>
    </row>
    <row r="393" ht="15.75" customHeight="1">
      <c r="A393" s="31"/>
      <c r="B393" s="31"/>
      <c r="C393" s="31"/>
      <c r="D393" s="31"/>
      <c r="E393" s="31"/>
      <c r="F393" s="31"/>
      <c r="G393" s="31"/>
      <c r="H393" s="31"/>
      <c r="I393" s="31"/>
    </row>
    <row r="394" ht="15.75" customHeight="1">
      <c r="A394" s="31"/>
      <c r="B394" s="31"/>
      <c r="C394" s="31"/>
      <c r="D394" s="31"/>
      <c r="E394" s="31"/>
      <c r="F394" s="31"/>
      <c r="G394" s="31"/>
      <c r="H394" s="31"/>
      <c r="I394" s="31"/>
    </row>
    <row r="395" ht="15.75" customHeight="1">
      <c r="A395" s="31"/>
      <c r="B395" s="31"/>
      <c r="C395" s="31"/>
      <c r="D395" s="31"/>
      <c r="E395" s="31"/>
      <c r="F395" s="31"/>
      <c r="G395" s="31"/>
      <c r="H395" s="31"/>
      <c r="I395" s="31"/>
    </row>
    <row r="396" ht="15.75" customHeight="1">
      <c r="A396" s="31"/>
      <c r="B396" s="31"/>
      <c r="C396" s="31"/>
      <c r="D396" s="31"/>
      <c r="E396" s="31"/>
      <c r="F396" s="31"/>
      <c r="G396" s="31"/>
      <c r="H396" s="31"/>
      <c r="I396" s="31"/>
    </row>
    <row r="397" ht="15.75" customHeight="1">
      <c r="A397" s="31"/>
      <c r="B397" s="31"/>
      <c r="C397" s="31"/>
      <c r="D397" s="31"/>
      <c r="E397" s="31"/>
      <c r="F397" s="31"/>
      <c r="G397" s="31"/>
      <c r="H397" s="31"/>
      <c r="I397" s="31"/>
    </row>
    <row r="398" ht="15.75" customHeight="1">
      <c r="A398" s="31"/>
      <c r="B398" s="31"/>
      <c r="C398" s="31"/>
      <c r="D398" s="31"/>
      <c r="E398" s="31"/>
      <c r="F398" s="31"/>
      <c r="G398" s="31"/>
      <c r="H398" s="31"/>
      <c r="I398" s="31"/>
    </row>
    <row r="399" ht="15.75" customHeight="1">
      <c r="A399" s="31"/>
      <c r="B399" s="31"/>
      <c r="C399" s="31"/>
      <c r="D399" s="31"/>
      <c r="E399" s="31"/>
      <c r="F399" s="31"/>
      <c r="G399" s="31"/>
      <c r="H399" s="31"/>
      <c r="I399" s="31"/>
    </row>
    <row r="400" ht="15.75" customHeight="1">
      <c r="A400" s="31"/>
      <c r="B400" s="31"/>
      <c r="C400" s="31"/>
      <c r="D400" s="31"/>
      <c r="E400" s="31"/>
      <c r="F400" s="31"/>
      <c r="G400" s="31"/>
      <c r="H400" s="31"/>
      <c r="I400" s="31"/>
    </row>
    <row r="401" ht="15.75" customHeight="1">
      <c r="A401" s="31"/>
      <c r="B401" s="31"/>
      <c r="C401" s="31"/>
      <c r="D401" s="31"/>
      <c r="E401" s="31"/>
      <c r="F401" s="31"/>
      <c r="G401" s="31"/>
      <c r="H401" s="31"/>
      <c r="I401" s="31"/>
    </row>
    <row r="402" ht="15.75" customHeight="1">
      <c r="A402" s="31"/>
      <c r="B402" s="31"/>
      <c r="C402" s="31"/>
      <c r="D402" s="31"/>
      <c r="E402" s="31"/>
      <c r="F402" s="31"/>
      <c r="G402" s="31"/>
      <c r="H402" s="31"/>
      <c r="I402" s="31"/>
    </row>
    <row r="403" ht="15.75" customHeight="1">
      <c r="A403" s="31"/>
      <c r="B403" s="31"/>
      <c r="C403" s="31"/>
      <c r="D403" s="31"/>
      <c r="E403" s="31"/>
      <c r="F403" s="31"/>
      <c r="G403" s="31"/>
      <c r="H403" s="31"/>
      <c r="I403" s="31"/>
    </row>
    <row r="404" ht="15.75" customHeight="1">
      <c r="A404" s="31"/>
      <c r="B404" s="31"/>
      <c r="C404" s="31"/>
      <c r="D404" s="31"/>
      <c r="E404" s="31"/>
      <c r="F404" s="31"/>
      <c r="G404" s="31"/>
      <c r="H404" s="31"/>
      <c r="I404" s="31"/>
    </row>
    <row r="405" ht="15.75" customHeight="1">
      <c r="A405" s="31"/>
      <c r="B405" s="31"/>
      <c r="C405" s="31"/>
      <c r="D405" s="31"/>
      <c r="E405" s="31"/>
      <c r="F405" s="31"/>
      <c r="G405" s="31"/>
      <c r="H405" s="31"/>
      <c r="I405" s="31"/>
    </row>
    <row r="406" ht="15.75" customHeight="1">
      <c r="A406" s="31"/>
      <c r="B406" s="31"/>
      <c r="C406" s="31"/>
      <c r="D406" s="31"/>
      <c r="E406" s="31"/>
      <c r="F406" s="31"/>
      <c r="G406" s="31"/>
      <c r="H406" s="31"/>
      <c r="I406" s="31"/>
    </row>
    <row r="407" ht="15.75" customHeight="1">
      <c r="A407" s="31"/>
      <c r="B407" s="31"/>
      <c r="C407" s="31"/>
      <c r="D407" s="31"/>
      <c r="E407" s="31"/>
      <c r="F407" s="31"/>
      <c r="G407" s="31"/>
      <c r="H407" s="31"/>
      <c r="I407" s="31"/>
    </row>
    <row r="408" ht="15.75" customHeight="1">
      <c r="A408" s="31"/>
      <c r="B408" s="31"/>
      <c r="C408" s="31"/>
      <c r="D408" s="31"/>
      <c r="E408" s="31"/>
      <c r="F408" s="31"/>
      <c r="G408" s="31"/>
      <c r="H408" s="31"/>
      <c r="I408" s="31"/>
    </row>
    <row r="409" ht="15.75" customHeight="1">
      <c r="A409" s="31"/>
      <c r="B409" s="31"/>
      <c r="C409" s="31"/>
      <c r="D409" s="31"/>
      <c r="E409" s="31"/>
      <c r="F409" s="31"/>
      <c r="G409" s="31"/>
      <c r="H409" s="31"/>
      <c r="I409" s="31"/>
    </row>
    <row r="410" ht="15.75" customHeight="1">
      <c r="A410" s="31"/>
      <c r="B410" s="31"/>
      <c r="C410" s="31"/>
      <c r="D410" s="31"/>
      <c r="E410" s="31"/>
      <c r="F410" s="31"/>
      <c r="G410" s="31"/>
      <c r="H410" s="31"/>
      <c r="I410" s="31"/>
    </row>
    <row r="411" ht="15.75" customHeight="1">
      <c r="A411" s="31"/>
      <c r="B411" s="31"/>
      <c r="C411" s="31"/>
      <c r="D411" s="31"/>
      <c r="E411" s="31"/>
      <c r="F411" s="31"/>
      <c r="G411" s="31"/>
      <c r="H411" s="31"/>
      <c r="I411" s="31"/>
    </row>
    <row r="412" ht="15.75" customHeight="1">
      <c r="A412" s="31"/>
      <c r="B412" s="31"/>
      <c r="C412" s="31"/>
      <c r="D412" s="31"/>
      <c r="E412" s="31"/>
      <c r="F412" s="31"/>
      <c r="G412" s="31"/>
      <c r="H412" s="31"/>
      <c r="I412" s="31"/>
    </row>
    <row r="413" ht="15.75" customHeight="1">
      <c r="A413" s="31"/>
      <c r="B413" s="31"/>
      <c r="C413" s="31"/>
      <c r="D413" s="31"/>
      <c r="E413" s="31"/>
      <c r="F413" s="31"/>
      <c r="G413" s="31"/>
      <c r="H413" s="31"/>
      <c r="I413" s="31"/>
    </row>
    <row r="414" ht="15.75" customHeight="1">
      <c r="A414" s="31"/>
      <c r="B414" s="31"/>
      <c r="C414" s="31"/>
      <c r="D414" s="31"/>
      <c r="E414" s="31"/>
      <c r="F414" s="31"/>
      <c r="G414" s="31"/>
      <c r="H414" s="31"/>
      <c r="I414" s="31"/>
    </row>
    <row r="415" ht="15.75" customHeight="1">
      <c r="A415" s="31"/>
      <c r="B415" s="31"/>
      <c r="C415" s="31"/>
      <c r="D415" s="31"/>
      <c r="E415" s="31"/>
      <c r="F415" s="31"/>
      <c r="G415" s="31"/>
      <c r="H415" s="31"/>
      <c r="I415" s="31"/>
    </row>
    <row r="416" ht="15.75" customHeight="1">
      <c r="A416" s="31"/>
      <c r="B416" s="31"/>
      <c r="C416" s="31"/>
      <c r="D416" s="31"/>
      <c r="E416" s="31"/>
      <c r="F416" s="31"/>
      <c r="G416" s="31"/>
      <c r="H416" s="31"/>
      <c r="I416" s="31"/>
    </row>
    <row r="417" ht="15.75" customHeight="1">
      <c r="A417" s="31"/>
      <c r="B417" s="31"/>
      <c r="C417" s="31"/>
      <c r="D417" s="31"/>
      <c r="E417" s="31"/>
      <c r="F417" s="31"/>
      <c r="G417" s="31"/>
      <c r="H417" s="31"/>
      <c r="I417" s="31"/>
    </row>
    <row r="418" ht="15.75" customHeight="1">
      <c r="A418" s="31"/>
      <c r="B418" s="31"/>
      <c r="C418" s="31"/>
      <c r="D418" s="31"/>
      <c r="E418" s="31"/>
      <c r="F418" s="31"/>
      <c r="G418" s="31"/>
      <c r="H418" s="31"/>
      <c r="I418" s="31"/>
    </row>
    <row r="419" ht="15.75" customHeight="1">
      <c r="A419" s="31"/>
      <c r="B419" s="31"/>
      <c r="C419" s="31"/>
      <c r="D419" s="31"/>
      <c r="E419" s="31"/>
      <c r="F419" s="31"/>
      <c r="G419" s="31"/>
      <c r="H419" s="31"/>
      <c r="I419" s="31"/>
    </row>
    <row r="420" ht="15.75" customHeight="1">
      <c r="A420" s="31"/>
      <c r="B420" s="31"/>
      <c r="C420" s="31"/>
      <c r="D420" s="31"/>
      <c r="E420" s="31"/>
      <c r="F420" s="31"/>
      <c r="G420" s="31"/>
      <c r="H420" s="31"/>
      <c r="I420" s="31"/>
    </row>
    <row r="421" ht="15.75" customHeight="1">
      <c r="A421" s="31"/>
      <c r="B421" s="31"/>
      <c r="C421" s="31"/>
      <c r="D421" s="31"/>
      <c r="E421" s="31"/>
      <c r="F421" s="31"/>
      <c r="G421" s="31"/>
      <c r="H421" s="31"/>
      <c r="I421" s="31"/>
    </row>
    <row r="422" ht="15.75" customHeight="1">
      <c r="A422" s="31"/>
      <c r="B422" s="31"/>
      <c r="C422" s="31"/>
      <c r="D422" s="31"/>
      <c r="E422" s="31"/>
      <c r="F422" s="31"/>
      <c r="G422" s="31"/>
      <c r="H422" s="31"/>
      <c r="I422" s="31"/>
    </row>
    <row r="423" ht="15.75" customHeight="1">
      <c r="A423" s="31"/>
      <c r="B423" s="31"/>
      <c r="C423" s="31"/>
      <c r="D423" s="31"/>
      <c r="E423" s="31"/>
      <c r="F423" s="31"/>
      <c r="G423" s="31"/>
      <c r="H423" s="31"/>
      <c r="I423" s="31"/>
    </row>
    <row r="424" ht="15.75" customHeight="1">
      <c r="A424" s="31"/>
      <c r="B424" s="31"/>
      <c r="C424" s="31"/>
      <c r="D424" s="31"/>
      <c r="E424" s="31"/>
      <c r="F424" s="31"/>
      <c r="G424" s="31"/>
      <c r="H424" s="31"/>
      <c r="I424" s="31"/>
    </row>
    <row r="425" ht="15.75" customHeight="1">
      <c r="A425" s="31"/>
      <c r="B425" s="31"/>
      <c r="C425" s="31"/>
      <c r="D425" s="31"/>
      <c r="E425" s="31"/>
      <c r="F425" s="31"/>
      <c r="G425" s="31"/>
      <c r="H425" s="31"/>
      <c r="I425" s="31"/>
    </row>
    <row r="426" ht="15.75" customHeight="1">
      <c r="A426" s="31"/>
      <c r="B426" s="31"/>
      <c r="C426" s="31"/>
      <c r="D426" s="31"/>
      <c r="E426" s="31"/>
      <c r="F426" s="31"/>
      <c r="G426" s="31"/>
      <c r="H426" s="31"/>
      <c r="I426" s="31"/>
    </row>
    <row r="427" ht="15.75" customHeight="1">
      <c r="A427" s="31"/>
      <c r="B427" s="31"/>
      <c r="C427" s="31"/>
      <c r="D427" s="31"/>
      <c r="E427" s="31"/>
      <c r="F427" s="31"/>
      <c r="G427" s="31"/>
      <c r="H427" s="31"/>
      <c r="I427" s="31"/>
    </row>
    <row r="428" ht="15.75" customHeight="1">
      <c r="A428" s="31"/>
      <c r="B428" s="31"/>
      <c r="C428" s="31"/>
      <c r="D428" s="31"/>
      <c r="E428" s="31"/>
      <c r="F428" s="31"/>
      <c r="G428" s="31"/>
      <c r="H428" s="31"/>
      <c r="I428" s="31"/>
    </row>
    <row r="429" ht="15.75" customHeight="1">
      <c r="A429" s="31"/>
      <c r="B429" s="31"/>
      <c r="C429" s="31"/>
      <c r="D429" s="31"/>
      <c r="E429" s="31"/>
      <c r="F429" s="31"/>
      <c r="G429" s="31"/>
      <c r="H429" s="31"/>
      <c r="I429" s="31"/>
    </row>
    <row r="430" ht="15.75" customHeight="1">
      <c r="A430" s="31"/>
      <c r="B430" s="31"/>
      <c r="C430" s="31"/>
      <c r="D430" s="31"/>
      <c r="E430" s="31"/>
      <c r="F430" s="31"/>
      <c r="G430" s="31"/>
      <c r="H430" s="31"/>
      <c r="I430" s="31"/>
    </row>
    <row r="431" ht="15.75" customHeight="1">
      <c r="A431" s="31"/>
      <c r="B431" s="31"/>
      <c r="C431" s="31"/>
      <c r="D431" s="31"/>
      <c r="E431" s="31"/>
      <c r="F431" s="31"/>
      <c r="G431" s="31"/>
      <c r="H431" s="31"/>
      <c r="I431" s="31"/>
    </row>
    <row r="432" ht="15.75" customHeight="1">
      <c r="A432" s="31"/>
      <c r="B432" s="31"/>
      <c r="C432" s="31"/>
      <c r="D432" s="31"/>
      <c r="E432" s="31"/>
      <c r="F432" s="31"/>
      <c r="G432" s="31"/>
      <c r="H432" s="31"/>
      <c r="I432" s="31"/>
    </row>
    <row r="433" ht="15.75" customHeight="1">
      <c r="A433" s="31"/>
      <c r="B433" s="31"/>
      <c r="C433" s="31"/>
      <c r="D433" s="31"/>
      <c r="E433" s="31"/>
      <c r="F433" s="31"/>
      <c r="G433" s="31"/>
      <c r="H433" s="31"/>
      <c r="I433" s="31"/>
    </row>
    <row r="434" ht="15.75" customHeight="1">
      <c r="A434" s="31"/>
      <c r="B434" s="31"/>
      <c r="C434" s="31"/>
      <c r="D434" s="31"/>
      <c r="E434" s="31"/>
      <c r="F434" s="31"/>
      <c r="G434" s="31"/>
      <c r="H434" s="31"/>
      <c r="I434" s="31"/>
    </row>
    <row r="435" ht="15.75" customHeight="1">
      <c r="A435" s="31"/>
      <c r="B435" s="31"/>
      <c r="C435" s="31"/>
      <c r="D435" s="31"/>
      <c r="E435" s="31"/>
      <c r="F435" s="31"/>
      <c r="G435" s="31"/>
      <c r="H435" s="31"/>
      <c r="I435" s="31"/>
    </row>
    <row r="436" ht="15.75" customHeight="1">
      <c r="A436" s="31"/>
      <c r="B436" s="31"/>
      <c r="C436" s="31"/>
      <c r="D436" s="31"/>
      <c r="E436" s="31"/>
      <c r="F436" s="31"/>
      <c r="G436" s="31"/>
      <c r="H436" s="31"/>
      <c r="I436" s="31"/>
    </row>
    <row r="437" ht="15.75" customHeight="1">
      <c r="A437" s="31"/>
      <c r="B437" s="31"/>
      <c r="C437" s="31"/>
      <c r="D437" s="31"/>
      <c r="E437" s="31"/>
      <c r="F437" s="31"/>
      <c r="G437" s="31"/>
      <c r="H437" s="31"/>
      <c r="I437" s="31"/>
    </row>
    <row r="438" ht="15.75" customHeight="1">
      <c r="A438" s="31"/>
      <c r="B438" s="31"/>
      <c r="C438" s="31"/>
      <c r="D438" s="31"/>
      <c r="E438" s="31"/>
      <c r="F438" s="31"/>
      <c r="G438" s="31"/>
      <c r="H438" s="31"/>
      <c r="I438" s="31"/>
    </row>
    <row r="439" ht="15.75" customHeight="1">
      <c r="A439" s="31"/>
      <c r="B439" s="31"/>
      <c r="C439" s="31"/>
      <c r="D439" s="31"/>
      <c r="E439" s="31"/>
      <c r="F439" s="31"/>
      <c r="G439" s="31"/>
      <c r="H439" s="31"/>
      <c r="I439" s="31"/>
    </row>
    <row r="440" ht="15.75" customHeight="1">
      <c r="A440" s="31"/>
      <c r="B440" s="31"/>
      <c r="C440" s="31"/>
      <c r="D440" s="31"/>
      <c r="E440" s="31"/>
      <c r="F440" s="31"/>
      <c r="G440" s="31"/>
      <c r="H440" s="31"/>
      <c r="I440" s="31"/>
    </row>
    <row r="441" ht="15.75" customHeight="1">
      <c r="A441" s="31"/>
      <c r="B441" s="31"/>
      <c r="C441" s="31"/>
      <c r="D441" s="31"/>
      <c r="E441" s="31"/>
      <c r="F441" s="31"/>
      <c r="G441" s="31"/>
      <c r="H441" s="31"/>
      <c r="I441" s="31"/>
    </row>
    <row r="442" ht="15.75" customHeight="1">
      <c r="A442" s="31"/>
      <c r="B442" s="31"/>
      <c r="C442" s="31"/>
      <c r="D442" s="31"/>
      <c r="E442" s="31"/>
      <c r="F442" s="31"/>
      <c r="G442" s="31"/>
      <c r="H442" s="31"/>
      <c r="I442" s="31"/>
    </row>
    <row r="443" ht="15.75" customHeight="1">
      <c r="A443" s="31"/>
      <c r="B443" s="31"/>
      <c r="C443" s="31"/>
      <c r="D443" s="31"/>
      <c r="E443" s="31"/>
      <c r="F443" s="31"/>
      <c r="G443" s="31"/>
      <c r="H443" s="31"/>
      <c r="I443" s="31"/>
    </row>
    <row r="444" ht="15.75" customHeight="1">
      <c r="A444" s="31"/>
      <c r="B444" s="31"/>
      <c r="C444" s="31"/>
      <c r="D444" s="31"/>
      <c r="E444" s="31"/>
      <c r="F444" s="31"/>
      <c r="G444" s="31"/>
      <c r="H444" s="31"/>
      <c r="I444" s="31"/>
    </row>
    <row r="445" ht="15.75" customHeight="1">
      <c r="A445" s="31"/>
      <c r="B445" s="31"/>
      <c r="C445" s="31"/>
      <c r="D445" s="31"/>
      <c r="E445" s="31"/>
      <c r="F445" s="31"/>
      <c r="G445" s="31"/>
      <c r="H445" s="31"/>
      <c r="I445" s="31"/>
    </row>
    <row r="446" ht="15.75" customHeight="1">
      <c r="A446" s="31"/>
      <c r="B446" s="31"/>
      <c r="C446" s="31"/>
      <c r="D446" s="31"/>
      <c r="E446" s="31"/>
      <c r="F446" s="31"/>
      <c r="G446" s="31"/>
      <c r="H446" s="31"/>
      <c r="I446" s="31"/>
    </row>
    <row r="447" ht="15.75" customHeight="1">
      <c r="A447" s="31"/>
      <c r="B447" s="31"/>
      <c r="C447" s="31"/>
      <c r="D447" s="31"/>
      <c r="E447" s="31"/>
      <c r="F447" s="31"/>
      <c r="G447" s="31"/>
      <c r="H447" s="31"/>
      <c r="I447" s="31"/>
    </row>
    <row r="448" ht="15.75" customHeight="1">
      <c r="A448" s="31"/>
      <c r="B448" s="31"/>
      <c r="C448" s="31"/>
      <c r="D448" s="31"/>
      <c r="E448" s="31"/>
      <c r="F448" s="31"/>
      <c r="G448" s="31"/>
      <c r="H448" s="31"/>
      <c r="I448" s="31"/>
    </row>
    <row r="449" ht="15.75" customHeight="1">
      <c r="A449" s="31"/>
      <c r="B449" s="31"/>
      <c r="C449" s="31"/>
      <c r="D449" s="31"/>
      <c r="E449" s="31"/>
      <c r="F449" s="31"/>
      <c r="G449" s="31"/>
      <c r="H449" s="31"/>
      <c r="I449" s="31"/>
    </row>
    <row r="450" ht="15.75" customHeight="1">
      <c r="A450" s="31"/>
      <c r="B450" s="31"/>
      <c r="C450" s="31"/>
      <c r="D450" s="31"/>
      <c r="E450" s="31"/>
      <c r="F450" s="31"/>
      <c r="G450" s="31"/>
      <c r="H450" s="31"/>
      <c r="I450" s="31"/>
    </row>
    <row r="451" ht="15.75" customHeight="1">
      <c r="A451" s="31"/>
      <c r="B451" s="31"/>
      <c r="C451" s="31"/>
      <c r="D451" s="31"/>
      <c r="E451" s="31"/>
      <c r="F451" s="31"/>
      <c r="G451" s="31"/>
      <c r="H451" s="31"/>
      <c r="I451" s="31"/>
    </row>
    <row r="452" ht="15.75" customHeight="1">
      <c r="A452" s="31"/>
      <c r="B452" s="31"/>
      <c r="C452" s="31"/>
      <c r="D452" s="31"/>
      <c r="E452" s="31"/>
      <c r="F452" s="31"/>
      <c r="G452" s="31"/>
      <c r="H452" s="31"/>
      <c r="I452" s="31"/>
    </row>
    <row r="453" ht="15.75" customHeight="1">
      <c r="A453" s="31"/>
      <c r="B453" s="31"/>
      <c r="C453" s="31"/>
      <c r="D453" s="31"/>
      <c r="E453" s="31"/>
      <c r="F453" s="31"/>
      <c r="G453" s="31"/>
      <c r="H453" s="31"/>
      <c r="I453" s="31"/>
    </row>
    <row r="454" ht="15.75" customHeight="1">
      <c r="A454" s="31"/>
      <c r="B454" s="31"/>
      <c r="C454" s="31"/>
      <c r="D454" s="31"/>
      <c r="E454" s="31"/>
      <c r="F454" s="31"/>
      <c r="G454" s="31"/>
      <c r="H454" s="31"/>
      <c r="I454" s="31"/>
    </row>
    <row r="455" ht="15.75" customHeight="1">
      <c r="A455" s="31"/>
      <c r="B455" s="31"/>
      <c r="C455" s="31"/>
      <c r="D455" s="31"/>
      <c r="E455" s="31"/>
      <c r="F455" s="31"/>
      <c r="G455" s="31"/>
      <c r="H455" s="31"/>
      <c r="I455" s="31"/>
    </row>
    <row r="456" ht="15.75" customHeight="1">
      <c r="A456" s="31"/>
      <c r="B456" s="31"/>
      <c r="C456" s="31"/>
      <c r="D456" s="31"/>
      <c r="E456" s="31"/>
      <c r="F456" s="31"/>
      <c r="G456" s="31"/>
      <c r="H456" s="31"/>
      <c r="I456" s="31"/>
    </row>
    <row r="457" ht="15.75" customHeight="1">
      <c r="A457" s="31"/>
      <c r="B457" s="31"/>
      <c r="C457" s="31"/>
      <c r="D457" s="31"/>
      <c r="E457" s="31"/>
      <c r="F457" s="31"/>
      <c r="G457" s="31"/>
      <c r="H457" s="31"/>
      <c r="I457" s="31"/>
    </row>
    <row r="458" ht="15.75" customHeight="1">
      <c r="A458" s="31"/>
      <c r="B458" s="31"/>
      <c r="C458" s="31"/>
      <c r="D458" s="31"/>
      <c r="E458" s="31"/>
      <c r="F458" s="31"/>
      <c r="G458" s="31"/>
      <c r="H458" s="31"/>
      <c r="I458" s="31"/>
    </row>
    <row r="459" ht="15.75" customHeight="1">
      <c r="A459" s="31"/>
      <c r="B459" s="31"/>
      <c r="C459" s="31"/>
      <c r="D459" s="31"/>
      <c r="E459" s="31"/>
      <c r="F459" s="31"/>
      <c r="G459" s="31"/>
      <c r="H459" s="31"/>
      <c r="I459" s="31"/>
    </row>
    <row r="460" ht="15.75" customHeight="1">
      <c r="A460" s="31"/>
      <c r="B460" s="31"/>
      <c r="C460" s="31"/>
      <c r="D460" s="31"/>
      <c r="E460" s="31"/>
      <c r="F460" s="31"/>
      <c r="G460" s="31"/>
      <c r="H460" s="31"/>
      <c r="I460" s="31"/>
    </row>
    <row r="461" ht="15.75" customHeight="1">
      <c r="A461" s="31"/>
      <c r="B461" s="31"/>
      <c r="C461" s="31"/>
      <c r="D461" s="31"/>
      <c r="E461" s="31"/>
      <c r="F461" s="31"/>
      <c r="G461" s="31"/>
      <c r="H461" s="31"/>
      <c r="I461" s="31"/>
    </row>
    <row r="462" ht="15.75" customHeight="1">
      <c r="A462" s="31"/>
      <c r="B462" s="31"/>
      <c r="C462" s="31"/>
      <c r="D462" s="31"/>
      <c r="E462" s="31"/>
      <c r="F462" s="31"/>
      <c r="G462" s="31"/>
      <c r="H462" s="31"/>
      <c r="I462" s="31"/>
    </row>
    <row r="463" ht="15.75" customHeight="1">
      <c r="A463" s="31"/>
      <c r="B463" s="31"/>
      <c r="C463" s="31"/>
      <c r="D463" s="31"/>
      <c r="E463" s="31"/>
      <c r="F463" s="31"/>
      <c r="G463" s="31"/>
      <c r="H463" s="31"/>
      <c r="I463" s="31"/>
    </row>
    <row r="464" ht="15.75" customHeight="1">
      <c r="A464" s="31"/>
      <c r="B464" s="31"/>
      <c r="C464" s="31"/>
      <c r="D464" s="31"/>
      <c r="E464" s="31"/>
      <c r="F464" s="31"/>
      <c r="G464" s="31"/>
      <c r="H464" s="31"/>
      <c r="I464" s="31"/>
    </row>
    <row r="465" ht="15.75" customHeight="1">
      <c r="A465" s="31"/>
      <c r="B465" s="31"/>
      <c r="C465" s="31"/>
      <c r="D465" s="31"/>
      <c r="E465" s="31"/>
      <c r="F465" s="31"/>
      <c r="G465" s="31"/>
      <c r="H465" s="31"/>
      <c r="I465" s="31"/>
    </row>
    <row r="466" ht="15.75" customHeight="1">
      <c r="A466" s="31"/>
      <c r="B466" s="31"/>
      <c r="C466" s="31"/>
      <c r="D466" s="31"/>
      <c r="E466" s="31"/>
      <c r="F466" s="31"/>
      <c r="G466" s="31"/>
      <c r="H466" s="31"/>
      <c r="I466" s="31"/>
    </row>
    <row r="467" ht="15.75" customHeight="1">
      <c r="A467" s="31"/>
      <c r="B467" s="31"/>
      <c r="C467" s="31"/>
      <c r="D467" s="31"/>
      <c r="E467" s="31"/>
      <c r="F467" s="31"/>
      <c r="G467" s="31"/>
      <c r="H467" s="31"/>
      <c r="I467" s="31"/>
    </row>
    <row r="468" ht="15.75" customHeight="1">
      <c r="A468" s="31"/>
      <c r="B468" s="31"/>
      <c r="C468" s="31"/>
      <c r="D468" s="31"/>
      <c r="E468" s="31"/>
      <c r="F468" s="31"/>
      <c r="G468" s="31"/>
      <c r="H468" s="31"/>
      <c r="I468" s="31"/>
    </row>
    <row r="469" ht="15.75" customHeight="1">
      <c r="A469" s="31"/>
      <c r="B469" s="31"/>
      <c r="C469" s="31"/>
      <c r="D469" s="31"/>
      <c r="E469" s="31"/>
      <c r="F469" s="31"/>
      <c r="G469" s="31"/>
      <c r="H469" s="31"/>
      <c r="I469" s="31"/>
    </row>
    <row r="470" ht="15.75" customHeight="1">
      <c r="A470" s="31"/>
      <c r="B470" s="31"/>
      <c r="C470" s="31"/>
      <c r="D470" s="31"/>
      <c r="E470" s="31"/>
      <c r="F470" s="31"/>
      <c r="G470" s="31"/>
      <c r="H470" s="31"/>
      <c r="I470" s="31"/>
    </row>
    <row r="471" ht="15.75" customHeight="1">
      <c r="A471" s="31"/>
      <c r="B471" s="31"/>
      <c r="C471" s="31"/>
      <c r="D471" s="31"/>
      <c r="E471" s="31"/>
      <c r="F471" s="31"/>
      <c r="G471" s="31"/>
      <c r="H471" s="31"/>
      <c r="I471" s="31"/>
    </row>
    <row r="472" ht="15.75" customHeight="1">
      <c r="A472" s="31"/>
      <c r="B472" s="31"/>
      <c r="C472" s="31"/>
      <c r="D472" s="31"/>
      <c r="E472" s="31"/>
      <c r="F472" s="31"/>
      <c r="G472" s="31"/>
      <c r="H472" s="31"/>
      <c r="I472" s="31"/>
    </row>
    <row r="473" ht="15.75" customHeight="1">
      <c r="A473" s="31"/>
      <c r="B473" s="31"/>
      <c r="C473" s="31"/>
      <c r="D473" s="31"/>
      <c r="E473" s="31"/>
      <c r="F473" s="31"/>
      <c r="G473" s="31"/>
      <c r="H473" s="31"/>
      <c r="I473" s="31"/>
    </row>
    <row r="474" ht="15.75" customHeight="1">
      <c r="A474" s="31"/>
      <c r="B474" s="31"/>
      <c r="C474" s="31"/>
      <c r="D474" s="31"/>
      <c r="E474" s="31"/>
      <c r="F474" s="31"/>
      <c r="G474" s="31"/>
      <c r="H474" s="31"/>
      <c r="I474" s="31"/>
    </row>
    <row r="475" ht="15.75" customHeight="1">
      <c r="A475" s="31"/>
      <c r="B475" s="31"/>
      <c r="C475" s="31"/>
      <c r="D475" s="31"/>
      <c r="E475" s="31"/>
      <c r="F475" s="31"/>
      <c r="G475" s="31"/>
      <c r="H475" s="31"/>
      <c r="I475" s="31"/>
    </row>
    <row r="476" ht="15.75" customHeight="1">
      <c r="A476" s="31"/>
      <c r="B476" s="31"/>
      <c r="C476" s="31"/>
      <c r="D476" s="31"/>
      <c r="E476" s="31"/>
      <c r="F476" s="31"/>
      <c r="G476" s="31"/>
      <c r="H476" s="31"/>
      <c r="I476" s="31"/>
    </row>
    <row r="477" ht="15.75" customHeight="1">
      <c r="A477" s="31"/>
      <c r="B477" s="31"/>
      <c r="C477" s="31"/>
      <c r="D477" s="31"/>
      <c r="E477" s="31"/>
      <c r="F477" s="31"/>
      <c r="G477" s="31"/>
      <c r="H477" s="31"/>
      <c r="I477" s="31"/>
    </row>
    <row r="478" ht="15.75" customHeight="1">
      <c r="A478" s="31"/>
      <c r="B478" s="31"/>
      <c r="C478" s="31"/>
      <c r="D478" s="31"/>
      <c r="E478" s="31"/>
      <c r="F478" s="31"/>
      <c r="G478" s="31"/>
      <c r="H478" s="31"/>
      <c r="I478" s="31"/>
    </row>
    <row r="479" ht="15.75" customHeight="1">
      <c r="A479" s="31"/>
      <c r="B479" s="31"/>
      <c r="C479" s="31"/>
      <c r="D479" s="31"/>
      <c r="E479" s="31"/>
      <c r="F479" s="31"/>
      <c r="G479" s="31"/>
      <c r="H479" s="31"/>
      <c r="I479" s="31"/>
    </row>
    <row r="480" ht="15.75" customHeight="1">
      <c r="A480" s="31"/>
      <c r="B480" s="31"/>
      <c r="C480" s="31"/>
      <c r="D480" s="31"/>
      <c r="E480" s="31"/>
      <c r="F480" s="31"/>
      <c r="G480" s="31"/>
      <c r="H480" s="31"/>
      <c r="I480" s="31"/>
    </row>
    <row r="481" ht="15.75" customHeight="1">
      <c r="A481" s="31"/>
      <c r="B481" s="31"/>
      <c r="C481" s="31"/>
      <c r="D481" s="31"/>
      <c r="E481" s="31"/>
      <c r="F481" s="31"/>
      <c r="G481" s="31"/>
      <c r="H481" s="31"/>
      <c r="I481" s="31"/>
    </row>
    <row r="482" ht="15.75" customHeight="1">
      <c r="A482" s="31"/>
      <c r="B482" s="31"/>
      <c r="C482" s="31"/>
      <c r="D482" s="31"/>
      <c r="E482" s="31"/>
      <c r="F482" s="31"/>
      <c r="G482" s="31"/>
      <c r="H482" s="31"/>
      <c r="I482" s="31"/>
    </row>
    <row r="483" ht="15.75" customHeight="1">
      <c r="A483" s="31"/>
      <c r="B483" s="31"/>
      <c r="C483" s="31"/>
      <c r="D483" s="31"/>
      <c r="E483" s="31"/>
      <c r="F483" s="31"/>
      <c r="G483" s="31"/>
      <c r="H483" s="31"/>
      <c r="I483" s="31"/>
    </row>
    <row r="484" ht="15.75" customHeight="1">
      <c r="A484" s="31"/>
      <c r="B484" s="31"/>
      <c r="C484" s="31"/>
      <c r="D484" s="31"/>
      <c r="E484" s="31"/>
      <c r="F484" s="31"/>
      <c r="G484" s="31"/>
      <c r="H484" s="31"/>
      <c r="I484" s="31"/>
    </row>
    <row r="485" ht="15.75" customHeight="1">
      <c r="A485" s="31"/>
      <c r="B485" s="31"/>
      <c r="C485" s="31"/>
      <c r="D485" s="31"/>
      <c r="E485" s="31"/>
      <c r="F485" s="31"/>
      <c r="G485" s="31"/>
      <c r="H485" s="31"/>
      <c r="I485" s="31"/>
    </row>
    <row r="486" ht="15.75" customHeight="1">
      <c r="A486" s="31"/>
      <c r="B486" s="31"/>
      <c r="C486" s="31"/>
      <c r="D486" s="31"/>
      <c r="E486" s="31"/>
      <c r="F486" s="31"/>
      <c r="G486" s="31"/>
      <c r="H486" s="31"/>
      <c r="I486" s="31"/>
    </row>
    <row r="487" ht="15.75" customHeight="1">
      <c r="A487" s="31"/>
      <c r="B487" s="31"/>
      <c r="C487" s="31"/>
      <c r="D487" s="31"/>
      <c r="E487" s="31"/>
      <c r="F487" s="31"/>
      <c r="G487" s="31"/>
      <c r="H487" s="31"/>
      <c r="I487" s="31"/>
    </row>
    <row r="488" ht="15.75" customHeight="1">
      <c r="A488" s="31"/>
      <c r="B488" s="31"/>
      <c r="C488" s="31"/>
      <c r="D488" s="31"/>
      <c r="E488" s="31"/>
      <c r="F488" s="31"/>
      <c r="G488" s="31"/>
      <c r="H488" s="31"/>
      <c r="I488" s="31"/>
    </row>
    <row r="489" ht="15.75" customHeight="1">
      <c r="A489" s="31"/>
      <c r="B489" s="31"/>
      <c r="C489" s="31"/>
      <c r="D489" s="31"/>
      <c r="E489" s="31"/>
      <c r="F489" s="31"/>
      <c r="G489" s="31"/>
      <c r="H489" s="31"/>
      <c r="I489" s="31"/>
    </row>
    <row r="490" ht="15.75" customHeight="1">
      <c r="A490" s="31"/>
      <c r="B490" s="31"/>
      <c r="C490" s="31"/>
      <c r="D490" s="31"/>
      <c r="E490" s="31"/>
      <c r="F490" s="31"/>
      <c r="G490" s="31"/>
      <c r="H490" s="31"/>
      <c r="I490" s="31"/>
    </row>
    <row r="491" ht="15.75" customHeight="1">
      <c r="A491" s="31"/>
      <c r="B491" s="31"/>
      <c r="C491" s="31"/>
      <c r="D491" s="31"/>
      <c r="E491" s="31"/>
      <c r="F491" s="31"/>
      <c r="G491" s="31"/>
      <c r="H491" s="31"/>
      <c r="I491" s="31"/>
    </row>
    <row r="492" ht="15.75" customHeight="1">
      <c r="A492" s="31"/>
      <c r="B492" s="31"/>
      <c r="C492" s="31"/>
      <c r="D492" s="31"/>
      <c r="E492" s="31"/>
      <c r="F492" s="31"/>
      <c r="G492" s="31"/>
      <c r="H492" s="31"/>
      <c r="I492" s="31"/>
    </row>
    <row r="493" ht="15.75" customHeight="1">
      <c r="A493" s="31"/>
      <c r="B493" s="31"/>
      <c r="C493" s="31"/>
      <c r="D493" s="31"/>
      <c r="E493" s="31"/>
      <c r="F493" s="31"/>
      <c r="G493" s="31"/>
      <c r="H493" s="31"/>
      <c r="I493" s="31"/>
    </row>
    <row r="494" ht="15.75" customHeight="1">
      <c r="A494" s="31"/>
      <c r="B494" s="31"/>
      <c r="C494" s="31"/>
      <c r="D494" s="31"/>
      <c r="E494" s="31"/>
      <c r="F494" s="31"/>
      <c r="G494" s="31"/>
      <c r="H494" s="31"/>
      <c r="I494" s="31"/>
    </row>
    <row r="495" ht="15.75" customHeight="1">
      <c r="A495" s="31"/>
      <c r="B495" s="31"/>
      <c r="C495" s="31"/>
      <c r="D495" s="31"/>
      <c r="E495" s="31"/>
      <c r="F495" s="31"/>
      <c r="G495" s="31"/>
      <c r="H495" s="31"/>
      <c r="I495" s="31"/>
    </row>
    <row r="496" ht="15.75" customHeight="1">
      <c r="A496" s="31"/>
      <c r="B496" s="31"/>
      <c r="C496" s="31"/>
      <c r="D496" s="31"/>
      <c r="E496" s="31"/>
      <c r="F496" s="31"/>
      <c r="G496" s="31"/>
      <c r="H496" s="31"/>
      <c r="I496" s="31"/>
    </row>
    <row r="497" ht="15.75" customHeight="1">
      <c r="A497" s="31"/>
      <c r="B497" s="31"/>
      <c r="C497" s="31"/>
      <c r="D497" s="31"/>
      <c r="E497" s="31"/>
      <c r="F497" s="31"/>
      <c r="G497" s="31"/>
      <c r="H497" s="31"/>
      <c r="I497" s="31"/>
    </row>
    <row r="498" ht="15.75" customHeight="1">
      <c r="A498" s="31"/>
      <c r="B498" s="31"/>
      <c r="C498" s="31"/>
      <c r="D498" s="31"/>
      <c r="E498" s="31"/>
      <c r="F498" s="31"/>
      <c r="G498" s="31"/>
      <c r="H498" s="31"/>
      <c r="I498" s="31"/>
    </row>
    <row r="499" ht="15.75" customHeight="1">
      <c r="A499" s="31"/>
      <c r="B499" s="31"/>
      <c r="C499" s="31"/>
      <c r="D499" s="31"/>
      <c r="E499" s="31"/>
      <c r="F499" s="31"/>
      <c r="G499" s="31"/>
      <c r="H499" s="31"/>
      <c r="I499" s="31"/>
    </row>
    <row r="500" ht="15.75" customHeight="1">
      <c r="A500" s="31"/>
      <c r="B500" s="31"/>
      <c r="C500" s="31"/>
      <c r="D500" s="31"/>
      <c r="E500" s="31"/>
      <c r="F500" s="31"/>
      <c r="G500" s="31"/>
      <c r="H500" s="31"/>
      <c r="I500" s="31"/>
    </row>
    <row r="501" ht="15.75" customHeight="1">
      <c r="A501" s="31"/>
      <c r="B501" s="31"/>
      <c r="C501" s="31"/>
      <c r="D501" s="31"/>
      <c r="E501" s="31"/>
      <c r="F501" s="31"/>
      <c r="G501" s="31"/>
      <c r="H501" s="31"/>
      <c r="I501" s="31"/>
    </row>
    <row r="502" ht="15.75" customHeight="1">
      <c r="A502" s="31"/>
      <c r="B502" s="31"/>
      <c r="C502" s="31"/>
      <c r="D502" s="31"/>
      <c r="E502" s="31"/>
      <c r="F502" s="31"/>
      <c r="G502" s="31"/>
      <c r="H502" s="31"/>
      <c r="I502" s="31"/>
    </row>
    <row r="503" ht="15.75" customHeight="1">
      <c r="A503" s="31"/>
      <c r="B503" s="31"/>
      <c r="C503" s="31"/>
      <c r="D503" s="31"/>
      <c r="E503" s="31"/>
      <c r="F503" s="31"/>
      <c r="G503" s="31"/>
      <c r="H503" s="31"/>
      <c r="I503" s="31"/>
    </row>
    <row r="504" ht="15.75" customHeight="1">
      <c r="A504" s="31"/>
      <c r="B504" s="31"/>
      <c r="C504" s="31"/>
      <c r="D504" s="31"/>
      <c r="E504" s="31"/>
      <c r="F504" s="31"/>
      <c r="G504" s="31"/>
      <c r="H504" s="31"/>
      <c r="I504" s="31"/>
    </row>
    <row r="505" ht="15.75" customHeight="1">
      <c r="A505" s="31"/>
      <c r="B505" s="31"/>
      <c r="C505" s="31"/>
      <c r="D505" s="31"/>
      <c r="E505" s="31"/>
      <c r="F505" s="31"/>
      <c r="G505" s="31"/>
      <c r="H505" s="31"/>
      <c r="I505" s="31"/>
    </row>
    <row r="506" ht="15.75" customHeight="1">
      <c r="A506" s="31"/>
      <c r="B506" s="31"/>
      <c r="C506" s="31"/>
      <c r="D506" s="31"/>
      <c r="E506" s="31"/>
      <c r="F506" s="31"/>
      <c r="G506" s="31"/>
      <c r="H506" s="31"/>
      <c r="I506" s="31"/>
    </row>
    <row r="507" ht="15.75" customHeight="1">
      <c r="A507" s="31"/>
      <c r="B507" s="31"/>
      <c r="C507" s="31"/>
      <c r="D507" s="31"/>
      <c r="E507" s="31"/>
      <c r="F507" s="31"/>
      <c r="G507" s="31"/>
      <c r="H507" s="31"/>
      <c r="I507" s="31"/>
    </row>
    <row r="508" ht="15.75" customHeight="1">
      <c r="A508" s="31"/>
      <c r="B508" s="31"/>
      <c r="C508" s="31"/>
      <c r="D508" s="31"/>
      <c r="E508" s="31"/>
      <c r="F508" s="31"/>
      <c r="G508" s="31"/>
      <c r="H508" s="31"/>
      <c r="I508" s="31"/>
    </row>
    <row r="509" ht="15.75" customHeight="1">
      <c r="A509" s="31"/>
      <c r="B509" s="31"/>
      <c r="C509" s="31"/>
      <c r="D509" s="31"/>
      <c r="E509" s="31"/>
      <c r="F509" s="31"/>
      <c r="G509" s="31"/>
      <c r="H509" s="31"/>
      <c r="I509" s="31"/>
    </row>
    <row r="510" ht="15.75" customHeight="1">
      <c r="A510" s="31"/>
      <c r="B510" s="31"/>
      <c r="C510" s="31"/>
      <c r="D510" s="31"/>
      <c r="E510" s="31"/>
      <c r="F510" s="31"/>
      <c r="G510" s="31"/>
      <c r="H510" s="31"/>
      <c r="I510" s="31"/>
    </row>
    <row r="511" ht="15.75" customHeight="1">
      <c r="A511" s="31"/>
      <c r="B511" s="31"/>
      <c r="C511" s="31"/>
      <c r="D511" s="31"/>
      <c r="E511" s="31"/>
      <c r="F511" s="31"/>
      <c r="G511" s="31"/>
      <c r="H511" s="31"/>
      <c r="I511" s="31"/>
    </row>
    <row r="512" ht="15.75" customHeight="1">
      <c r="A512" s="31"/>
      <c r="B512" s="31"/>
      <c r="C512" s="31"/>
      <c r="D512" s="31"/>
      <c r="E512" s="31"/>
      <c r="F512" s="31"/>
      <c r="G512" s="31"/>
      <c r="H512" s="31"/>
      <c r="I512" s="31"/>
    </row>
    <row r="513" ht="15.75" customHeight="1">
      <c r="A513" s="31"/>
      <c r="B513" s="31"/>
      <c r="C513" s="31"/>
      <c r="D513" s="31"/>
      <c r="E513" s="31"/>
      <c r="F513" s="31"/>
      <c r="G513" s="31"/>
      <c r="H513" s="31"/>
      <c r="I513" s="31"/>
    </row>
    <row r="514" ht="15.75" customHeight="1">
      <c r="A514" s="31"/>
      <c r="B514" s="31"/>
      <c r="C514" s="31"/>
      <c r="D514" s="31"/>
      <c r="E514" s="31"/>
      <c r="F514" s="31"/>
      <c r="G514" s="31"/>
      <c r="H514" s="31"/>
      <c r="I514" s="31"/>
    </row>
    <row r="515" ht="15.75" customHeight="1">
      <c r="A515" s="31"/>
      <c r="B515" s="31"/>
      <c r="C515" s="31"/>
      <c r="D515" s="31"/>
      <c r="E515" s="31"/>
      <c r="F515" s="31"/>
      <c r="G515" s="31"/>
      <c r="H515" s="31"/>
      <c r="I515" s="31"/>
    </row>
    <row r="516" ht="15.75" customHeight="1">
      <c r="A516" s="31"/>
      <c r="B516" s="31"/>
      <c r="C516" s="31"/>
      <c r="D516" s="31"/>
      <c r="E516" s="31"/>
      <c r="F516" s="31"/>
      <c r="G516" s="31"/>
      <c r="H516" s="31"/>
      <c r="I516" s="31"/>
    </row>
    <row r="517" ht="15.75" customHeight="1">
      <c r="A517" s="31"/>
      <c r="B517" s="31"/>
      <c r="C517" s="31"/>
      <c r="D517" s="31"/>
      <c r="E517" s="31"/>
      <c r="F517" s="31"/>
      <c r="G517" s="31"/>
      <c r="H517" s="31"/>
      <c r="I517" s="31"/>
    </row>
    <row r="518" ht="15.75" customHeight="1">
      <c r="A518" s="31"/>
      <c r="B518" s="31"/>
      <c r="C518" s="31"/>
      <c r="D518" s="31"/>
      <c r="E518" s="31"/>
      <c r="F518" s="31"/>
      <c r="G518" s="31"/>
      <c r="H518" s="31"/>
      <c r="I518" s="31"/>
    </row>
    <row r="519" ht="15.75" customHeight="1">
      <c r="A519" s="31"/>
      <c r="B519" s="31"/>
      <c r="C519" s="31"/>
      <c r="D519" s="31"/>
      <c r="E519" s="31"/>
      <c r="F519" s="31"/>
      <c r="G519" s="31"/>
      <c r="H519" s="31"/>
      <c r="I519" s="31"/>
    </row>
    <row r="520" ht="15.75" customHeight="1">
      <c r="A520" s="31"/>
      <c r="B520" s="31"/>
      <c r="C520" s="31"/>
      <c r="D520" s="31"/>
      <c r="E520" s="31"/>
      <c r="F520" s="31"/>
      <c r="G520" s="31"/>
      <c r="H520" s="31"/>
      <c r="I520" s="31"/>
    </row>
    <row r="521" ht="15.75" customHeight="1">
      <c r="A521" s="31"/>
      <c r="B521" s="31"/>
      <c r="C521" s="31"/>
      <c r="D521" s="31"/>
      <c r="E521" s="31"/>
      <c r="F521" s="31"/>
      <c r="G521" s="31"/>
      <c r="H521" s="31"/>
      <c r="I521" s="31"/>
    </row>
    <row r="522" ht="15.75" customHeight="1">
      <c r="A522" s="31"/>
      <c r="B522" s="31"/>
      <c r="C522" s="31"/>
      <c r="D522" s="31"/>
      <c r="E522" s="31"/>
      <c r="F522" s="31"/>
      <c r="G522" s="31"/>
      <c r="H522" s="31"/>
      <c r="I522" s="31"/>
    </row>
    <row r="523" ht="15.75" customHeight="1">
      <c r="A523" s="31"/>
      <c r="B523" s="31"/>
      <c r="C523" s="31"/>
      <c r="D523" s="31"/>
      <c r="E523" s="31"/>
      <c r="F523" s="31"/>
      <c r="G523" s="31"/>
      <c r="H523" s="31"/>
      <c r="I523" s="31"/>
    </row>
    <row r="524" ht="15.75" customHeight="1">
      <c r="A524" s="31"/>
      <c r="B524" s="31"/>
      <c r="C524" s="31"/>
      <c r="D524" s="31"/>
      <c r="E524" s="31"/>
      <c r="F524" s="31"/>
      <c r="G524" s="31"/>
      <c r="H524" s="31"/>
      <c r="I524" s="31"/>
    </row>
    <row r="525" ht="15.75" customHeight="1">
      <c r="A525" s="31"/>
      <c r="B525" s="31"/>
      <c r="C525" s="31"/>
      <c r="D525" s="31"/>
      <c r="E525" s="31"/>
      <c r="F525" s="31"/>
      <c r="G525" s="31"/>
      <c r="H525" s="31"/>
      <c r="I525" s="31"/>
    </row>
    <row r="526" ht="15.75" customHeight="1">
      <c r="A526" s="31"/>
      <c r="B526" s="31"/>
      <c r="C526" s="31"/>
      <c r="D526" s="31"/>
      <c r="E526" s="31"/>
      <c r="F526" s="31"/>
      <c r="G526" s="31"/>
      <c r="H526" s="31"/>
      <c r="I526" s="31"/>
    </row>
    <row r="527" ht="15.75" customHeight="1">
      <c r="A527" s="31"/>
      <c r="B527" s="31"/>
      <c r="C527" s="31"/>
      <c r="D527" s="31"/>
      <c r="E527" s="31"/>
      <c r="F527" s="31"/>
      <c r="G527" s="31"/>
      <c r="H527" s="31"/>
      <c r="I527" s="31"/>
    </row>
    <row r="528" ht="15.75" customHeight="1">
      <c r="A528" s="31"/>
      <c r="B528" s="31"/>
      <c r="C528" s="31"/>
      <c r="D528" s="31"/>
      <c r="E528" s="31"/>
      <c r="F528" s="31"/>
      <c r="G528" s="31"/>
      <c r="H528" s="31"/>
      <c r="I528" s="31"/>
    </row>
    <row r="529" ht="15.75" customHeight="1">
      <c r="A529" s="31"/>
      <c r="B529" s="31"/>
      <c r="C529" s="31"/>
      <c r="D529" s="31"/>
      <c r="E529" s="31"/>
      <c r="F529" s="31"/>
      <c r="G529" s="31"/>
      <c r="H529" s="31"/>
      <c r="I529" s="31"/>
    </row>
    <row r="530" ht="15.75" customHeight="1">
      <c r="A530" s="31"/>
      <c r="B530" s="31"/>
      <c r="C530" s="31"/>
      <c r="D530" s="31"/>
      <c r="E530" s="31"/>
      <c r="F530" s="31"/>
      <c r="G530" s="31"/>
      <c r="H530" s="31"/>
      <c r="I530" s="31"/>
    </row>
    <row r="531" ht="15.75" customHeight="1">
      <c r="A531" s="31"/>
      <c r="B531" s="31"/>
      <c r="C531" s="31"/>
      <c r="D531" s="31"/>
      <c r="E531" s="31"/>
      <c r="F531" s="31"/>
      <c r="G531" s="31"/>
      <c r="H531" s="31"/>
      <c r="I531" s="31"/>
    </row>
    <row r="532" ht="15.75" customHeight="1">
      <c r="A532" s="31"/>
      <c r="B532" s="31"/>
      <c r="C532" s="31"/>
      <c r="D532" s="31"/>
      <c r="E532" s="31"/>
      <c r="F532" s="31"/>
      <c r="G532" s="31"/>
      <c r="H532" s="31"/>
      <c r="I532" s="31"/>
    </row>
    <row r="533" ht="15.75" customHeight="1">
      <c r="A533" s="31"/>
      <c r="B533" s="31"/>
      <c r="C533" s="31"/>
      <c r="D533" s="31"/>
      <c r="E533" s="31"/>
      <c r="F533" s="31"/>
      <c r="G533" s="31"/>
      <c r="H533" s="31"/>
      <c r="I533" s="31"/>
    </row>
    <row r="534" ht="15.75" customHeight="1">
      <c r="A534" s="31"/>
      <c r="B534" s="31"/>
      <c r="C534" s="31"/>
      <c r="D534" s="31"/>
      <c r="E534" s="31"/>
      <c r="F534" s="31"/>
      <c r="G534" s="31"/>
      <c r="H534" s="31"/>
      <c r="I534" s="31"/>
    </row>
    <row r="535" ht="15.75" customHeight="1">
      <c r="A535" s="31"/>
      <c r="B535" s="31"/>
      <c r="C535" s="31"/>
      <c r="D535" s="31"/>
      <c r="E535" s="31"/>
      <c r="F535" s="31"/>
      <c r="G535" s="31"/>
      <c r="H535" s="31"/>
      <c r="I535" s="31"/>
    </row>
    <row r="536" ht="15.75" customHeight="1">
      <c r="A536" s="31"/>
      <c r="B536" s="31"/>
      <c r="C536" s="31"/>
      <c r="D536" s="31"/>
      <c r="E536" s="31"/>
      <c r="F536" s="31"/>
      <c r="G536" s="31"/>
      <c r="H536" s="31"/>
      <c r="I536" s="31"/>
    </row>
    <row r="537" ht="15.75" customHeight="1">
      <c r="A537" s="31"/>
      <c r="B537" s="31"/>
      <c r="C537" s="31"/>
      <c r="D537" s="31"/>
      <c r="E537" s="31"/>
      <c r="F537" s="31"/>
      <c r="G537" s="31"/>
      <c r="H537" s="31"/>
      <c r="I537" s="31"/>
    </row>
    <row r="538" ht="15.75" customHeight="1">
      <c r="A538" s="31"/>
      <c r="B538" s="31"/>
      <c r="C538" s="31"/>
      <c r="D538" s="31"/>
      <c r="E538" s="31"/>
      <c r="F538" s="31"/>
      <c r="G538" s="31"/>
      <c r="H538" s="31"/>
      <c r="I538" s="31"/>
    </row>
    <row r="539" ht="15.75" customHeight="1">
      <c r="A539" s="31"/>
      <c r="B539" s="31"/>
      <c r="C539" s="31"/>
      <c r="D539" s="31"/>
      <c r="E539" s="31"/>
      <c r="F539" s="31"/>
      <c r="G539" s="31"/>
      <c r="H539" s="31"/>
      <c r="I539" s="31"/>
    </row>
    <row r="540" ht="15.75" customHeight="1">
      <c r="A540" s="31"/>
      <c r="B540" s="31"/>
      <c r="C540" s="31"/>
      <c r="D540" s="31"/>
      <c r="E540" s="31"/>
      <c r="F540" s="31"/>
      <c r="G540" s="31"/>
      <c r="H540" s="31"/>
      <c r="I540" s="31"/>
    </row>
    <row r="541" ht="15.75" customHeight="1">
      <c r="A541" s="31"/>
      <c r="B541" s="31"/>
      <c r="C541" s="31"/>
      <c r="D541" s="31"/>
      <c r="E541" s="31"/>
      <c r="F541" s="31"/>
      <c r="G541" s="31"/>
      <c r="H541" s="31"/>
      <c r="I541" s="31"/>
    </row>
    <row r="542" ht="15.75" customHeight="1">
      <c r="A542" s="31"/>
      <c r="B542" s="31"/>
      <c r="C542" s="31"/>
      <c r="D542" s="31"/>
      <c r="E542" s="31"/>
      <c r="F542" s="31"/>
      <c r="G542" s="31"/>
      <c r="H542" s="31"/>
      <c r="I542" s="31"/>
    </row>
    <row r="543" ht="15.75" customHeight="1">
      <c r="A543" s="31"/>
      <c r="B543" s="31"/>
      <c r="C543" s="31"/>
      <c r="D543" s="31"/>
      <c r="E543" s="31"/>
      <c r="F543" s="31"/>
      <c r="G543" s="31"/>
      <c r="H543" s="31"/>
      <c r="I543" s="31"/>
    </row>
    <row r="544" ht="15.75" customHeight="1">
      <c r="A544" s="31"/>
      <c r="B544" s="31"/>
      <c r="C544" s="31"/>
      <c r="D544" s="31"/>
      <c r="E544" s="31"/>
      <c r="F544" s="31"/>
      <c r="G544" s="31"/>
      <c r="H544" s="31"/>
      <c r="I544" s="31"/>
    </row>
    <row r="545" ht="15.75" customHeight="1">
      <c r="A545" s="31"/>
      <c r="B545" s="31"/>
      <c r="C545" s="31"/>
      <c r="D545" s="31"/>
      <c r="E545" s="31"/>
      <c r="F545" s="31"/>
      <c r="G545" s="31"/>
      <c r="H545" s="31"/>
      <c r="I545" s="31"/>
    </row>
    <row r="546" ht="15.75" customHeight="1">
      <c r="A546" s="31"/>
      <c r="B546" s="31"/>
      <c r="C546" s="31"/>
      <c r="D546" s="31"/>
      <c r="E546" s="31"/>
      <c r="F546" s="31"/>
      <c r="G546" s="31"/>
      <c r="H546" s="31"/>
      <c r="I546" s="31"/>
    </row>
    <row r="547" ht="15.75" customHeight="1">
      <c r="A547" s="31"/>
      <c r="B547" s="31"/>
      <c r="C547" s="31"/>
      <c r="D547" s="31"/>
      <c r="E547" s="31"/>
      <c r="F547" s="31"/>
      <c r="G547" s="31"/>
      <c r="H547" s="31"/>
      <c r="I547" s="31"/>
    </row>
    <row r="548" ht="15.75" customHeight="1">
      <c r="A548" s="31"/>
      <c r="B548" s="31"/>
      <c r="C548" s="31"/>
      <c r="D548" s="31"/>
      <c r="E548" s="31"/>
      <c r="F548" s="31"/>
      <c r="G548" s="31"/>
      <c r="H548" s="31"/>
      <c r="I548" s="31"/>
    </row>
    <row r="549" ht="15.75" customHeight="1">
      <c r="A549" s="31"/>
      <c r="B549" s="31"/>
      <c r="C549" s="31"/>
      <c r="D549" s="31"/>
      <c r="E549" s="31"/>
      <c r="F549" s="31"/>
      <c r="G549" s="31"/>
      <c r="H549" s="31"/>
      <c r="I549" s="31"/>
    </row>
    <row r="550" ht="15.75" customHeight="1">
      <c r="A550" s="31"/>
      <c r="B550" s="31"/>
      <c r="C550" s="31"/>
      <c r="D550" s="31"/>
      <c r="E550" s="31"/>
      <c r="F550" s="31"/>
      <c r="G550" s="31"/>
      <c r="H550" s="31"/>
      <c r="I550" s="31"/>
    </row>
    <row r="551" ht="15.75" customHeight="1">
      <c r="A551" s="31"/>
      <c r="B551" s="31"/>
      <c r="C551" s="31"/>
      <c r="D551" s="31"/>
      <c r="E551" s="31"/>
      <c r="F551" s="31"/>
      <c r="G551" s="31"/>
      <c r="H551" s="31"/>
      <c r="I551" s="31"/>
    </row>
    <row r="552" ht="15.75" customHeight="1">
      <c r="A552" s="31"/>
      <c r="B552" s="31"/>
      <c r="C552" s="31"/>
      <c r="D552" s="31"/>
      <c r="E552" s="31"/>
      <c r="F552" s="31"/>
      <c r="G552" s="31"/>
      <c r="H552" s="31"/>
      <c r="I552" s="31"/>
    </row>
    <row r="553" ht="15.75" customHeight="1">
      <c r="A553" s="31"/>
      <c r="B553" s="31"/>
      <c r="C553" s="31"/>
      <c r="D553" s="31"/>
      <c r="E553" s="31"/>
      <c r="F553" s="31"/>
      <c r="G553" s="31"/>
      <c r="H553" s="31"/>
      <c r="I553" s="31"/>
    </row>
    <row r="554" ht="15.75" customHeight="1">
      <c r="A554" s="31"/>
      <c r="B554" s="31"/>
      <c r="C554" s="31"/>
      <c r="D554" s="31"/>
      <c r="E554" s="31"/>
      <c r="F554" s="31"/>
      <c r="G554" s="31"/>
      <c r="H554" s="31"/>
      <c r="I554" s="31"/>
    </row>
    <row r="555" ht="15.75" customHeight="1">
      <c r="A555" s="31"/>
      <c r="B555" s="31"/>
      <c r="C555" s="31"/>
      <c r="D555" s="31"/>
      <c r="E555" s="31"/>
      <c r="F555" s="31"/>
      <c r="G555" s="31"/>
      <c r="H555" s="31"/>
      <c r="I555" s="31"/>
    </row>
    <row r="556" ht="15.75" customHeight="1">
      <c r="A556" s="31"/>
      <c r="B556" s="31"/>
      <c r="C556" s="31"/>
      <c r="D556" s="31"/>
      <c r="E556" s="31"/>
      <c r="F556" s="31"/>
      <c r="G556" s="31"/>
      <c r="H556" s="31"/>
      <c r="I556" s="31"/>
    </row>
    <row r="557" ht="15.75" customHeight="1">
      <c r="A557" s="31"/>
      <c r="B557" s="31"/>
      <c r="C557" s="31"/>
      <c r="D557" s="31"/>
      <c r="E557" s="31"/>
      <c r="F557" s="31"/>
      <c r="G557" s="31"/>
      <c r="H557" s="31"/>
      <c r="I557" s="31"/>
    </row>
    <row r="558" ht="15.75" customHeight="1">
      <c r="A558" s="31"/>
      <c r="B558" s="31"/>
      <c r="C558" s="31"/>
      <c r="D558" s="31"/>
      <c r="E558" s="31"/>
      <c r="F558" s="31"/>
      <c r="G558" s="31"/>
      <c r="H558" s="31"/>
      <c r="I558" s="31"/>
    </row>
    <row r="559" ht="15.75" customHeight="1">
      <c r="A559" s="31"/>
      <c r="B559" s="31"/>
      <c r="C559" s="31"/>
      <c r="D559" s="31"/>
      <c r="E559" s="31"/>
      <c r="F559" s="31"/>
      <c r="G559" s="31"/>
      <c r="H559" s="31"/>
      <c r="I559" s="31"/>
    </row>
    <row r="560" ht="15.75" customHeight="1">
      <c r="A560" s="31"/>
      <c r="B560" s="31"/>
      <c r="C560" s="31"/>
      <c r="D560" s="31"/>
      <c r="E560" s="31"/>
      <c r="F560" s="31"/>
      <c r="G560" s="31"/>
      <c r="H560" s="31"/>
      <c r="I560" s="31"/>
    </row>
    <row r="561" ht="15.75" customHeight="1">
      <c r="A561" s="31"/>
      <c r="B561" s="31"/>
      <c r="C561" s="31"/>
      <c r="D561" s="31"/>
      <c r="E561" s="31"/>
      <c r="F561" s="31"/>
      <c r="G561" s="31"/>
      <c r="H561" s="31"/>
      <c r="I561" s="31"/>
    </row>
    <row r="562" ht="15.75" customHeight="1">
      <c r="A562" s="31"/>
      <c r="B562" s="31"/>
      <c r="C562" s="31"/>
      <c r="D562" s="31"/>
      <c r="E562" s="31"/>
      <c r="F562" s="31"/>
      <c r="G562" s="31"/>
      <c r="H562" s="31"/>
      <c r="I562" s="31"/>
    </row>
    <row r="563" ht="15.75" customHeight="1">
      <c r="A563" s="31"/>
      <c r="B563" s="31"/>
      <c r="C563" s="31"/>
      <c r="D563" s="31"/>
      <c r="E563" s="31"/>
      <c r="F563" s="31"/>
      <c r="G563" s="31"/>
      <c r="H563" s="31"/>
      <c r="I563" s="31"/>
    </row>
    <row r="564" ht="15.75" customHeight="1">
      <c r="A564" s="31"/>
      <c r="B564" s="31"/>
      <c r="C564" s="31"/>
      <c r="D564" s="31"/>
      <c r="E564" s="31"/>
      <c r="F564" s="31"/>
      <c r="G564" s="31"/>
      <c r="H564" s="31"/>
      <c r="I564" s="31"/>
    </row>
    <row r="565" ht="15.75" customHeight="1">
      <c r="A565" s="31"/>
      <c r="B565" s="31"/>
      <c r="C565" s="31"/>
      <c r="D565" s="31"/>
      <c r="E565" s="31"/>
      <c r="F565" s="31"/>
      <c r="G565" s="31"/>
      <c r="H565" s="31"/>
      <c r="I565" s="31"/>
    </row>
    <row r="566" ht="15.75" customHeight="1">
      <c r="A566" s="31"/>
      <c r="B566" s="31"/>
      <c r="C566" s="31"/>
      <c r="D566" s="31"/>
      <c r="E566" s="31"/>
      <c r="F566" s="31"/>
      <c r="G566" s="31"/>
      <c r="H566" s="31"/>
      <c r="I566" s="31"/>
    </row>
    <row r="567" ht="15.75" customHeight="1">
      <c r="A567" s="31"/>
      <c r="B567" s="31"/>
      <c r="C567" s="31"/>
      <c r="D567" s="31"/>
      <c r="E567" s="31"/>
      <c r="F567" s="31"/>
      <c r="G567" s="31"/>
      <c r="H567" s="31"/>
      <c r="I567" s="31"/>
    </row>
    <row r="568" ht="15.75" customHeight="1">
      <c r="A568" s="31"/>
      <c r="B568" s="31"/>
      <c r="C568" s="31"/>
      <c r="D568" s="31"/>
      <c r="E568" s="31"/>
      <c r="F568" s="31"/>
      <c r="G568" s="31"/>
      <c r="H568" s="31"/>
      <c r="I568" s="31"/>
    </row>
    <row r="569" ht="15.75" customHeight="1">
      <c r="A569" s="31"/>
      <c r="B569" s="31"/>
      <c r="C569" s="31"/>
      <c r="D569" s="31"/>
      <c r="E569" s="31"/>
      <c r="F569" s="31"/>
      <c r="G569" s="31"/>
      <c r="H569" s="31"/>
      <c r="I569" s="31"/>
    </row>
    <row r="570" ht="15.75" customHeight="1">
      <c r="A570" s="31"/>
      <c r="B570" s="31"/>
      <c r="C570" s="31"/>
      <c r="D570" s="31"/>
      <c r="E570" s="31"/>
      <c r="F570" s="31"/>
      <c r="G570" s="31"/>
      <c r="H570" s="31"/>
      <c r="I570" s="31"/>
    </row>
    <row r="571" ht="15.75" customHeight="1">
      <c r="A571" s="31"/>
      <c r="B571" s="31"/>
      <c r="C571" s="31"/>
      <c r="D571" s="31"/>
      <c r="E571" s="31"/>
      <c r="F571" s="31"/>
      <c r="G571" s="31"/>
      <c r="H571" s="31"/>
      <c r="I571" s="31"/>
    </row>
    <row r="572" ht="15.75" customHeight="1">
      <c r="A572" s="31"/>
      <c r="B572" s="31"/>
      <c r="C572" s="31"/>
      <c r="D572" s="31"/>
      <c r="E572" s="31"/>
      <c r="F572" s="31"/>
      <c r="G572" s="31"/>
      <c r="H572" s="31"/>
      <c r="I572" s="31"/>
    </row>
    <row r="573" ht="15.75" customHeight="1">
      <c r="A573" s="31"/>
      <c r="B573" s="31"/>
      <c r="C573" s="31"/>
      <c r="D573" s="31"/>
      <c r="E573" s="31"/>
      <c r="F573" s="31"/>
      <c r="G573" s="31"/>
      <c r="H573" s="31"/>
      <c r="I573" s="31"/>
    </row>
    <row r="574" ht="15.75" customHeight="1">
      <c r="A574" s="31"/>
      <c r="B574" s="31"/>
      <c r="C574" s="31"/>
      <c r="D574" s="31"/>
      <c r="E574" s="31"/>
      <c r="F574" s="31"/>
      <c r="G574" s="31"/>
      <c r="H574" s="31"/>
      <c r="I574" s="31"/>
    </row>
    <row r="575" ht="15.75" customHeight="1">
      <c r="A575" s="31"/>
      <c r="B575" s="31"/>
      <c r="C575" s="31"/>
      <c r="D575" s="31"/>
      <c r="E575" s="31"/>
      <c r="F575" s="31"/>
      <c r="G575" s="31"/>
      <c r="H575" s="31"/>
      <c r="I575" s="31"/>
    </row>
    <row r="576" ht="15.75" customHeight="1">
      <c r="A576" s="31"/>
      <c r="B576" s="31"/>
      <c r="C576" s="31"/>
      <c r="D576" s="31"/>
      <c r="E576" s="31"/>
      <c r="F576" s="31"/>
      <c r="G576" s="31"/>
      <c r="H576" s="31"/>
      <c r="I576" s="31"/>
    </row>
    <row r="577" ht="15.75" customHeight="1">
      <c r="A577" s="31"/>
      <c r="B577" s="31"/>
      <c r="C577" s="31"/>
      <c r="D577" s="31"/>
      <c r="E577" s="31"/>
      <c r="F577" s="31"/>
      <c r="G577" s="31"/>
      <c r="H577" s="31"/>
      <c r="I577" s="31"/>
    </row>
    <row r="578" ht="15.75" customHeight="1">
      <c r="A578" s="31"/>
      <c r="B578" s="31"/>
      <c r="C578" s="31"/>
      <c r="D578" s="31"/>
      <c r="E578" s="31"/>
      <c r="F578" s="31"/>
      <c r="G578" s="31"/>
      <c r="H578" s="31"/>
      <c r="I578" s="31"/>
    </row>
    <row r="579" ht="15.75" customHeight="1">
      <c r="A579" s="31"/>
      <c r="B579" s="31"/>
      <c r="C579" s="31"/>
      <c r="D579" s="31"/>
      <c r="E579" s="31"/>
      <c r="F579" s="31"/>
      <c r="G579" s="31"/>
      <c r="H579" s="31"/>
      <c r="I579" s="31"/>
    </row>
    <row r="580" ht="15.75" customHeight="1">
      <c r="A580" s="31"/>
      <c r="B580" s="31"/>
      <c r="C580" s="31"/>
      <c r="D580" s="31"/>
      <c r="E580" s="31"/>
      <c r="F580" s="31"/>
      <c r="G580" s="31"/>
      <c r="H580" s="31"/>
      <c r="I580" s="31"/>
    </row>
    <row r="581" ht="15.75" customHeight="1">
      <c r="A581" s="31"/>
      <c r="B581" s="31"/>
      <c r="C581" s="31"/>
      <c r="D581" s="31"/>
      <c r="E581" s="31"/>
      <c r="F581" s="31"/>
      <c r="G581" s="31"/>
      <c r="H581" s="31"/>
      <c r="I581" s="31"/>
    </row>
    <row r="582" ht="15.75" customHeight="1">
      <c r="A582" s="31"/>
      <c r="B582" s="31"/>
      <c r="C582" s="31"/>
      <c r="D582" s="31"/>
      <c r="E582" s="31"/>
      <c r="F582" s="31"/>
      <c r="G582" s="31"/>
      <c r="H582" s="31"/>
      <c r="I582" s="31"/>
    </row>
    <row r="583" ht="15.75" customHeight="1">
      <c r="A583" s="31"/>
      <c r="B583" s="31"/>
      <c r="C583" s="31"/>
      <c r="D583" s="31"/>
      <c r="E583" s="31"/>
      <c r="F583" s="31"/>
      <c r="G583" s="31"/>
      <c r="H583" s="31"/>
      <c r="I583" s="31"/>
    </row>
    <row r="584" ht="15.75" customHeight="1">
      <c r="A584" s="31"/>
      <c r="B584" s="31"/>
      <c r="C584" s="31"/>
      <c r="D584" s="31"/>
      <c r="E584" s="31"/>
      <c r="F584" s="31"/>
      <c r="G584" s="31"/>
      <c r="H584" s="31"/>
      <c r="I584" s="31"/>
    </row>
    <row r="585" ht="15.75" customHeight="1">
      <c r="A585" s="31"/>
      <c r="B585" s="31"/>
      <c r="C585" s="31"/>
      <c r="D585" s="31"/>
      <c r="E585" s="31"/>
      <c r="F585" s="31"/>
      <c r="G585" s="31"/>
      <c r="H585" s="31"/>
      <c r="I585" s="31"/>
    </row>
    <row r="586" ht="15.75" customHeight="1">
      <c r="A586" s="31"/>
      <c r="B586" s="31"/>
      <c r="C586" s="31"/>
      <c r="D586" s="31"/>
      <c r="E586" s="31"/>
      <c r="F586" s="31"/>
      <c r="G586" s="31"/>
      <c r="H586" s="31"/>
      <c r="I586" s="31"/>
    </row>
    <row r="587" ht="15.75" customHeight="1">
      <c r="A587" s="31"/>
      <c r="B587" s="31"/>
      <c r="C587" s="31"/>
      <c r="D587" s="31"/>
      <c r="E587" s="31"/>
      <c r="F587" s="31"/>
      <c r="G587" s="31"/>
      <c r="H587" s="31"/>
      <c r="I587" s="31"/>
    </row>
    <row r="588" ht="15.75" customHeight="1">
      <c r="A588" s="31"/>
      <c r="B588" s="31"/>
      <c r="C588" s="31"/>
      <c r="D588" s="31"/>
      <c r="E588" s="31"/>
      <c r="F588" s="31"/>
      <c r="G588" s="31"/>
      <c r="H588" s="31"/>
      <c r="I588" s="31"/>
    </row>
    <row r="589" ht="15.75" customHeight="1">
      <c r="A589" s="31"/>
      <c r="B589" s="31"/>
      <c r="C589" s="31"/>
      <c r="D589" s="31"/>
      <c r="E589" s="31"/>
      <c r="F589" s="31"/>
      <c r="G589" s="31"/>
      <c r="H589" s="31"/>
      <c r="I589" s="31"/>
    </row>
    <row r="590" ht="15.75" customHeight="1">
      <c r="A590" s="31"/>
      <c r="B590" s="31"/>
      <c r="C590" s="31"/>
      <c r="D590" s="31"/>
      <c r="E590" s="31"/>
      <c r="F590" s="31"/>
      <c r="G590" s="31"/>
      <c r="H590" s="31"/>
      <c r="I590" s="31"/>
    </row>
    <row r="591" ht="15.75" customHeight="1">
      <c r="A591" s="31"/>
      <c r="B591" s="31"/>
      <c r="C591" s="31"/>
      <c r="D591" s="31"/>
      <c r="E591" s="31"/>
      <c r="F591" s="31"/>
      <c r="G591" s="31"/>
      <c r="H591" s="31"/>
      <c r="I591" s="31"/>
    </row>
    <row r="592" ht="15.75" customHeight="1">
      <c r="A592" s="31"/>
      <c r="B592" s="31"/>
      <c r="C592" s="31"/>
      <c r="D592" s="31"/>
      <c r="E592" s="31"/>
      <c r="F592" s="31"/>
      <c r="G592" s="31"/>
      <c r="H592" s="31"/>
      <c r="I592" s="31"/>
    </row>
    <row r="593" ht="15.75" customHeight="1">
      <c r="A593" s="31"/>
      <c r="B593" s="31"/>
      <c r="C593" s="31"/>
      <c r="D593" s="31"/>
      <c r="E593" s="31"/>
      <c r="F593" s="31"/>
      <c r="G593" s="31"/>
      <c r="H593" s="31"/>
      <c r="I593" s="31"/>
    </row>
    <row r="594" ht="15.75" customHeight="1">
      <c r="A594" s="31"/>
      <c r="B594" s="31"/>
      <c r="C594" s="31"/>
      <c r="D594" s="31"/>
      <c r="E594" s="31"/>
      <c r="F594" s="31"/>
      <c r="G594" s="31"/>
      <c r="H594" s="31"/>
      <c r="I594" s="31"/>
    </row>
    <row r="595" ht="15.75" customHeight="1">
      <c r="A595" s="31"/>
      <c r="B595" s="31"/>
      <c r="C595" s="31"/>
      <c r="D595" s="31"/>
      <c r="E595" s="31"/>
      <c r="F595" s="31"/>
      <c r="G595" s="31"/>
      <c r="H595" s="31"/>
      <c r="I595" s="31"/>
    </row>
    <row r="596" ht="15.75" customHeight="1">
      <c r="A596" s="31"/>
      <c r="B596" s="31"/>
      <c r="C596" s="31"/>
      <c r="D596" s="31"/>
      <c r="E596" s="31"/>
      <c r="F596" s="31"/>
      <c r="G596" s="31"/>
      <c r="H596" s="31"/>
      <c r="I596" s="31"/>
    </row>
    <row r="597" ht="15.75" customHeight="1">
      <c r="A597" s="31"/>
      <c r="B597" s="31"/>
      <c r="C597" s="31"/>
      <c r="D597" s="31"/>
      <c r="E597" s="31"/>
      <c r="F597" s="31"/>
      <c r="G597" s="31"/>
      <c r="H597" s="31"/>
      <c r="I597" s="31"/>
    </row>
    <row r="598" ht="15.75" customHeight="1">
      <c r="A598" s="31"/>
      <c r="B598" s="31"/>
      <c r="C598" s="31"/>
      <c r="D598" s="31"/>
      <c r="E598" s="31"/>
      <c r="F598" s="31"/>
      <c r="G598" s="31"/>
      <c r="H598" s="31"/>
      <c r="I598" s="31"/>
    </row>
    <row r="599" ht="15.75" customHeight="1">
      <c r="A599" s="31"/>
      <c r="B599" s="31"/>
      <c r="C599" s="31"/>
      <c r="D599" s="31"/>
      <c r="E599" s="31"/>
      <c r="F599" s="31"/>
      <c r="G599" s="31"/>
      <c r="H599" s="31"/>
      <c r="I599" s="31"/>
    </row>
    <row r="600" ht="15.75" customHeight="1">
      <c r="A600" s="31"/>
      <c r="B600" s="31"/>
      <c r="C600" s="31"/>
      <c r="D600" s="31"/>
      <c r="E600" s="31"/>
      <c r="F600" s="31"/>
      <c r="G600" s="31"/>
      <c r="H600" s="31"/>
      <c r="I600" s="31"/>
    </row>
    <row r="601" ht="15.75" customHeight="1">
      <c r="A601" s="31"/>
      <c r="B601" s="31"/>
      <c r="C601" s="31"/>
      <c r="D601" s="31"/>
      <c r="E601" s="31"/>
      <c r="F601" s="31"/>
      <c r="G601" s="31"/>
      <c r="H601" s="31"/>
      <c r="I601" s="31"/>
    </row>
    <row r="602" ht="15.75" customHeight="1">
      <c r="A602" s="31"/>
      <c r="B602" s="31"/>
      <c r="C602" s="31"/>
      <c r="D602" s="31"/>
      <c r="E602" s="31"/>
      <c r="F602" s="31"/>
      <c r="G602" s="31"/>
      <c r="H602" s="31"/>
      <c r="I602" s="31"/>
    </row>
    <row r="603" ht="15.75" customHeight="1">
      <c r="A603" s="31"/>
      <c r="B603" s="31"/>
      <c r="C603" s="31"/>
      <c r="D603" s="31"/>
      <c r="E603" s="31"/>
      <c r="F603" s="31"/>
      <c r="G603" s="31"/>
      <c r="H603" s="31"/>
      <c r="I603" s="31"/>
    </row>
    <row r="604" ht="15.75" customHeight="1">
      <c r="A604" s="31"/>
      <c r="B604" s="31"/>
      <c r="C604" s="31"/>
      <c r="D604" s="31"/>
      <c r="E604" s="31"/>
      <c r="F604" s="31"/>
      <c r="G604" s="31"/>
      <c r="H604" s="31"/>
      <c r="I604" s="31"/>
    </row>
    <row r="605" ht="15.75" customHeight="1">
      <c r="A605" s="31"/>
      <c r="B605" s="31"/>
      <c r="C605" s="31"/>
      <c r="D605" s="31"/>
      <c r="E605" s="31"/>
      <c r="F605" s="31"/>
      <c r="G605" s="31"/>
      <c r="H605" s="31"/>
      <c r="I605" s="31"/>
    </row>
    <row r="606" ht="15.75" customHeight="1">
      <c r="A606" s="31"/>
      <c r="B606" s="31"/>
      <c r="C606" s="31"/>
      <c r="D606" s="31"/>
      <c r="E606" s="31"/>
      <c r="F606" s="31"/>
      <c r="G606" s="31"/>
      <c r="H606" s="31"/>
      <c r="I606" s="31"/>
    </row>
    <row r="607" ht="15.75" customHeight="1">
      <c r="A607" s="31"/>
      <c r="B607" s="31"/>
      <c r="C607" s="31"/>
      <c r="D607" s="31"/>
      <c r="E607" s="31"/>
      <c r="F607" s="31"/>
      <c r="G607" s="31"/>
      <c r="H607" s="31"/>
      <c r="I607" s="31"/>
    </row>
    <row r="608" ht="15.75" customHeight="1">
      <c r="A608" s="31"/>
      <c r="B608" s="31"/>
      <c r="C608" s="31"/>
      <c r="D608" s="31"/>
      <c r="E608" s="31"/>
      <c r="F608" s="31"/>
      <c r="G608" s="31"/>
      <c r="H608" s="31"/>
      <c r="I608" s="31"/>
    </row>
    <row r="609" ht="15.75" customHeight="1">
      <c r="A609" s="31"/>
      <c r="B609" s="31"/>
      <c r="C609" s="31"/>
      <c r="D609" s="31"/>
      <c r="E609" s="31"/>
      <c r="F609" s="31"/>
      <c r="G609" s="31"/>
      <c r="H609" s="31"/>
      <c r="I609" s="31"/>
    </row>
    <row r="610" ht="15.75" customHeight="1">
      <c r="A610" s="31"/>
      <c r="B610" s="31"/>
      <c r="C610" s="31"/>
      <c r="D610" s="31"/>
      <c r="E610" s="31"/>
      <c r="F610" s="31"/>
      <c r="G610" s="31"/>
      <c r="H610" s="31"/>
      <c r="I610" s="31"/>
    </row>
    <row r="611" ht="15.75" customHeight="1">
      <c r="A611" s="31"/>
      <c r="B611" s="31"/>
      <c r="C611" s="31"/>
      <c r="D611" s="31"/>
      <c r="E611" s="31"/>
      <c r="F611" s="31"/>
      <c r="G611" s="31"/>
      <c r="H611" s="31"/>
      <c r="I611" s="31"/>
    </row>
    <row r="612" ht="15.75" customHeight="1">
      <c r="A612" s="31"/>
      <c r="B612" s="31"/>
      <c r="C612" s="31"/>
      <c r="D612" s="31"/>
      <c r="E612" s="31"/>
      <c r="F612" s="31"/>
      <c r="G612" s="31"/>
      <c r="H612" s="31"/>
      <c r="I612" s="31"/>
    </row>
    <row r="613" ht="15.75" customHeight="1">
      <c r="A613" s="31"/>
      <c r="B613" s="31"/>
      <c r="C613" s="31"/>
      <c r="D613" s="31"/>
      <c r="E613" s="31"/>
      <c r="F613" s="31"/>
      <c r="G613" s="31"/>
      <c r="H613" s="31"/>
      <c r="I613" s="31"/>
    </row>
    <row r="614" ht="15.75" customHeight="1">
      <c r="A614" s="31"/>
      <c r="B614" s="31"/>
      <c r="C614" s="31"/>
      <c r="D614" s="31"/>
      <c r="E614" s="31"/>
      <c r="F614" s="31"/>
      <c r="G614" s="31"/>
      <c r="H614" s="31"/>
      <c r="I614" s="31"/>
    </row>
    <row r="615" ht="15.75" customHeight="1">
      <c r="A615" s="31"/>
      <c r="B615" s="31"/>
      <c r="C615" s="31"/>
      <c r="D615" s="31"/>
      <c r="E615" s="31"/>
      <c r="F615" s="31"/>
      <c r="G615" s="31"/>
      <c r="H615" s="31"/>
      <c r="I615" s="31"/>
    </row>
    <row r="616" ht="15.75" customHeight="1">
      <c r="A616" s="31"/>
      <c r="B616" s="31"/>
      <c r="C616" s="31"/>
      <c r="D616" s="31"/>
      <c r="E616" s="31"/>
      <c r="F616" s="31"/>
      <c r="G616" s="31"/>
      <c r="H616" s="31"/>
      <c r="I616" s="31"/>
    </row>
    <row r="617" ht="15.75" customHeight="1">
      <c r="A617" s="31"/>
      <c r="B617" s="31"/>
      <c r="C617" s="31"/>
      <c r="D617" s="31"/>
      <c r="E617" s="31"/>
      <c r="F617" s="31"/>
      <c r="G617" s="31"/>
      <c r="H617" s="31"/>
      <c r="I617" s="31"/>
    </row>
    <row r="618" ht="15.75" customHeight="1">
      <c r="A618" s="31"/>
      <c r="B618" s="31"/>
      <c r="C618" s="31"/>
      <c r="D618" s="31"/>
      <c r="E618" s="31"/>
      <c r="F618" s="31"/>
      <c r="G618" s="31"/>
      <c r="H618" s="31"/>
      <c r="I618" s="31"/>
    </row>
    <row r="619" ht="15.75" customHeight="1">
      <c r="A619" s="31"/>
      <c r="B619" s="31"/>
      <c r="C619" s="31"/>
      <c r="D619" s="31"/>
      <c r="E619" s="31"/>
      <c r="F619" s="31"/>
      <c r="G619" s="31"/>
      <c r="H619" s="31"/>
      <c r="I619" s="31"/>
    </row>
    <row r="620" ht="15.75" customHeight="1">
      <c r="A620" s="31"/>
      <c r="B620" s="31"/>
      <c r="C620" s="31"/>
      <c r="D620" s="31"/>
      <c r="E620" s="31"/>
      <c r="F620" s="31"/>
      <c r="G620" s="31"/>
      <c r="H620" s="31"/>
      <c r="I620" s="31"/>
    </row>
    <row r="621" ht="15.75" customHeight="1">
      <c r="A621" s="31"/>
      <c r="B621" s="31"/>
      <c r="C621" s="31"/>
      <c r="D621" s="31"/>
      <c r="E621" s="31"/>
      <c r="F621" s="31"/>
      <c r="G621" s="31"/>
      <c r="H621" s="31"/>
      <c r="I621" s="31"/>
    </row>
    <row r="622" ht="15.75" customHeight="1">
      <c r="A622" s="31"/>
      <c r="B622" s="31"/>
      <c r="C622" s="31"/>
      <c r="D622" s="31"/>
      <c r="E622" s="31"/>
      <c r="F622" s="31"/>
      <c r="G622" s="31"/>
      <c r="H622" s="31"/>
      <c r="I622" s="31"/>
    </row>
    <row r="623" ht="15.75" customHeight="1">
      <c r="A623" s="31"/>
      <c r="B623" s="31"/>
      <c r="C623" s="31"/>
      <c r="D623" s="31"/>
      <c r="E623" s="31"/>
      <c r="F623" s="31"/>
      <c r="G623" s="31"/>
      <c r="H623" s="31"/>
      <c r="I623" s="31"/>
    </row>
    <row r="624" ht="15.75" customHeight="1">
      <c r="A624" s="31"/>
      <c r="B624" s="31"/>
      <c r="C624" s="31"/>
      <c r="D624" s="31"/>
      <c r="E624" s="31"/>
      <c r="F624" s="31"/>
      <c r="G624" s="31"/>
      <c r="H624" s="31"/>
      <c r="I624" s="31"/>
    </row>
    <row r="625" ht="15.75" customHeight="1">
      <c r="A625" s="31"/>
      <c r="B625" s="31"/>
      <c r="C625" s="31"/>
      <c r="D625" s="31"/>
      <c r="E625" s="31"/>
      <c r="F625" s="31"/>
      <c r="G625" s="31"/>
      <c r="H625" s="31"/>
      <c r="I625" s="31"/>
    </row>
    <row r="626" ht="15.75" customHeight="1">
      <c r="A626" s="31"/>
      <c r="B626" s="31"/>
      <c r="C626" s="31"/>
      <c r="D626" s="31"/>
      <c r="E626" s="31"/>
      <c r="F626" s="31"/>
      <c r="G626" s="31"/>
      <c r="H626" s="31"/>
      <c r="I626" s="31"/>
    </row>
    <row r="627" ht="15.75" customHeight="1">
      <c r="A627" s="31"/>
      <c r="B627" s="31"/>
      <c r="C627" s="31"/>
      <c r="D627" s="31"/>
      <c r="E627" s="31"/>
      <c r="F627" s="31"/>
      <c r="G627" s="31"/>
      <c r="H627" s="31"/>
      <c r="I627" s="31"/>
    </row>
    <row r="628" ht="15.75" customHeight="1">
      <c r="A628" s="31"/>
      <c r="B628" s="31"/>
      <c r="C628" s="31"/>
      <c r="D628" s="31"/>
      <c r="E628" s="31"/>
      <c r="F628" s="31"/>
      <c r="G628" s="31"/>
      <c r="H628" s="31"/>
      <c r="I628" s="31"/>
    </row>
    <row r="629" ht="15.75" customHeight="1">
      <c r="A629" s="31"/>
      <c r="B629" s="31"/>
      <c r="C629" s="31"/>
      <c r="D629" s="31"/>
      <c r="E629" s="31"/>
      <c r="F629" s="31"/>
      <c r="G629" s="31"/>
      <c r="H629" s="31"/>
      <c r="I629" s="31"/>
    </row>
    <row r="630" ht="15.75" customHeight="1">
      <c r="A630" s="31"/>
      <c r="B630" s="31"/>
      <c r="C630" s="31"/>
      <c r="D630" s="31"/>
      <c r="E630" s="31"/>
      <c r="F630" s="31"/>
      <c r="G630" s="31"/>
      <c r="H630" s="31"/>
      <c r="I630" s="31"/>
    </row>
    <row r="631" ht="15.75" customHeight="1">
      <c r="A631" s="31"/>
      <c r="B631" s="31"/>
      <c r="C631" s="31"/>
      <c r="D631" s="31"/>
      <c r="E631" s="31"/>
      <c r="F631" s="31"/>
      <c r="G631" s="31"/>
      <c r="H631" s="31"/>
      <c r="I631" s="31"/>
    </row>
    <row r="632" ht="15.75" customHeight="1">
      <c r="A632" s="31"/>
      <c r="B632" s="31"/>
      <c r="C632" s="31"/>
      <c r="D632" s="31"/>
      <c r="E632" s="31"/>
      <c r="F632" s="31"/>
      <c r="G632" s="31"/>
      <c r="H632" s="31"/>
      <c r="I632" s="31"/>
    </row>
    <row r="633" ht="15.75" customHeight="1">
      <c r="A633" s="31"/>
      <c r="B633" s="31"/>
      <c r="C633" s="31"/>
      <c r="D633" s="31"/>
      <c r="E633" s="31"/>
      <c r="F633" s="31"/>
      <c r="G633" s="31"/>
      <c r="H633" s="31"/>
      <c r="I633" s="31"/>
    </row>
    <row r="634" ht="15.75" customHeight="1">
      <c r="A634" s="31"/>
      <c r="B634" s="31"/>
      <c r="C634" s="31"/>
      <c r="D634" s="31"/>
      <c r="E634" s="31"/>
      <c r="F634" s="31"/>
      <c r="G634" s="31"/>
      <c r="H634" s="31"/>
      <c r="I634" s="31"/>
    </row>
    <row r="635" ht="15.75" customHeight="1">
      <c r="A635" s="31"/>
      <c r="B635" s="31"/>
      <c r="C635" s="31"/>
      <c r="D635" s="31"/>
      <c r="E635" s="31"/>
      <c r="F635" s="31"/>
      <c r="G635" s="31"/>
      <c r="H635" s="31"/>
      <c r="I635" s="31"/>
    </row>
    <row r="636" ht="15.75" customHeight="1">
      <c r="A636" s="31"/>
      <c r="B636" s="31"/>
      <c r="C636" s="31"/>
      <c r="D636" s="31"/>
      <c r="E636" s="31"/>
      <c r="F636" s="31"/>
      <c r="G636" s="31"/>
      <c r="H636" s="31"/>
      <c r="I636" s="31"/>
    </row>
    <row r="637" ht="15.75" customHeight="1">
      <c r="A637" s="31"/>
      <c r="B637" s="31"/>
      <c r="C637" s="31"/>
      <c r="D637" s="31"/>
      <c r="E637" s="31"/>
      <c r="F637" s="31"/>
      <c r="G637" s="31"/>
      <c r="H637" s="31"/>
      <c r="I637" s="31"/>
    </row>
    <row r="638" ht="15.75" customHeight="1">
      <c r="A638" s="31"/>
      <c r="B638" s="31"/>
      <c r="C638" s="31"/>
      <c r="D638" s="31"/>
      <c r="E638" s="31"/>
      <c r="F638" s="31"/>
      <c r="G638" s="31"/>
      <c r="H638" s="31"/>
      <c r="I638" s="31"/>
    </row>
    <row r="639" ht="15.75" customHeight="1">
      <c r="A639" s="31"/>
      <c r="B639" s="31"/>
      <c r="C639" s="31"/>
      <c r="D639" s="31"/>
      <c r="E639" s="31"/>
      <c r="F639" s="31"/>
      <c r="G639" s="31"/>
      <c r="H639" s="31"/>
      <c r="I639" s="31"/>
    </row>
    <row r="640" ht="15.75" customHeight="1">
      <c r="A640" s="31"/>
      <c r="B640" s="31"/>
      <c r="C640" s="31"/>
      <c r="D640" s="31"/>
      <c r="E640" s="31"/>
      <c r="F640" s="31"/>
      <c r="G640" s="31"/>
      <c r="H640" s="31"/>
      <c r="I640" s="31"/>
    </row>
    <row r="641" ht="15.75" customHeight="1">
      <c r="A641" s="31"/>
      <c r="B641" s="31"/>
      <c r="C641" s="31"/>
      <c r="D641" s="31"/>
      <c r="E641" s="31"/>
      <c r="F641" s="31"/>
      <c r="G641" s="31"/>
      <c r="H641" s="31"/>
      <c r="I641" s="31"/>
    </row>
    <row r="642" ht="15.75" customHeight="1">
      <c r="A642" s="31"/>
      <c r="B642" s="31"/>
      <c r="C642" s="31"/>
      <c r="D642" s="31"/>
      <c r="E642" s="31"/>
      <c r="F642" s="31"/>
      <c r="G642" s="31"/>
      <c r="H642" s="31"/>
      <c r="I642" s="31"/>
    </row>
    <row r="643" ht="15.75" customHeight="1">
      <c r="A643" s="31"/>
      <c r="B643" s="31"/>
      <c r="C643" s="31"/>
      <c r="D643" s="31"/>
      <c r="E643" s="31"/>
      <c r="F643" s="31"/>
      <c r="G643" s="31"/>
      <c r="H643" s="31"/>
      <c r="I643" s="31"/>
    </row>
    <row r="644" ht="15.75" customHeight="1">
      <c r="A644" s="31"/>
      <c r="B644" s="31"/>
      <c r="C644" s="31"/>
      <c r="D644" s="31"/>
      <c r="E644" s="31"/>
      <c r="F644" s="31"/>
      <c r="G644" s="31"/>
      <c r="H644" s="31"/>
      <c r="I644" s="31"/>
    </row>
    <row r="645" ht="15.75" customHeight="1">
      <c r="A645" s="31"/>
      <c r="B645" s="31"/>
      <c r="C645" s="31"/>
      <c r="D645" s="31"/>
      <c r="E645" s="31"/>
      <c r="F645" s="31"/>
      <c r="G645" s="31"/>
      <c r="H645" s="31"/>
      <c r="I645" s="31"/>
    </row>
    <row r="646" ht="15.75" customHeight="1">
      <c r="A646" s="31"/>
      <c r="B646" s="31"/>
      <c r="C646" s="31"/>
      <c r="D646" s="31"/>
      <c r="E646" s="31"/>
      <c r="F646" s="31"/>
      <c r="G646" s="31"/>
      <c r="H646" s="31"/>
      <c r="I646" s="31"/>
    </row>
    <row r="647" ht="15.75" customHeight="1">
      <c r="A647" s="31"/>
      <c r="B647" s="31"/>
      <c r="C647" s="31"/>
      <c r="D647" s="31"/>
      <c r="E647" s="31"/>
      <c r="F647" s="31"/>
      <c r="G647" s="31"/>
      <c r="H647" s="31"/>
      <c r="I647" s="31"/>
    </row>
    <row r="648" ht="15.75" customHeight="1">
      <c r="A648" s="31"/>
      <c r="B648" s="31"/>
      <c r="C648" s="31"/>
      <c r="D648" s="31"/>
      <c r="E648" s="31"/>
      <c r="F648" s="31"/>
      <c r="G648" s="31"/>
      <c r="H648" s="31"/>
      <c r="I648" s="31"/>
    </row>
    <row r="649" ht="15.75" customHeight="1">
      <c r="A649" s="31"/>
      <c r="B649" s="31"/>
      <c r="C649" s="31"/>
      <c r="D649" s="31"/>
      <c r="E649" s="31"/>
      <c r="F649" s="31"/>
      <c r="G649" s="31"/>
      <c r="H649" s="31"/>
      <c r="I649" s="31"/>
    </row>
    <row r="650" ht="15.75" customHeight="1">
      <c r="A650" s="31"/>
      <c r="B650" s="31"/>
      <c r="C650" s="31"/>
      <c r="D650" s="31"/>
      <c r="E650" s="31"/>
      <c r="F650" s="31"/>
      <c r="G650" s="31"/>
      <c r="H650" s="31"/>
      <c r="I650" s="31"/>
    </row>
    <row r="651" ht="15.75" customHeight="1">
      <c r="A651" s="31"/>
      <c r="B651" s="31"/>
      <c r="C651" s="31"/>
      <c r="D651" s="31"/>
      <c r="E651" s="31"/>
      <c r="F651" s="31"/>
      <c r="G651" s="31"/>
      <c r="H651" s="31"/>
      <c r="I651" s="31"/>
    </row>
    <row r="652" ht="15.75" customHeight="1">
      <c r="A652" s="31"/>
      <c r="B652" s="31"/>
      <c r="C652" s="31"/>
      <c r="D652" s="31"/>
      <c r="E652" s="31"/>
      <c r="F652" s="31"/>
      <c r="G652" s="31"/>
      <c r="H652" s="31"/>
      <c r="I652" s="31"/>
    </row>
    <row r="653" ht="15.75" customHeight="1">
      <c r="A653" s="31"/>
      <c r="B653" s="31"/>
      <c r="C653" s="31"/>
      <c r="D653" s="31"/>
      <c r="E653" s="31"/>
      <c r="F653" s="31"/>
      <c r="G653" s="31"/>
      <c r="H653" s="31"/>
      <c r="I653" s="31"/>
    </row>
    <row r="654" ht="15.75" customHeight="1">
      <c r="A654" s="31"/>
      <c r="B654" s="31"/>
      <c r="C654" s="31"/>
      <c r="D654" s="31"/>
      <c r="E654" s="31"/>
      <c r="F654" s="31"/>
      <c r="G654" s="31"/>
      <c r="H654" s="31"/>
      <c r="I654" s="31"/>
    </row>
    <row r="655" ht="15.75" customHeight="1">
      <c r="A655" s="31"/>
      <c r="B655" s="31"/>
      <c r="C655" s="31"/>
      <c r="D655" s="31"/>
      <c r="E655" s="31"/>
      <c r="F655" s="31"/>
      <c r="G655" s="31"/>
      <c r="H655" s="31"/>
      <c r="I655" s="31"/>
    </row>
    <row r="656" ht="15.75" customHeight="1">
      <c r="A656" s="31"/>
      <c r="B656" s="31"/>
      <c r="C656" s="31"/>
      <c r="D656" s="31"/>
      <c r="E656" s="31"/>
      <c r="F656" s="31"/>
      <c r="G656" s="31"/>
      <c r="H656" s="31"/>
      <c r="I656" s="31"/>
    </row>
    <row r="657" ht="15.75" customHeight="1">
      <c r="A657" s="31"/>
      <c r="B657" s="31"/>
      <c r="C657" s="31"/>
      <c r="D657" s="31"/>
      <c r="E657" s="31"/>
      <c r="F657" s="31"/>
      <c r="G657" s="31"/>
      <c r="H657" s="31"/>
      <c r="I657" s="31"/>
    </row>
    <row r="658" ht="15.75" customHeight="1">
      <c r="A658" s="31"/>
      <c r="B658" s="31"/>
      <c r="C658" s="31"/>
      <c r="D658" s="31"/>
      <c r="E658" s="31"/>
      <c r="F658" s="31"/>
      <c r="G658" s="31"/>
      <c r="H658" s="31"/>
      <c r="I658" s="31"/>
    </row>
    <row r="659" ht="15.75" customHeight="1">
      <c r="A659" s="31"/>
      <c r="B659" s="31"/>
      <c r="C659" s="31"/>
      <c r="D659" s="31"/>
      <c r="E659" s="31"/>
      <c r="F659" s="31"/>
      <c r="G659" s="31"/>
      <c r="H659" s="31"/>
      <c r="I659" s="31"/>
    </row>
    <row r="660" ht="15.75" customHeight="1">
      <c r="A660" s="31"/>
      <c r="B660" s="31"/>
      <c r="C660" s="31"/>
      <c r="D660" s="31"/>
      <c r="E660" s="31"/>
      <c r="F660" s="31"/>
      <c r="G660" s="31"/>
      <c r="H660" s="31"/>
      <c r="I660" s="31"/>
    </row>
    <row r="661" ht="15.75" customHeight="1">
      <c r="A661" s="31"/>
      <c r="B661" s="31"/>
      <c r="C661" s="31"/>
      <c r="D661" s="31"/>
      <c r="E661" s="31"/>
      <c r="F661" s="31"/>
      <c r="G661" s="31"/>
      <c r="H661" s="31"/>
      <c r="I661" s="31"/>
    </row>
    <row r="662" ht="15.75" customHeight="1">
      <c r="A662" s="31"/>
      <c r="B662" s="31"/>
      <c r="C662" s="31"/>
      <c r="D662" s="31"/>
      <c r="E662" s="31"/>
      <c r="F662" s="31"/>
      <c r="G662" s="31"/>
      <c r="H662" s="31"/>
      <c r="I662" s="31"/>
    </row>
    <row r="663" ht="15.75" customHeight="1">
      <c r="A663" s="31"/>
      <c r="B663" s="31"/>
      <c r="C663" s="31"/>
      <c r="D663" s="31"/>
      <c r="E663" s="31"/>
      <c r="F663" s="31"/>
      <c r="G663" s="31"/>
      <c r="H663" s="31"/>
      <c r="I663" s="31"/>
    </row>
    <row r="664" ht="15.75" customHeight="1">
      <c r="A664" s="31"/>
      <c r="B664" s="31"/>
      <c r="C664" s="31"/>
      <c r="D664" s="31"/>
      <c r="E664" s="31"/>
      <c r="F664" s="31"/>
      <c r="G664" s="31"/>
      <c r="H664" s="31"/>
      <c r="I664" s="31"/>
    </row>
    <row r="665" ht="15.75" customHeight="1">
      <c r="A665" s="31"/>
      <c r="B665" s="31"/>
      <c r="C665" s="31"/>
      <c r="D665" s="31"/>
      <c r="E665" s="31"/>
      <c r="F665" s="31"/>
      <c r="G665" s="31"/>
      <c r="H665" s="31"/>
      <c r="I665" s="31"/>
    </row>
    <row r="666" ht="15.75" customHeight="1">
      <c r="A666" s="31"/>
      <c r="B666" s="31"/>
      <c r="C666" s="31"/>
      <c r="D666" s="31"/>
      <c r="E666" s="31"/>
      <c r="F666" s="31"/>
      <c r="G666" s="31"/>
      <c r="H666" s="31"/>
      <c r="I666" s="31"/>
    </row>
    <row r="667" ht="15.75" customHeight="1">
      <c r="A667" s="31"/>
      <c r="B667" s="31"/>
      <c r="C667" s="31"/>
      <c r="D667" s="31"/>
      <c r="E667" s="31"/>
      <c r="F667" s="31"/>
      <c r="G667" s="31"/>
      <c r="H667" s="31"/>
      <c r="I667" s="31"/>
    </row>
    <row r="668" ht="15.75" customHeight="1">
      <c r="A668" s="31"/>
      <c r="B668" s="31"/>
      <c r="C668" s="31"/>
      <c r="D668" s="31"/>
      <c r="E668" s="31"/>
      <c r="F668" s="31"/>
      <c r="G668" s="31"/>
      <c r="H668" s="31"/>
      <c r="I668" s="31"/>
    </row>
    <row r="669" ht="15.75" customHeight="1">
      <c r="A669" s="31"/>
      <c r="B669" s="31"/>
      <c r="C669" s="31"/>
      <c r="D669" s="31"/>
      <c r="E669" s="31"/>
      <c r="F669" s="31"/>
      <c r="G669" s="31"/>
      <c r="H669" s="31"/>
      <c r="I669" s="31"/>
    </row>
    <row r="670" ht="15.75" customHeight="1">
      <c r="A670" s="31"/>
      <c r="B670" s="31"/>
      <c r="C670" s="31"/>
      <c r="D670" s="31"/>
      <c r="E670" s="31"/>
      <c r="F670" s="31"/>
      <c r="G670" s="31"/>
      <c r="H670" s="31"/>
      <c r="I670" s="31"/>
    </row>
    <row r="671" ht="15.75" customHeight="1">
      <c r="A671" s="31"/>
      <c r="B671" s="31"/>
      <c r="C671" s="31"/>
      <c r="D671" s="31"/>
      <c r="E671" s="31"/>
      <c r="F671" s="31"/>
      <c r="G671" s="31"/>
      <c r="H671" s="31"/>
      <c r="I671" s="31"/>
    </row>
    <row r="672" ht="15.75" customHeight="1">
      <c r="A672" s="31"/>
      <c r="B672" s="31"/>
      <c r="C672" s="31"/>
      <c r="D672" s="31"/>
      <c r="E672" s="31"/>
      <c r="F672" s="31"/>
      <c r="G672" s="31"/>
      <c r="H672" s="31"/>
      <c r="I672" s="31"/>
    </row>
    <row r="673" ht="15.75" customHeight="1">
      <c r="A673" s="31"/>
      <c r="B673" s="31"/>
      <c r="C673" s="31"/>
      <c r="D673" s="31"/>
      <c r="E673" s="31"/>
      <c r="F673" s="31"/>
      <c r="G673" s="31"/>
      <c r="H673" s="31"/>
      <c r="I673" s="31"/>
    </row>
    <row r="674" ht="15.75" customHeight="1">
      <c r="A674" s="31"/>
      <c r="B674" s="31"/>
      <c r="C674" s="31"/>
      <c r="D674" s="31"/>
      <c r="E674" s="31"/>
      <c r="F674" s="31"/>
      <c r="G674" s="31"/>
      <c r="H674" s="31"/>
      <c r="I674" s="31"/>
    </row>
    <row r="675" ht="15.75" customHeight="1">
      <c r="A675" s="31"/>
      <c r="B675" s="31"/>
      <c r="C675" s="31"/>
      <c r="D675" s="31"/>
      <c r="E675" s="31"/>
      <c r="F675" s="31"/>
      <c r="G675" s="31"/>
      <c r="H675" s="31"/>
      <c r="I675" s="31"/>
    </row>
    <row r="676" ht="15.75" customHeight="1">
      <c r="A676" s="31"/>
      <c r="B676" s="31"/>
      <c r="C676" s="31"/>
      <c r="D676" s="31"/>
      <c r="E676" s="31"/>
      <c r="F676" s="31"/>
      <c r="G676" s="31"/>
      <c r="H676" s="31"/>
      <c r="I676" s="31"/>
    </row>
    <row r="677" ht="15.75" customHeight="1">
      <c r="A677" s="31"/>
      <c r="B677" s="31"/>
      <c r="C677" s="31"/>
      <c r="D677" s="31"/>
      <c r="E677" s="31"/>
      <c r="F677" s="31"/>
      <c r="G677" s="31"/>
      <c r="H677" s="31"/>
      <c r="I677" s="31"/>
    </row>
    <row r="678" ht="15.75" customHeight="1">
      <c r="A678" s="31"/>
      <c r="B678" s="31"/>
      <c r="C678" s="31"/>
      <c r="D678" s="31"/>
      <c r="E678" s="31"/>
      <c r="F678" s="31"/>
      <c r="G678" s="31"/>
      <c r="H678" s="31"/>
      <c r="I678" s="31"/>
    </row>
    <row r="679" ht="15.75" customHeight="1">
      <c r="A679" s="31"/>
      <c r="B679" s="31"/>
      <c r="C679" s="31"/>
      <c r="D679" s="31"/>
      <c r="E679" s="31"/>
      <c r="F679" s="31"/>
      <c r="G679" s="31"/>
      <c r="H679" s="31"/>
      <c r="I679" s="31"/>
    </row>
    <row r="680" ht="15.75" customHeight="1">
      <c r="A680" s="31"/>
      <c r="B680" s="31"/>
      <c r="C680" s="31"/>
      <c r="D680" s="31"/>
      <c r="E680" s="31"/>
      <c r="F680" s="31"/>
      <c r="G680" s="31"/>
      <c r="H680" s="31"/>
      <c r="I680" s="31"/>
    </row>
    <row r="681" ht="15.75" customHeight="1">
      <c r="A681" s="31"/>
      <c r="B681" s="31"/>
      <c r="C681" s="31"/>
      <c r="D681" s="31"/>
      <c r="E681" s="31"/>
      <c r="F681" s="31"/>
      <c r="G681" s="31"/>
      <c r="H681" s="31"/>
      <c r="I681" s="31"/>
    </row>
    <row r="682" ht="15.75" customHeight="1">
      <c r="A682" s="31"/>
      <c r="B682" s="31"/>
      <c r="C682" s="31"/>
      <c r="D682" s="31"/>
      <c r="E682" s="31"/>
      <c r="F682" s="31"/>
      <c r="G682" s="31"/>
      <c r="H682" s="31"/>
      <c r="I682" s="31"/>
    </row>
    <row r="683" ht="15.75" customHeight="1">
      <c r="A683" s="31"/>
      <c r="B683" s="31"/>
      <c r="C683" s="31"/>
      <c r="D683" s="31"/>
      <c r="E683" s="31"/>
      <c r="F683" s="31"/>
      <c r="G683" s="31"/>
      <c r="H683" s="31"/>
      <c r="I683" s="31"/>
    </row>
    <row r="684" ht="15.75" customHeight="1">
      <c r="A684" s="31"/>
      <c r="B684" s="31"/>
      <c r="C684" s="31"/>
      <c r="D684" s="31"/>
      <c r="E684" s="31"/>
      <c r="F684" s="31"/>
      <c r="G684" s="31"/>
      <c r="H684" s="31"/>
      <c r="I684" s="31"/>
    </row>
    <row r="685" ht="15.75" customHeight="1">
      <c r="A685" s="31"/>
      <c r="B685" s="31"/>
      <c r="C685" s="31"/>
      <c r="D685" s="31"/>
      <c r="E685" s="31"/>
      <c r="F685" s="31"/>
      <c r="G685" s="31"/>
      <c r="H685" s="31"/>
      <c r="I685" s="31"/>
    </row>
    <row r="686" ht="15.75" customHeight="1">
      <c r="A686" s="31"/>
      <c r="B686" s="31"/>
      <c r="C686" s="31"/>
      <c r="D686" s="31"/>
      <c r="E686" s="31"/>
      <c r="F686" s="31"/>
      <c r="G686" s="31"/>
      <c r="H686" s="31"/>
      <c r="I686" s="31"/>
    </row>
    <row r="687" ht="15.75" customHeight="1">
      <c r="A687" s="31"/>
      <c r="B687" s="31"/>
      <c r="C687" s="31"/>
      <c r="D687" s="31"/>
      <c r="E687" s="31"/>
      <c r="F687" s="31"/>
      <c r="G687" s="31"/>
      <c r="H687" s="31"/>
      <c r="I687" s="31"/>
    </row>
    <row r="688" ht="15.75" customHeight="1">
      <c r="A688" s="31"/>
      <c r="B688" s="31"/>
      <c r="C688" s="31"/>
      <c r="D688" s="31"/>
      <c r="E688" s="31"/>
      <c r="F688" s="31"/>
      <c r="G688" s="31"/>
      <c r="H688" s="31"/>
      <c r="I688" s="31"/>
    </row>
    <row r="689" ht="15.75" customHeight="1">
      <c r="A689" s="31"/>
      <c r="B689" s="31"/>
      <c r="C689" s="31"/>
      <c r="D689" s="31"/>
      <c r="E689" s="31"/>
      <c r="F689" s="31"/>
      <c r="G689" s="31"/>
      <c r="H689" s="31"/>
      <c r="I689" s="31"/>
    </row>
    <row r="690" ht="15.75" customHeight="1">
      <c r="A690" s="31"/>
      <c r="B690" s="31"/>
      <c r="C690" s="31"/>
      <c r="D690" s="31"/>
      <c r="E690" s="31"/>
      <c r="F690" s="31"/>
      <c r="G690" s="31"/>
      <c r="H690" s="31"/>
      <c r="I690" s="31"/>
    </row>
    <row r="691" ht="15.75" customHeight="1">
      <c r="A691" s="31"/>
      <c r="B691" s="31"/>
      <c r="C691" s="31"/>
      <c r="D691" s="31"/>
      <c r="E691" s="31"/>
      <c r="F691" s="31"/>
      <c r="G691" s="31"/>
      <c r="H691" s="31"/>
      <c r="I691" s="31"/>
    </row>
    <row r="692" ht="15.75" customHeight="1">
      <c r="A692" s="31"/>
      <c r="B692" s="31"/>
      <c r="C692" s="31"/>
      <c r="D692" s="31"/>
      <c r="E692" s="31"/>
      <c r="F692" s="31"/>
      <c r="G692" s="31"/>
      <c r="H692" s="31"/>
      <c r="I692" s="31"/>
    </row>
    <row r="693" ht="15.75" customHeight="1">
      <c r="A693" s="31"/>
      <c r="B693" s="31"/>
      <c r="C693" s="31"/>
      <c r="D693" s="31"/>
      <c r="E693" s="31"/>
      <c r="F693" s="31"/>
      <c r="G693" s="31"/>
      <c r="H693" s="31"/>
      <c r="I693" s="31"/>
    </row>
    <row r="694" ht="15.75" customHeight="1">
      <c r="A694" s="31"/>
      <c r="B694" s="31"/>
      <c r="C694" s="31"/>
      <c r="D694" s="31"/>
      <c r="E694" s="31"/>
      <c r="F694" s="31"/>
      <c r="G694" s="31"/>
      <c r="H694" s="31"/>
      <c r="I694" s="31"/>
    </row>
    <row r="695" ht="15.75" customHeight="1">
      <c r="A695" s="31"/>
      <c r="B695" s="31"/>
      <c r="C695" s="31"/>
      <c r="D695" s="31"/>
      <c r="E695" s="31"/>
      <c r="F695" s="31"/>
      <c r="G695" s="31"/>
      <c r="H695" s="31"/>
      <c r="I695" s="31"/>
    </row>
    <row r="696" ht="15.75" customHeight="1">
      <c r="A696" s="31"/>
      <c r="B696" s="31"/>
      <c r="C696" s="31"/>
      <c r="D696" s="31"/>
      <c r="E696" s="31"/>
      <c r="F696" s="31"/>
      <c r="G696" s="31"/>
      <c r="H696" s="31"/>
      <c r="I696" s="31"/>
    </row>
    <row r="697" ht="15.75" customHeight="1">
      <c r="A697" s="31"/>
      <c r="B697" s="31"/>
      <c r="C697" s="31"/>
      <c r="D697" s="31"/>
      <c r="E697" s="31"/>
      <c r="F697" s="31"/>
      <c r="G697" s="31"/>
      <c r="H697" s="31"/>
      <c r="I697" s="31"/>
    </row>
    <row r="698" ht="15.75" customHeight="1">
      <c r="A698" s="31"/>
      <c r="B698" s="31"/>
      <c r="C698" s="31"/>
      <c r="D698" s="31"/>
      <c r="E698" s="31"/>
      <c r="F698" s="31"/>
      <c r="G698" s="31"/>
      <c r="H698" s="31"/>
      <c r="I698" s="31"/>
    </row>
    <row r="699" ht="15.75" customHeight="1">
      <c r="A699" s="31"/>
      <c r="B699" s="31"/>
      <c r="C699" s="31"/>
      <c r="D699" s="31"/>
      <c r="E699" s="31"/>
      <c r="F699" s="31"/>
      <c r="G699" s="31"/>
      <c r="H699" s="31"/>
      <c r="I699" s="31"/>
    </row>
    <row r="700" ht="15.75" customHeight="1">
      <c r="A700" s="31"/>
      <c r="B700" s="31"/>
      <c r="C700" s="31"/>
      <c r="D700" s="31"/>
      <c r="E700" s="31"/>
      <c r="F700" s="31"/>
      <c r="G700" s="31"/>
      <c r="H700" s="31"/>
      <c r="I700" s="31"/>
    </row>
    <row r="701" ht="15.75" customHeight="1">
      <c r="A701" s="31"/>
      <c r="B701" s="31"/>
      <c r="C701" s="31"/>
      <c r="D701" s="31"/>
      <c r="E701" s="31"/>
      <c r="F701" s="31"/>
      <c r="G701" s="31"/>
      <c r="H701" s="31"/>
      <c r="I701" s="31"/>
    </row>
    <row r="702" ht="15.75" customHeight="1">
      <c r="A702" s="31"/>
      <c r="B702" s="31"/>
      <c r="C702" s="31"/>
      <c r="D702" s="31"/>
      <c r="E702" s="31"/>
      <c r="F702" s="31"/>
      <c r="G702" s="31"/>
      <c r="H702" s="31"/>
      <c r="I702" s="31"/>
    </row>
    <row r="703" ht="15.75" customHeight="1">
      <c r="A703" s="31"/>
      <c r="B703" s="31"/>
      <c r="C703" s="31"/>
      <c r="D703" s="31"/>
      <c r="E703" s="31"/>
      <c r="F703" s="31"/>
      <c r="G703" s="31"/>
      <c r="H703" s="31"/>
      <c r="I703" s="31"/>
    </row>
    <row r="704" ht="15.75" customHeight="1">
      <c r="A704" s="31"/>
      <c r="B704" s="31"/>
      <c r="C704" s="31"/>
      <c r="D704" s="31"/>
      <c r="E704" s="31"/>
      <c r="F704" s="31"/>
      <c r="G704" s="31"/>
      <c r="H704" s="31"/>
      <c r="I704" s="31"/>
    </row>
    <row r="705" ht="15.75" customHeight="1">
      <c r="A705" s="31"/>
      <c r="B705" s="31"/>
      <c r="C705" s="31"/>
      <c r="D705" s="31"/>
      <c r="E705" s="31"/>
      <c r="F705" s="31"/>
      <c r="G705" s="31"/>
      <c r="H705" s="31"/>
      <c r="I705" s="31"/>
    </row>
    <row r="706" ht="15.75" customHeight="1">
      <c r="A706" s="31"/>
      <c r="B706" s="31"/>
      <c r="C706" s="31"/>
      <c r="D706" s="31"/>
      <c r="E706" s="31"/>
      <c r="F706" s="31"/>
      <c r="G706" s="31"/>
      <c r="H706" s="31"/>
      <c r="I706" s="31"/>
    </row>
    <row r="707" ht="15.75" customHeight="1">
      <c r="A707" s="31"/>
      <c r="B707" s="31"/>
      <c r="C707" s="31"/>
      <c r="D707" s="31"/>
      <c r="E707" s="31"/>
      <c r="F707" s="31"/>
      <c r="G707" s="31"/>
      <c r="H707" s="31"/>
      <c r="I707" s="31"/>
    </row>
    <row r="708" ht="15.75" customHeight="1">
      <c r="A708" s="31"/>
      <c r="B708" s="31"/>
      <c r="C708" s="31"/>
      <c r="D708" s="31"/>
      <c r="E708" s="31"/>
      <c r="F708" s="31"/>
      <c r="G708" s="31"/>
      <c r="H708" s="31"/>
      <c r="I708" s="31"/>
    </row>
    <row r="709" ht="15.75" customHeight="1">
      <c r="A709" s="31"/>
      <c r="B709" s="31"/>
      <c r="C709" s="31"/>
      <c r="D709" s="31"/>
      <c r="E709" s="31"/>
      <c r="F709" s="31"/>
      <c r="G709" s="31"/>
      <c r="H709" s="31"/>
      <c r="I709" s="31"/>
    </row>
    <row r="710" ht="15.75" customHeight="1">
      <c r="A710" s="31"/>
      <c r="B710" s="31"/>
      <c r="C710" s="31"/>
      <c r="D710" s="31"/>
      <c r="E710" s="31"/>
      <c r="F710" s="31"/>
      <c r="G710" s="31"/>
      <c r="H710" s="31"/>
      <c r="I710" s="31"/>
    </row>
    <row r="711" ht="15.75" customHeight="1">
      <c r="A711" s="31"/>
      <c r="B711" s="31"/>
      <c r="C711" s="31"/>
      <c r="D711" s="31"/>
      <c r="E711" s="31"/>
      <c r="F711" s="31"/>
      <c r="G711" s="31"/>
      <c r="H711" s="31"/>
      <c r="I711" s="31"/>
    </row>
    <row r="712" ht="15.75" customHeight="1">
      <c r="A712" s="31"/>
      <c r="B712" s="31"/>
      <c r="C712" s="31"/>
      <c r="D712" s="31"/>
      <c r="E712" s="31"/>
      <c r="F712" s="31"/>
      <c r="G712" s="31"/>
      <c r="H712" s="31"/>
      <c r="I712" s="31"/>
    </row>
    <row r="713" ht="15.75" customHeight="1">
      <c r="A713" s="31"/>
      <c r="B713" s="31"/>
      <c r="C713" s="31"/>
      <c r="D713" s="31"/>
      <c r="E713" s="31"/>
      <c r="F713" s="31"/>
      <c r="G713" s="31"/>
      <c r="H713" s="31"/>
      <c r="I713" s="31"/>
    </row>
    <row r="714" ht="15.75" customHeight="1">
      <c r="A714" s="31"/>
      <c r="B714" s="31"/>
      <c r="C714" s="31"/>
      <c r="D714" s="31"/>
      <c r="E714" s="31"/>
      <c r="F714" s="31"/>
      <c r="G714" s="31"/>
      <c r="H714" s="31"/>
      <c r="I714" s="31"/>
    </row>
    <row r="715" ht="15.75" customHeight="1">
      <c r="A715" s="31"/>
      <c r="B715" s="31"/>
      <c r="C715" s="31"/>
      <c r="D715" s="31"/>
      <c r="E715" s="31"/>
      <c r="F715" s="31"/>
      <c r="G715" s="31"/>
      <c r="H715" s="31"/>
      <c r="I715" s="31"/>
    </row>
    <row r="716" ht="15.75" customHeight="1">
      <c r="A716" s="31"/>
      <c r="B716" s="31"/>
      <c r="C716" s="31"/>
      <c r="D716" s="31"/>
      <c r="E716" s="31"/>
      <c r="F716" s="31"/>
      <c r="G716" s="31"/>
      <c r="H716" s="31"/>
      <c r="I716" s="31"/>
    </row>
    <row r="717" ht="15.75" customHeight="1">
      <c r="A717" s="31"/>
      <c r="B717" s="31"/>
      <c r="C717" s="31"/>
      <c r="D717" s="31"/>
      <c r="E717" s="31"/>
      <c r="F717" s="31"/>
      <c r="G717" s="31"/>
      <c r="H717" s="31"/>
      <c r="I717" s="31"/>
    </row>
    <row r="718" ht="15.75" customHeight="1">
      <c r="A718" s="31"/>
      <c r="B718" s="31"/>
      <c r="C718" s="31"/>
      <c r="D718" s="31"/>
      <c r="E718" s="31"/>
      <c r="F718" s="31"/>
      <c r="G718" s="31"/>
      <c r="H718" s="31"/>
      <c r="I718" s="31"/>
    </row>
    <row r="719" ht="15.75" customHeight="1">
      <c r="A719" s="31"/>
      <c r="B719" s="31"/>
      <c r="C719" s="31"/>
      <c r="D719" s="31"/>
      <c r="E719" s="31"/>
      <c r="F719" s="31"/>
      <c r="G719" s="31"/>
      <c r="H719" s="31"/>
      <c r="I719" s="31"/>
    </row>
    <row r="720" ht="15.75" customHeight="1">
      <c r="A720" s="31"/>
      <c r="B720" s="31"/>
      <c r="C720" s="31"/>
      <c r="D720" s="31"/>
      <c r="E720" s="31"/>
      <c r="F720" s="31"/>
      <c r="G720" s="31"/>
      <c r="H720" s="31"/>
      <c r="I720" s="31"/>
    </row>
    <row r="721" ht="15.75" customHeight="1">
      <c r="A721" s="31"/>
      <c r="B721" s="31"/>
      <c r="C721" s="31"/>
      <c r="D721" s="31"/>
      <c r="E721" s="31"/>
      <c r="F721" s="31"/>
      <c r="G721" s="31"/>
      <c r="H721" s="31"/>
      <c r="I721" s="31"/>
    </row>
    <row r="722" ht="15.75" customHeight="1">
      <c r="A722" s="31"/>
      <c r="B722" s="31"/>
      <c r="C722" s="31"/>
      <c r="D722" s="31"/>
      <c r="E722" s="31"/>
      <c r="F722" s="31"/>
      <c r="G722" s="31"/>
      <c r="H722" s="31"/>
      <c r="I722" s="31"/>
    </row>
    <row r="723" ht="15.75" customHeight="1">
      <c r="A723" s="31"/>
      <c r="B723" s="31"/>
      <c r="C723" s="31"/>
      <c r="D723" s="31"/>
      <c r="E723" s="31"/>
      <c r="F723" s="31"/>
      <c r="G723" s="31"/>
      <c r="H723" s="31"/>
      <c r="I723" s="31"/>
    </row>
    <row r="724" ht="15.75" customHeight="1">
      <c r="A724" s="31"/>
      <c r="B724" s="31"/>
      <c r="C724" s="31"/>
      <c r="D724" s="31"/>
      <c r="E724" s="31"/>
      <c r="F724" s="31"/>
      <c r="G724" s="31"/>
      <c r="H724" s="31"/>
      <c r="I724" s="31"/>
    </row>
    <row r="725" ht="15.75" customHeight="1">
      <c r="A725" s="31"/>
      <c r="B725" s="31"/>
      <c r="C725" s="31"/>
      <c r="D725" s="31"/>
      <c r="E725" s="31"/>
      <c r="F725" s="31"/>
      <c r="G725" s="31"/>
      <c r="H725" s="31"/>
      <c r="I725" s="31"/>
    </row>
    <row r="726" ht="15.75" customHeight="1">
      <c r="A726" s="31"/>
      <c r="B726" s="31"/>
      <c r="C726" s="31"/>
      <c r="D726" s="31"/>
      <c r="E726" s="31"/>
      <c r="F726" s="31"/>
      <c r="G726" s="31"/>
      <c r="H726" s="31"/>
      <c r="I726" s="31"/>
    </row>
    <row r="727" ht="15.75" customHeight="1">
      <c r="A727" s="31"/>
      <c r="B727" s="31"/>
      <c r="C727" s="31"/>
      <c r="D727" s="31"/>
      <c r="E727" s="31"/>
      <c r="F727" s="31"/>
      <c r="G727" s="31"/>
      <c r="H727" s="31"/>
      <c r="I727" s="31"/>
    </row>
    <row r="728" ht="15.75" customHeight="1">
      <c r="A728" s="31"/>
      <c r="B728" s="31"/>
      <c r="C728" s="31"/>
      <c r="D728" s="31"/>
      <c r="E728" s="31"/>
      <c r="F728" s="31"/>
      <c r="G728" s="31"/>
      <c r="H728" s="31"/>
      <c r="I728" s="31"/>
    </row>
    <row r="729" ht="15.75" customHeight="1">
      <c r="A729" s="31"/>
      <c r="B729" s="31"/>
      <c r="C729" s="31"/>
      <c r="D729" s="31"/>
      <c r="E729" s="31"/>
      <c r="F729" s="31"/>
      <c r="G729" s="31"/>
      <c r="H729" s="31"/>
      <c r="I729" s="31"/>
    </row>
    <row r="730" ht="15.75" customHeight="1">
      <c r="A730" s="31"/>
      <c r="B730" s="31"/>
      <c r="C730" s="31"/>
      <c r="D730" s="31"/>
      <c r="E730" s="31"/>
      <c r="F730" s="31"/>
      <c r="G730" s="31"/>
      <c r="H730" s="31"/>
      <c r="I730" s="31"/>
    </row>
    <row r="731" ht="15.75" customHeight="1">
      <c r="A731" s="31"/>
      <c r="B731" s="31"/>
      <c r="C731" s="31"/>
      <c r="D731" s="31"/>
      <c r="E731" s="31"/>
      <c r="F731" s="31"/>
      <c r="G731" s="31"/>
      <c r="H731" s="31"/>
      <c r="I731" s="31"/>
    </row>
    <row r="732" ht="15.75" customHeight="1">
      <c r="A732" s="31"/>
      <c r="B732" s="31"/>
      <c r="C732" s="31"/>
      <c r="D732" s="31"/>
      <c r="E732" s="31"/>
      <c r="F732" s="31"/>
      <c r="G732" s="31"/>
      <c r="H732" s="31"/>
      <c r="I732" s="31"/>
    </row>
    <row r="733" ht="15.75" customHeight="1">
      <c r="A733" s="31"/>
      <c r="B733" s="31"/>
      <c r="C733" s="31"/>
      <c r="D733" s="31"/>
      <c r="E733" s="31"/>
      <c r="F733" s="31"/>
      <c r="G733" s="31"/>
      <c r="H733" s="31"/>
      <c r="I733" s="31"/>
    </row>
    <row r="734" ht="15.75" customHeight="1">
      <c r="A734" s="31"/>
      <c r="B734" s="31"/>
      <c r="C734" s="31"/>
      <c r="D734" s="31"/>
      <c r="E734" s="31"/>
      <c r="F734" s="31"/>
      <c r="G734" s="31"/>
      <c r="H734" s="31"/>
      <c r="I734" s="31"/>
    </row>
    <row r="735" ht="15.75" customHeight="1">
      <c r="A735" s="31"/>
      <c r="B735" s="31"/>
      <c r="C735" s="31"/>
      <c r="D735" s="31"/>
      <c r="E735" s="31"/>
      <c r="F735" s="31"/>
      <c r="G735" s="31"/>
      <c r="H735" s="31"/>
      <c r="I735" s="31"/>
    </row>
    <row r="736" ht="15.75" customHeight="1">
      <c r="A736" s="31"/>
      <c r="B736" s="31"/>
      <c r="C736" s="31"/>
      <c r="D736" s="31"/>
      <c r="E736" s="31"/>
      <c r="F736" s="31"/>
      <c r="G736" s="31"/>
      <c r="H736" s="31"/>
      <c r="I736" s="31"/>
    </row>
    <row r="737" ht="15.75" customHeight="1">
      <c r="A737" s="31"/>
      <c r="B737" s="31"/>
      <c r="C737" s="31"/>
      <c r="D737" s="31"/>
      <c r="E737" s="31"/>
      <c r="F737" s="31"/>
      <c r="G737" s="31"/>
      <c r="H737" s="31"/>
      <c r="I737" s="31"/>
    </row>
    <row r="738" ht="15.75" customHeight="1">
      <c r="A738" s="31"/>
      <c r="B738" s="31"/>
      <c r="C738" s="31"/>
      <c r="D738" s="31"/>
      <c r="E738" s="31"/>
      <c r="F738" s="31"/>
      <c r="G738" s="31"/>
      <c r="H738" s="31"/>
      <c r="I738" s="31"/>
    </row>
    <row r="739" ht="15.75" customHeight="1">
      <c r="A739" s="31"/>
      <c r="B739" s="31"/>
      <c r="C739" s="31"/>
      <c r="D739" s="31"/>
      <c r="E739" s="31"/>
      <c r="F739" s="31"/>
      <c r="G739" s="31"/>
      <c r="H739" s="31"/>
      <c r="I739" s="31"/>
    </row>
    <row r="740" ht="15.75" customHeight="1">
      <c r="A740" s="31"/>
      <c r="B740" s="31"/>
      <c r="C740" s="31"/>
      <c r="D740" s="31"/>
      <c r="E740" s="31"/>
      <c r="F740" s="31"/>
      <c r="G740" s="31"/>
      <c r="H740" s="31"/>
      <c r="I740" s="31"/>
    </row>
    <row r="741" ht="15.75" customHeight="1">
      <c r="A741" s="31"/>
      <c r="B741" s="31"/>
      <c r="C741" s="31"/>
      <c r="D741" s="31"/>
      <c r="E741" s="31"/>
      <c r="F741" s="31"/>
      <c r="G741" s="31"/>
      <c r="H741" s="31"/>
      <c r="I741" s="31"/>
    </row>
    <row r="742" ht="15.75" customHeight="1">
      <c r="A742" s="31"/>
      <c r="B742" s="31"/>
      <c r="C742" s="31"/>
      <c r="D742" s="31"/>
      <c r="E742" s="31"/>
      <c r="F742" s="31"/>
      <c r="G742" s="31"/>
      <c r="H742" s="31"/>
      <c r="I742" s="31"/>
    </row>
    <row r="743" ht="15.75" customHeight="1">
      <c r="A743" s="31"/>
      <c r="B743" s="31"/>
      <c r="C743" s="31"/>
      <c r="D743" s="31"/>
      <c r="E743" s="31"/>
      <c r="F743" s="31"/>
      <c r="G743" s="31"/>
      <c r="H743" s="31"/>
      <c r="I743" s="31"/>
    </row>
    <row r="744" ht="15.75" customHeight="1">
      <c r="A744" s="31"/>
      <c r="B744" s="31"/>
      <c r="C744" s="31"/>
      <c r="D744" s="31"/>
      <c r="E744" s="31"/>
      <c r="F744" s="31"/>
      <c r="G744" s="31"/>
      <c r="H744" s="31"/>
      <c r="I744" s="31"/>
    </row>
    <row r="745" ht="15.75" customHeight="1">
      <c r="A745" s="31"/>
      <c r="B745" s="31"/>
      <c r="C745" s="31"/>
      <c r="D745" s="31"/>
      <c r="E745" s="31"/>
      <c r="F745" s="31"/>
      <c r="G745" s="31"/>
      <c r="H745" s="31"/>
      <c r="I745" s="31"/>
    </row>
    <row r="746" ht="15.75" customHeight="1">
      <c r="A746" s="31"/>
      <c r="B746" s="31"/>
      <c r="C746" s="31"/>
      <c r="D746" s="31"/>
      <c r="E746" s="31"/>
      <c r="F746" s="31"/>
      <c r="G746" s="31"/>
      <c r="H746" s="31"/>
      <c r="I746" s="31"/>
    </row>
    <row r="747" ht="15.75" customHeight="1">
      <c r="A747" s="31"/>
      <c r="B747" s="31"/>
      <c r="C747" s="31"/>
      <c r="D747" s="31"/>
      <c r="E747" s="31"/>
      <c r="F747" s="31"/>
      <c r="G747" s="31"/>
      <c r="H747" s="31"/>
      <c r="I747" s="31"/>
    </row>
    <row r="748" ht="15.75" customHeight="1">
      <c r="A748" s="31"/>
      <c r="B748" s="31"/>
      <c r="C748" s="31"/>
      <c r="D748" s="31"/>
      <c r="E748" s="31"/>
      <c r="F748" s="31"/>
      <c r="G748" s="31"/>
      <c r="H748" s="31"/>
      <c r="I748" s="31"/>
    </row>
    <row r="749" ht="15.75" customHeight="1">
      <c r="A749" s="31"/>
      <c r="B749" s="31"/>
      <c r="C749" s="31"/>
      <c r="D749" s="31"/>
      <c r="E749" s="31"/>
      <c r="F749" s="31"/>
      <c r="G749" s="31"/>
      <c r="H749" s="31"/>
      <c r="I749" s="31"/>
    </row>
    <row r="750" ht="15.75" customHeight="1">
      <c r="A750" s="31"/>
      <c r="B750" s="31"/>
      <c r="C750" s="31"/>
      <c r="D750" s="31"/>
      <c r="E750" s="31"/>
      <c r="F750" s="31"/>
      <c r="G750" s="31"/>
      <c r="H750" s="31"/>
      <c r="I750" s="31"/>
    </row>
    <row r="751" ht="15.75" customHeight="1">
      <c r="A751" s="31"/>
      <c r="B751" s="31"/>
      <c r="C751" s="31"/>
      <c r="D751" s="31"/>
      <c r="E751" s="31"/>
      <c r="F751" s="31"/>
      <c r="G751" s="31"/>
      <c r="H751" s="31"/>
      <c r="I751" s="31"/>
    </row>
    <row r="752" ht="15.75" customHeight="1">
      <c r="A752" s="31"/>
      <c r="B752" s="31"/>
      <c r="C752" s="31"/>
      <c r="D752" s="31"/>
      <c r="E752" s="31"/>
      <c r="F752" s="31"/>
      <c r="G752" s="31"/>
      <c r="H752" s="31"/>
      <c r="I752" s="31"/>
    </row>
    <row r="753" ht="15.75" customHeight="1">
      <c r="A753" s="31"/>
      <c r="B753" s="31"/>
      <c r="C753" s="31"/>
      <c r="D753" s="31"/>
      <c r="E753" s="31"/>
      <c r="F753" s="31"/>
      <c r="G753" s="31"/>
      <c r="H753" s="31"/>
      <c r="I753" s="31"/>
    </row>
    <row r="754" ht="15.75" customHeight="1">
      <c r="A754" s="31"/>
      <c r="B754" s="31"/>
      <c r="C754" s="31"/>
      <c r="D754" s="31"/>
      <c r="E754" s="31"/>
      <c r="F754" s="31"/>
      <c r="G754" s="31"/>
      <c r="H754" s="31"/>
      <c r="I754" s="31"/>
    </row>
    <row r="755" ht="15.75" customHeight="1">
      <c r="A755" s="31"/>
      <c r="B755" s="31"/>
      <c r="C755" s="31"/>
      <c r="D755" s="31"/>
      <c r="E755" s="31"/>
      <c r="F755" s="31"/>
      <c r="G755" s="31"/>
      <c r="H755" s="31"/>
      <c r="I755" s="31"/>
    </row>
    <row r="756" ht="15.75" customHeight="1">
      <c r="A756" s="31"/>
      <c r="B756" s="31"/>
      <c r="C756" s="31"/>
      <c r="D756" s="31"/>
      <c r="E756" s="31"/>
      <c r="F756" s="31"/>
      <c r="G756" s="31"/>
      <c r="H756" s="31"/>
      <c r="I756" s="31"/>
    </row>
    <row r="757" ht="15.75" customHeight="1">
      <c r="A757" s="31"/>
      <c r="B757" s="31"/>
      <c r="C757" s="31"/>
      <c r="D757" s="31"/>
      <c r="E757" s="31"/>
      <c r="F757" s="31"/>
      <c r="G757" s="31"/>
      <c r="H757" s="31"/>
      <c r="I757" s="31"/>
    </row>
    <row r="758" ht="15.75" customHeight="1">
      <c r="A758" s="31"/>
      <c r="B758" s="31"/>
      <c r="C758" s="31"/>
      <c r="D758" s="31"/>
      <c r="E758" s="31"/>
      <c r="F758" s="31"/>
      <c r="G758" s="31"/>
      <c r="H758" s="31"/>
      <c r="I758" s="31"/>
    </row>
    <row r="759" ht="15.75" customHeight="1">
      <c r="A759" s="31"/>
      <c r="B759" s="31"/>
      <c r="C759" s="31"/>
      <c r="D759" s="31"/>
      <c r="E759" s="31"/>
      <c r="F759" s="31"/>
      <c r="G759" s="31"/>
      <c r="H759" s="31"/>
      <c r="I759" s="31"/>
    </row>
    <row r="760" ht="15.75" customHeight="1">
      <c r="A760" s="31"/>
      <c r="B760" s="31"/>
      <c r="C760" s="31"/>
      <c r="D760" s="31"/>
      <c r="E760" s="31"/>
      <c r="F760" s="31"/>
      <c r="G760" s="31"/>
      <c r="H760" s="31"/>
      <c r="I760" s="31"/>
    </row>
    <row r="761" ht="15.75" customHeight="1">
      <c r="A761" s="31"/>
      <c r="B761" s="31"/>
      <c r="C761" s="31"/>
      <c r="D761" s="31"/>
      <c r="E761" s="31"/>
      <c r="F761" s="31"/>
      <c r="G761" s="31"/>
      <c r="H761" s="31"/>
      <c r="I761" s="31"/>
    </row>
    <row r="762" ht="15.75" customHeight="1">
      <c r="A762" s="31"/>
      <c r="B762" s="31"/>
      <c r="C762" s="31"/>
      <c r="D762" s="31"/>
      <c r="E762" s="31"/>
      <c r="F762" s="31"/>
      <c r="G762" s="31"/>
      <c r="H762" s="31"/>
      <c r="I762" s="31"/>
    </row>
    <row r="763" ht="15.75" customHeight="1">
      <c r="A763" s="31"/>
      <c r="B763" s="31"/>
      <c r="C763" s="31"/>
      <c r="D763" s="31"/>
      <c r="E763" s="31"/>
      <c r="F763" s="31"/>
      <c r="G763" s="31"/>
      <c r="H763" s="31"/>
      <c r="I763" s="31"/>
    </row>
    <row r="764" ht="15.75" customHeight="1">
      <c r="A764" s="31"/>
      <c r="B764" s="31"/>
      <c r="C764" s="31"/>
      <c r="D764" s="31"/>
      <c r="E764" s="31"/>
      <c r="F764" s="31"/>
      <c r="G764" s="31"/>
      <c r="H764" s="31"/>
      <c r="I764" s="31"/>
    </row>
    <row r="765" ht="15.75" customHeight="1">
      <c r="A765" s="31"/>
      <c r="B765" s="31"/>
      <c r="C765" s="31"/>
      <c r="D765" s="31"/>
      <c r="E765" s="31"/>
      <c r="F765" s="31"/>
      <c r="G765" s="31"/>
      <c r="H765" s="31"/>
      <c r="I765" s="31"/>
    </row>
    <row r="766" ht="15.75" customHeight="1">
      <c r="A766" s="31"/>
      <c r="B766" s="31"/>
      <c r="C766" s="31"/>
      <c r="D766" s="31"/>
      <c r="E766" s="31"/>
      <c r="F766" s="31"/>
      <c r="G766" s="31"/>
      <c r="H766" s="31"/>
      <c r="I766" s="31"/>
    </row>
    <row r="767" ht="15.75" customHeight="1">
      <c r="A767" s="31"/>
      <c r="B767" s="31"/>
      <c r="C767" s="31"/>
      <c r="D767" s="31"/>
      <c r="E767" s="31"/>
      <c r="F767" s="31"/>
      <c r="G767" s="31"/>
      <c r="H767" s="31"/>
      <c r="I767" s="31"/>
    </row>
    <row r="768" ht="15.75" customHeight="1">
      <c r="A768" s="31"/>
      <c r="B768" s="31"/>
      <c r="C768" s="31"/>
      <c r="D768" s="31"/>
      <c r="E768" s="31"/>
      <c r="F768" s="31"/>
      <c r="G768" s="31"/>
      <c r="H768" s="31"/>
      <c r="I768" s="31"/>
    </row>
    <row r="769" ht="15.75" customHeight="1">
      <c r="A769" s="31"/>
      <c r="B769" s="31"/>
      <c r="C769" s="31"/>
      <c r="D769" s="31"/>
      <c r="E769" s="31"/>
      <c r="F769" s="31"/>
      <c r="G769" s="31"/>
      <c r="H769" s="31"/>
      <c r="I769" s="31"/>
    </row>
    <row r="770" ht="15.75" customHeight="1">
      <c r="A770" s="31"/>
      <c r="B770" s="31"/>
      <c r="C770" s="31"/>
      <c r="D770" s="31"/>
      <c r="E770" s="31"/>
      <c r="F770" s="31"/>
      <c r="G770" s="31"/>
      <c r="H770" s="31"/>
      <c r="I770" s="31"/>
    </row>
    <row r="771" ht="15.75" customHeight="1">
      <c r="A771" s="31"/>
      <c r="B771" s="31"/>
      <c r="C771" s="31"/>
      <c r="D771" s="31"/>
      <c r="E771" s="31"/>
      <c r="F771" s="31"/>
      <c r="G771" s="31"/>
      <c r="H771" s="31"/>
      <c r="I771" s="31"/>
    </row>
    <row r="772" ht="15.75" customHeight="1">
      <c r="A772" s="31"/>
      <c r="B772" s="31"/>
      <c r="C772" s="31"/>
      <c r="D772" s="31"/>
      <c r="E772" s="31"/>
      <c r="F772" s="31"/>
      <c r="G772" s="31"/>
      <c r="H772" s="31"/>
      <c r="I772" s="31"/>
    </row>
    <row r="773" ht="15.75" customHeight="1">
      <c r="A773" s="31"/>
      <c r="B773" s="31"/>
      <c r="C773" s="31"/>
      <c r="D773" s="31"/>
      <c r="E773" s="31"/>
      <c r="F773" s="31"/>
      <c r="G773" s="31"/>
      <c r="H773" s="31"/>
      <c r="I773" s="31"/>
    </row>
    <row r="774" ht="15.75" customHeight="1">
      <c r="A774" s="31"/>
      <c r="B774" s="31"/>
      <c r="C774" s="31"/>
      <c r="D774" s="31"/>
      <c r="E774" s="31"/>
      <c r="F774" s="31"/>
      <c r="G774" s="31"/>
      <c r="H774" s="31"/>
      <c r="I774" s="31"/>
    </row>
    <row r="775" ht="15.75" customHeight="1">
      <c r="A775" s="31"/>
      <c r="B775" s="31"/>
      <c r="C775" s="31"/>
      <c r="D775" s="31"/>
      <c r="E775" s="31"/>
      <c r="F775" s="31"/>
      <c r="G775" s="31"/>
      <c r="H775" s="31"/>
      <c r="I775" s="31"/>
    </row>
    <row r="776" ht="15.75" customHeight="1">
      <c r="A776" s="31"/>
      <c r="B776" s="31"/>
      <c r="C776" s="31"/>
      <c r="D776" s="31"/>
      <c r="E776" s="31"/>
      <c r="F776" s="31"/>
      <c r="G776" s="31"/>
      <c r="H776" s="31"/>
      <c r="I776" s="31"/>
    </row>
    <row r="777" ht="15.75" customHeight="1">
      <c r="A777" s="31"/>
      <c r="B777" s="31"/>
      <c r="C777" s="31"/>
      <c r="D777" s="31"/>
      <c r="E777" s="31"/>
      <c r="F777" s="31"/>
      <c r="G777" s="31"/>
      <c r="H777" s="31"/>
      <c r="I777" s="31"/>
    </row>
    <row r="778" ht="15.75" customHeight="1">
      <c r="A778" s="31"/>
      <c r="B778" s="31"/>
      <c r="C778" s="31"/>
      <c r="D778" s="31"/>
      <c r="E778" s="31"/>
      <c r="F778" s="31"/>
      <c r="G778" s="31"/>
      <c r="H778" s="31"/>
      <c r="I778" s="31"/>
    </row>
    <row r="779" ht="15.75" customHeight="1">
      <c r="A779" s="31"/>
      <c r="B779" s="31"/>
      <c r="C779" s="31"/>
      <c r="D779" s="31"/>
      <c r="E779" s="31"/>
      <c r="F779" s="31"/>
      <c r="G779" s="31"/>
      <c r="H779" s="31"/>
      <c r="I779" s="31"/>
    </row>
    <row r="780" ht="15.75" customHeight="1">
      <c r="A780" s="31"/>
      <c r="B780" s="31"/>
      <c r="C780" s="31"/>
      <c r="D780" s="31"/>
      <c r="E780" s="31"/>
      <c r="F780" s="31"/>
      <c r="G780" s="31"/>
      <c r="H780" s="31"/>
      <c r="I780" s="31"/>
    </row>
    <row r="781" ht="15.75" customHeight="1">
      <c r="A781" s="31"/>
      <c r="B781" s="31"/>
      <c r="C781" s="31"/>
      <c r="D781" s="31"/>
      <c r="E781" s="31"/>
      <c r="F781" s="31"/>
      <c r="G781" s="31"/>
      <c r="H781" s="31"/>
      <c r="I781" s="31"/>
    </row>
    <row r="782" ht="15.75" customHeight="1">
      <c r="A782" s="31"/>
      <c r="B782" s="31"/>
      <c r="C782" s="31"/>
      <c r="D782" s="31"/>
      <c r="E782" s="31"/>
      <c r="F782" s="31"/>
      <c r="G782" s="31"/>
      <c r="H782" s="31"/>
      <c r="I782" s="31"/>
    </row>
    <row r="783" ht="15.75" customHeight="1">
      <c r="A783" s="31"/>
      <c r="B783" s="31"/>
      <c r="C783" s="31"/>
      <c r="D783" s="31"/>
      <c r="E783" s="31"/>
      <c r="F783" s="31"/>
      <c r="G783" s="31"/>
      <c r="H783" s="31"/>
      <c r="I783" s="31"/>
    </row>
    <row r="784" ht="15.75" customHeight="1">
      <c r="A784" s="31"/>
      <c r="B784" s="31"/>
      <c r="C784" s="31"/>
      <c r="D784" s="31"/>
      <c r="E784" s="31"/>
      <c r="F784" s="31"/>
      <c r="G784" s="31"/>
      <c r="H784" s="31"/>
      <c r="I784" s="31"/>
    </row>
    <row r="785" ht="15.75" customHeight="1">
      <c r="A785" s="31"/>
      <c r="B785" s="31"/>
      <c r="C785" s="31"/>
      <c r="D785" s="31"/>
      <c r="E785" s="31"/>
      <c r="F785" s="31"/>
      <c r="G785" s="31"/>
      <c r="H785" s="31"/>
      <c r="I785" s="31"/>
    </row>
    <row r="786" ht="15.75" customHeight="1">
      <c r="A786" s="31"/>
      <c r="B786" s="31"/>
      <c r="C786" s="31"/>
      <c r="D786" s="31"/>
      <c r="E786" s="31"/>
      <c r="F786" s="31"/>
      <c r="G786" s="31"/>
      <c r="H786" s="31"/>
      <c r="I786" s="31"/>
    </row>
    <row r="787" ht="15.75" customHeight="1">
      <c r="A787" s="31"/>
      <c r="B787" s="31"/>
      <c r="C787" s="31"/>
      <c r="D787" s="31"/>
      <c r="E787" s="31"/>
      <c r="F787" s="31"/>
      <c r="G787" s="31"/>
      <c r="H787" s="31"/>
      <c r="I787" s="31"/>
    </row>
    <row r="788" ht="15.75" customHeight="1">
      <c r="A788" s="31"/>
      <c r="B788" s="31"/>
      <c r="C788" s="31"/>
      <c r="D788" s="31"/>
      <c r="E788" s="31"/>
      <c r="F788" s="31"/>
      <c r="G788" s="31"/>
      <c r="H788" s="31"/>
      <c r="I788" s="31"/>
    </row>
    <row r="789" ht="15.75" customHeight="1">
      <c r="A789" s="31"/>
      <c r="B789" s="31"/>
      <c r="C789" s="31"/>
      <c r="D789" s="31"/>
      <c r="E789" s="31"/>
      <c r="F789" s="31"/>
      <c r="G789" s="31"/>
      <c r="H789" s="31"/>
      <c r="I789" s="31"/>
    </row>
    <row r="790" ht="15.75" customHeight="1">
      <c r="A790" s="31"/>
      <c r="B790" s="31"/>
      <c r="C790" s="31"/>
      <c r="D790" s="31"/>
      <c r="E790" s="31"/>
      <c r="F790" s="31"/>
      <c r="G790" s="31"/>
      <c r="H790" s="31"/>
      <c r="I790" s="31"/>
    </row>
    <row r="791" ht="15.75" customHeight="1">
      <c r="A791" s="31"/>
      <c r="B791" s="31"/>
      <c r="C791" s="31"/>
      <c r="D791" s="31"/>
      <c r="E791" s="31"/>
      <c r="F791" s="31"/>
      <c r="G791" s="31"/>
      <c r="H791" s="31"/>
      <c r="I791" s="31"/>
    </row>
    <row r="792" ht="15.75" customHeight="1">
      <c r="A792" s="31"/>
      <c r="B792" s="31"/>
      <c r="C792" s="31"/>
      <c r="D792" s="31"/>
      <c r="E792" s="31"/>
      <c r="F792" s="31"/>
      <c r="G792" s="31"/>
      <c r="H792" s="31"/>
      <c r="I792" s="31"/>
    </row>
    <row r="793" ht="15.75" customHeight="1">
      <c r="A793" s="31"/>
      <c r="B793" s="31"/>
      <c r="C793" s="31"/>
      <c r="D793" s="31"/>
      <c r="E793" s="31"/>
      <c r="F793" s="31"/>
      <c r="G793" s="31"/>
      <c r="H793" s="31"/>
      <c r="I793" s="31"/>
    </row>
    <row r="794" ht="15.75" customHeight="1">
      <c r="A794" s="31"/>
      <c r="B794" s="31"/>
      <c r="C794" s="31"/>
      <c r="D794" s="31"/>
      <c r="E794" s="31"/>
      <c r="F794" s="31"/>
      <c r="G794" s="31"/>
      <c r="H794" s="31"/>
      <c r="I794" s="31"/>
    </row>
    <row r="795" ht="15.75" customHeight="1">
      <c r="A795" s="31"/>
      <c r="B795" s="31"/>
      <c r="C795" s="31"/>
      <c r="D795" s="31"/>
      <c r="E795" s="31"/>
      <c r="F795" s="31"/>
      <c r="G795" s="31"/>
      <c r="H795" s="31"/>
      <c r="I795" s="31"/>
    </row>
    <row r="796" ht="15.75" customHeight="1">
      <c r="A796" s="31"/>
      <c r="B796" s="31"/>
      <c r="C796" s="31"/>
      <c r="D796" s="31"/>
      <c r="E796" s="31"/>
      <c r="F796" s="31"/>
      <c r="G796" s="31"/>
      <c r="H796" s="31"/>
      <c r="I796" s="31"/>
    </row>
    <row r="797" ht="15.75" customHeight="1">
      <c r="A797" s="31"/>
      <c r="B797" s="31"/>
      <c r="C797" s="31"/>
      <c r="D797" s="31"/>
      <c r="E797" s="31"/>
      <c r="F797" s="31"/>
      <c r="G797" s="31"/>
      <c r="H797" s="31"/>
      <c r="I797" s="31"/>
    </row>
    <row r="798" ht="15.75" customHeight="1">
      <c r="A798" s="31"/>
      <c r="B798" s="31"/>
      <c r="C798" s="31"/>
      <c r="D798" s="31"/>
      <c r="E798" s="31"/>
      <c r="F798" s="31"/>
      <c r="G798" s="31"/>
      <c r="H798" s="31"/>
      <c r="I798" s="31"/>
    </row>
    <row r="799" ht="15.75" customHeight="1">
      <c r="A799" s="31"/>
      <c r="B799" s="31"/>
      <c r="C799" s="31"/>
      <c r="D799" s="31"/>
      <c r="E799" s="31"/>
      <c r="F799" s="31"/>
      <c r="G799" s="31"/>
      <c r="H799" s="31"/>
      <c r="I799" s="31"/>
    </row>
    <row r="800" ht="15.75" customHeight="1">
      <c r="A800" s="31"/>
      <c r="B800" s="31"/>
      <c r="C800" s="31"/>
      <c r="D800" s="31"/>
      <c r="E800" s="31"/>
      <c r="F800" s="31"/>
      <c r="G800" s="31"/>
      <c r="H800" s="31"/>
      <c r="I800" s="31"/>
    </row>
    <row r="801" ht="15.75" customHeight="1">
      <c r="A801" s="31"/>
      <c r="B801" s="31"/>
      <c r="C801" s="31"/>
      <c r="D801" s="31"/>
      <c r="E801" s="31"/>
      <c r="F801" s="31"/>
      <c r="G801" s="31"/>
      <c r="H801" s="31"/>
      <c r="I801" s="31"/>
    </row>
    <row r="802" ht="15.75" customHeight="1">
      <c r="A802" s="31"/>
      <c r="B802" s="31"/>
      <c r="C802" s="31"/>
      <c r="D802" s="31"/>
      <c r="E802" s="31"/>
      <c r="F802" s="31"/>
      <c r="G802" s="31"/>
      <c r="H802" s="31"/>
      <c r="I802" s="31"/>
    </row>
    <row r="803" ht="15.75" customHeight="1">
      <c r="A803" s="31"/>
      <c r="B803" s="31"/>
      <c r="C803" s="31"/>
      <c r="D803" s="31"/>
      <c r="E803" s="31"/>
      <c r="F803" s="31"/>
      <c r="G803" s="31"/>
      <c r="H803" s="31"/>
      <c r="I803" s="31"/>
    </row>
    <row r="804" ht="15.75" customHeight="1">
      <c r="A804" s="31"/>
      <c r="B804" s="31"/>
      <c r="C804" s="31"/>
      <c r="D804" s="31"/>
      <c r="E804" s="31"/>
      <c r="F804" s="31"/>
      <c r="G804" s="31"/>
      <c r="H804" s="31"/>
      <c r="I804" s="31"/>
    </row>
    <row r="805" ht="15.75" customHeight="1">
      <c r="A805" s="31"/>
      <c r="B805" s="31"/>
      <c r="C805" s="31"/>
      <c r="D805" s="31"/>
      <c r="E805" s="31"/>
      <c r="F805" s="31"/>
      <c r="G805" s="31"/>
      <c r="H805" s="31"/>
      <c r="I805" s="31"/>
    </row>
    <row r="806" ht="15.75" customHeight="1">
      <c r="A806" s="31"/>
      <c r="B806" s="31"/>
      <c r="C806" s="31"/>
      <c r="D806" s="31"/>
      <c r="E806" s="31"/>
      <c r="F806" s="31"/>
      <c r="G806" s="31"/>
      <c r="H806" s="31"/>
      <c r="I806" s="31"/>
    </row>
    <row r="807" ht="15.75" customHeight="1">
      <c r="A807" s="31"/>
      <c r="B807" s="31"/>
      <c r="C807" s="31"/>
      <c r="D807" s="31"/>
      <c r="E807" s="31"/>
      <c r="F807" s="31"/>
      <c r="G807" s="31"/>
      <c r="H807" s="31"/>
      <c r="I807" s="31"/>
    </row>
    <row r="808" ht="15.75" customHeight="1">
      <c r="A808" s="31"/>
      <c r="B808" s="31"/>
      <c r="C808" s="31"/>
      <c r="D808" s="31"/>
      <c r="E808" s="31"/>
      <c r="F808" s="31"/>
      <c r="G808" s="31"/>
      <c r="H808" s="31"/>
      <c r="I808" s="31"/>
    </row>
    <row r="809" ht="15.75" customHeight="1">
      <c r="A809" s="31"/>
      <c r="B809" s="31"/>
      <c r="C809" s="31"/>
      <c r="D809" s="31"/>
      <c r="E809" s="31"/>
      <c r="F809" s="31"/>
      <c r="G809" s="31"/>
      <c r="H809" s="31"/>
      <c r="I809" s="31"/>
    </row>
    <row r="810" ht="15.75" customHeight="1">
      <c r="A810" s="31"/>
      <c r="B810" s="31"/>
      <c r="C810" s="31"/>
      <c r="D810" s="31"/>
      <c r="E810" s="31"/>
      <c r="F810" s="31"/>
      <c r="G810" s="31"/>
      <c r="H810" s="31"/>
      <c r="I810" s="31"/>
    </row>
    <row r="811" ht="15.75" customHeight="1">
      <c r="A811" s="31"/>
      <c r="B811" s="31"/>
      <c r="C811" s="31"/>
      <c r="D811" s="31"/>
      <c r="E811" s="31"/>
      <c r="F811" s="31"/>
      <c r="G811" s="31"/>
      <c r="H811" s="31"/>
      <c r="I811" s="31"/>
    </row>
    <row r="812" ht="15.75" customHeight="1">
      <c r="A812" s="31"/>
      <c r="B812" s="31"/>
      <c r="C812" s="31"/>
      <c r="D812" s="31"/>
      <c r="E812" s="31"/>
      <c r="F812" s="31"/>
      <c r="G812" s="31"/>
      <c r="H812" s="31"/>
      <c r="I812" s="31"/>
    </row>
    <row r="813" ht="15.75" customHeight="1">
      <c r="A813" s="31"/>
      <c r="B813" s="31"/>
      <c r="C813" s="31"/>
      <c r="D813" s="31"/>
      <c r="E813" s="31"/>
      <c r="F813" s="31"/>
      <c r="G813" s="31"/>
      <c r="H813" s="31"/>
      <c r="I813" s="31"/>
    </row>
    <row r="814" ht="15.75" customHeight="1">
      <c r="A814" s="31"/>
      <c r="B814" s="31"/>
      <c r="C814" s="31"/>
      <c r="D814" s="31"/>
      <c r="E814" s="31"/>
      <c r="F814" s="31"/>
      <c r="G814" s="31"/>
      <c r="H814" s="31"/>
      <c r="I814" s="31"/>
    </row>
    <row r="815" ht="15.75" customHeight="1">
      <c r="A815" s="31"/>
      <c r="B815" s="31"/>
      <c r="C815" s="31"/>
      <c r="D815" s="31"/>
      <c r="E815" s="31"/>
      <c r="F815" s="31"/>
      <c r="G815" s="31"/>
      <c r="H815" s="31"/>
      <c r="I815" s="31"/>
    </row>
    <row r="816" ht="15.75" customHeight="1">
      <c r="A816" s="31"/>
      <c r="B816" s="31"/>
      <c r="C816" s="31"/>
      <c r="D816" s="31"/>
      <c r="E816" s="31"/>
      <c r="F816" s="31"/>
      <c r="G816" s="31"/>
      <c r="H816" s="31"/>
      <c r="I816" s="31"/>
    </row>
    <row r="817" ht="15.75" customHeight="1">
      <c r="A817" s="31"/>
      <c r="B817" s="31"/>
      <c r="C817" s="31"/>
      <c r="D817" s="31"/>
      <c r="E817" s="31"/>
      <c r="F817" s="31"/>
      <c r="G817" s="31"/>
      <c r="H817" s="31"/>
      <c r="I817" s="31"/>
    </row>
    <row r="818" ht="15.75" customHeight="1">
      <c r="A818" s="31"/>
      <c r="B818" s="31"/>
      <c r="C818" s="31"/>
      <c r="D818" s="31"/>
      <c r="E818" s="31"/>
      <c r="F818" s="31"/>
      <c r="G818" s="31"/>
      <c r="H818" s="31"/>
      <c r="I818" s="31"/>
    </row>
    <row r="819" ht="15.75" customHeight="1">
      <c r="A819" s="31"/>
      <c r="B819" s="31"/>
      <c r="C819" s="31"/>
      <c r="D819" s="31"/>
      <c r="E819" s="31"/>
      <c r="F819" s="31"/>
      <c r="G819" s="31"/>
      <c r="H819" s="31"/>
      <c r="I819" s="31"/>
    </row>
    <row r="820" ht="15.75" customHeight="1">
      <c r="A820" s="31"/>
      <c r="B820" s="31"/>
      <c r="C820" s="31"/>
      <c r="D820" s="31"/>
      <c r="E820" s="31"/>
      <c r="F820" s="31"/>
      <c r="G820" s="31"/>
      <c r="H820" s="31"/>
      <c r="I820" s="31"/>
    </row>
    <row r="821" ht="15.75" customHeight="1">
      <c r="A821" s="31"/>
      <c r="B821" s="31"/>
      <c r="C821" s="31"/>
      <c r="D821" s="31"/>
      <c r="E821" s="31"/>
      <c r="F821" s="31"/>
      <c r="G821" s="31"/>
      <c r="H821" s="31"/>
      <c r="I821" s="31"/>
    </row>
    <row r="822" ht="15.75" customHeight="1">
      <c r="A822" s="31"/>
      <c r="B822" s="31"/>
      <c r="C822" s="31"/>
      <c r="D822" s="31"/>
      <c r="E822" s="31"/>
      <c r="F822" s="31"/>
      <c r="G822" s="31"/>
      <c r="H822" s="31"/>
      <c r="I822" s="31"/>
    </row>
    <row r="823" ht="15.75" customHeight="1">
      <c r="A823" s="31"/>
      <c r="B823" s="31"/>
      <c r="C823" s="31"/>
      <c r="D823" s="31"/>
      <c r="E823" s="31"/>
      <c r="F823" s="31"/>
      <c r="G823" s="31"/>
      <c r="H823" s="31"/>
      <c r="I823" s="31"/>
    </row>
    <row r="824" ht="15.75" customHeight="1">
      <c r="A824" s="31"/>
      <c r="B824" s="31"/>
      <c r="C824" s="31"/>
      <c r="D824" s="31"/>
      <c r="E824" s="31"/>
      <c r="F824" s="31"/>
      <c r="G824" s="31"/>
      <c r="H824" s="31"/>
      <c r="I824" s="31"/>
    </row>
    <row r="825" ht="15.75" customHeight="1">
      <c r="A825" s="31"/>
      <c r="B825" s="31"/>
      <c r="C825" s="31"/>
      <c r="D825" s="31"/>
      <c r="E825" s="31"/>
      <c r="F825" s="31"/>
      <c r="G825" s="31"/>
      <c r="H825" s="31"/>
      <c r="I825" s="31"/>
    </row>
    <row r="826" ht="15.75" customHeight="1">
      <c r="A826" s="31"/>
      <c r="B826" s="31"/>
      <c r="C826" s="31"/>
      <c r="D826" s="31"/>
      <c r="E826" s="31"/>
      <c r="F826" s="31"/>
      <c r="G826" s="31"/>
      <c r="H826" s="31"/>
      <c r="I826" s="31"/>
    </row>
    <row r="827" ht="15.75" customHeight="1">
      <c r="A827" s="31"/>
      <c r="B827" s="31"/>
      <c r="C827" s="31"/>
      <c r="D827" s="31"/>
      <c r="E827" s="31"/>
      <c r="F827" s="31"/>
      <c r="G827" s="31"/>
      <c r="H827" s="31"/>
      <c r="I827" s="31"/>
    </row>
    <row r="828" ht="15.75" customHeight="1">
      <c r="A828" s="31"/>
      <c r="B828" s="31"/>
      <c r="C828" s="31"/>
      <c r="D828" s="31"/>
      <c r="E828" s="31"/>
      <c r="F828" s="31"/>
      <c r="G828" s="31"/>
      <c r="H828" s="31"/>
      <c r="I828" s="31"/>
    </row>
    <row r="829" ht="15.75" customHeight="1">
      <c r="A829" s="31"/>
      <c r="B829" s="31"/>
      <c r="C829" s="31"/>
      <c r="D829" s="31"/>
      <c r="E829" s="31"/>
      <c r="F829" s="31"/>
      <c r="G829" s="31"/>
      <c r="H829" s="31"/>
      <c r="I829" s="31"/>
    </row>
    <row r="830" ht="15.75" customHeight="1">
      <c r="A830" s="31"/>
      <c r="B830" s="31"/>
      <c r="C830" s="31"/>
      <c r="D830" s="31"/>
      <c r="E830" s="31"/>
      <c r="F830" s="31"/>
      <c r="G830" s="31"/>
      <c r="H830" s="31"/>
      <c r="I830" s="31"/>
    </row>
    <row r="831" ht="15.75" customHeight="1">
      <c r="A831" s="31"/>
      <c r="B831" s="31"/>
      <c r="C831" s="31"/>
      <c r="D831" s="31"/>
      <c r="E831" s="31"/>
      <c r="F831" s="31"/>
      <c r="G831" s="31"/>
      <c r="H831" s="31"/>
      <c r="I831" s="31"/>
    </row>
    <row r="832" ht="15.75" customHeight="1">
      <c r="A832" s="31"/>
      <c r="B832" s="31"/>
      <c r="C832" s="31"/>
      <c r="D832" s="31"/>
      <c r="E832" s="31"/>
      <c r="F832" s="31"/>
      <c r="G832" s="31"/>
      <c r="H832" s="31"/>
      <c r="I832" s="31"/>
    </row>
    <row r="833" ht="15.75" customHeight="1">
      <c r="A833" s="31"/>
      <c r="B833" s="31"/>
      <c r="C833" s="31"/>
      <c r="D833" s="31"/>
      <c r="E833" s="31"/>
      <c r="F833" s="31"/>
      <c r="G833" s="31"/>
      <c r="H833" s="31"/>
      <c r="I833" s="31"/>
    </row>
    <row r="834" ht="15.75" customHeight="1">
      <c r="A834" s="31"/>
      <c r="B834" s="31"/>
      <c r="C834" s="31"/>
      <c r="D834" s="31"/>
      <c r="E834" s="31"/>
      <c r="F834" s="31"/>
      <c r="G834" s="31"/>
      <c r="H834" s="31"/>
      <c r="I834" s="31"/>
    </row>
    <row r="835" ht="15.75" customHeight="1">
      <c r="A835" s="31"/>
      <c r="B835" s="31"/>
      <c r="C835" s="31"/>
      <c r="D835" s="31"/>
      <c r="E835" s="31"/>
      <c r="F835" s="31"/>
      <c r="G835" s="31"/>
      <c r="H835" s="31"/>
      <c r="I835" s="31"/>
    </row>
    <row r="836" ht="15.75" customHeight="1">
      <c r="A836" s="31"/>
      <c r="B836" s="31"/>
      <c r="C836" s="31"/>
      <c r="D836" s="31"/>
      <c r="E836" s="31"/>
      <c r="F836" s="31"/>
      <c r="G836" s="31"/>
      <c r="H836" s="31"/>
      <c r="I836" s="31"/>
    </row>
    <row r="837" ht="15.75" customHeight="1">
      <c r="A837" s="31"/>
      <c r="B837" s="31"/>
      <c r="C837" s="31"/>
      <c r="D837" s="31"/>
      <c r="E837" s="31"/>
      <c r="F837" s="31"/>
      <c r="G837" s="31"/>
      <c r="H837" s="31"/>
      <c r="I837" s="31"/>
    </row>
    <row r="838" ht="15.75" customHeight="1">
      <c r="A838" s="31"/>
      <c r="B838" s="31"/>
      <c r="C838" s="31"/>
      <c r="D838" s="31"/>
      <c r="E838" s="31"/>
      <c r="F838" s="31"/>
      <c r="G838" s="31"/>
      <c r="H838" s="31"/>
      <c r="I838" s="31"/>
    </row>
    <row r="839" ht="15.75" customHeight="1">
      <c r="A839" s="31"/>
      <c r="B839" s="31"/>
      <c r="C839" s="31"/>
      <c r="D839" s="31"/>
      <c r="E839" s="31"/>
      <c r="F839" s="31"/>
      <c r="G839" s="31"/>
      <c r="H839" s="31"/>
      <c r="I839" s="31"/>
    </row>
    <row r="840" ht="15.75" customHeight="1">
      <c r="A840" s="31"/>
      <c r="B840" s="31"/>
      <c r="C840" s="31"/>
      <c r="D840" s="31"/>
      <c r="E840" s="31"/>
      <c r="F840" s="31"/>
      <c r="G840" s="31"/>
      <c r="H840" s="31"/>
      <c r="I840" s="31"/>
    </row>
    <row r="841" ht="15.75" customHeight="1">
      <c r="A841" s="31"/>
      <c r="B841" s="31"/>
      <c r="C841" s="31"/>
      <c r="D841" s="31"/>
      <c r="E841" s="31"/>
      <c r="F841" s="31"/>
      <c r="G841" s="31"/>
      <c r="H841" s="31"/>
      <c r="I841" s="31"/>
    </row>
    <row r="842" ht="15.75" customHeight="1">
      <c r="A842" s="31"/>
      <c r="B842" s="31"/>
      <c r="C842" s="31"/>
      <c r="D842" s="31"/>
      <c r="E842" s="31"/>
      <c r="F842" s="31"/>
      <c r="G842" s="31"/>
      <c r="H842" s="31"/>
      <c r="I842" s="31"/>
    </row>
    <row r="843" ht="15.75" customHeight="1">
      <c r="A843" s="31"/>
      <c r="B843" s="31"/>
      <c r="C843" s="31"/>
      <c r="D843" s="31"/>
      <c r="E843" s="31"/>
      <c r="F843" s="31"/>
      <c r="G843" s="31"/>
      <c r="H843" s="31"/>
      <c r="I843" s="31"/>
    </row>
    <row r="844" ht="15.75" customHeight="1">
      <c r="A844" s="31"/>
      <c r="B844" s="31"/>
      <c r="C844" s="31"/>
      <c r="D844" s="31"/>
      <c r="E844" s="31"/>
      <c r="F844" s="31"/>
      <c r="G844" s="31"/>
      <c r="H844" s="31"/>
      <c r="I844" s="31"/>
    </row>
    <row r="845" ht="15.75" customHeight="1">
      <c r="A845" s="31"/>
      <c r="B845" s="31"/>
      <c r="C845" s="31"/>
      <c r="D845" s="31"/>
      <c r="E845" s="31"/>
      <c r="F845" s="31"/>
      <c r="G845" s="31"/>
      <c r="H845" s="31"/>
      <c r="I845" s="31"/>
    </row>
    <row r="846" ht="15.75" customHeight="1">
      <c r="A846" s="31"/>
      <c r="B846" s="31"/>
      <c r="C846" s="31"/>
      <c r="D846" s="31"/>
      <c r="E846" s="31"/>
      <c r="F846" s="31"/>
      <c r="G846" s="31"/>
      <c r="H846" s="31"/>
      <c r="I846" s="31"/>
    </row>
    <row r="847" ht="15.75" customHeight="1">
      <c r="A847" s="31"/>
      <c r="B847" s="31"/>
      <c r="C847" s="31"/>
      <c r="D847" s="31"/>
      <c r="E847" s="31"/>
      <c r="F847" s="31"/>
      <c r="G847" s="31"/>
      <c r="H847" s="31"/>
      <c r="I847" s="31"/>
    </row>
    <row r="848" ht="15.75" customHeight="1">
      <c r="A848" s="31"/>
      <c r="B848" s="31"/>
      <c r="C848" s="31"/>
      <c r="D848" s="31"/>
      <c r="E848" s="31"/>
      <c r="F848" s="31"/>
      <c r="G848" s="31"/>
      <c r="H848" s="31"/>
      <c r="I848" s="31"/>
    </row>
    <row r="849" ht="15.75" customHeight="1">
      <c r="A849" s="31"/>
      <c r="B849" s="31"/>
      <c r="C849" s="31"/>
      <c r="D849" s="31"/>
      <c r="E849" s="31"/>
      <c r="F849" s="31"/>
      <c r="G849" s="31"/>
      <c r="H849" s="31"/>
      <c r="I849" s="31"/>
    </row>
    <row r="850" ht="15.75" customHeight="1">
      <c r="A850" s="31"/>
      <c r="B850" s="31"/>
      <c r="C850" s="31"/>
      <c r="D850" s="31"/>
      <c r="E850" s="31"/>
      <c r="F850" s="31"/>
      <c r="G850" s="31"/>
      <c r="H850" s="31"/>
      <c r="I850" s="31"/>
    </row>
    <row r="851" ht="15.75" customHeight="1">
      <c r="A851" s="31"/>
      <c r="B851" s="31"/>
      <c r="C851" s="31"/>
      <c r="D851" s="31"/>
      <c r="E851" s="31"/>
      <c r="F851" s="31"/>
      <c r="G851" s="31"/>
      <c r="H851" s="31"/>
      <c r="I851" s="31"/>
    </row>
    <row r="852" ht="15.75" customHeight="1">
      <c r="A852" s="31"/>
      <c r="B852" s="31"/>
      <c r="C852" s="31"/>
      <c r="D852" s="31"/>
      <c r="E852" s="31"/>
      <c r="F852" s="31"/>
      <c r="G852" s="31"/>
      <c r="H852" s="31"/>
      <c r="I852" s="31"/>
    </row>
    <row r="853" ht="15.75" customHeight="1">
      <c r="A853" s="31"/>
      <c r="B853" s="31"/>
      <c r="C853" s="31"/>
      <c r="D853" s="31"/>
      <c r="E853" s="31"/>
      <c r="F853" s="31"/>
      <c r="G853" s="31"/>
      <c r="H853" s="31"/>
      <c r="I853" s="31"/>
    </row>
    <row r="854" ht="15.75" customHeight="1">
      <c r="A854" s="31"/>
      <c r="B854" s="31"/>
      <c r="C854" s="31"/>
      <c r="D854" s="31"/>
      <c r="E854" s="31"/>
      <c r="F854" s="31"/>
      <c r="G854" s="31"/>
      <c r="H854" s="31"/>
      <c r="I854" s="31"/>
    </row>
    <row r="855" ht="15.75" customHeight="1">
      <c r="A855" s="31"/>
      <c r="B855" s="31"/>
      <c r="C855" s="31"/>
      <c r="D855" s="31"/>
      <c r="E855" s="31"/>
      <c r="F855" s="31"/>
      <c r="G855" s="31"/>
      <c r="H855" s="31"/>
      <c r="I855" s="31"/>
    </row>
    <row r="856" ht="15.75" customHeight="1">
      <c r="A856" s="31"/>
      <c r="B856" s="31"/>
      <c r="C856" s="31"/>
      <c r="D856" s="31"/>
      <c r="E856" s="31"/>
      <c r="F856" s="31"/>
      <c r="G856" s="31"/>
      <c r="H856" s="31"/>
      <c r="I856" s="31"/>
    </row>
    <row r="857" ht="15.75" customHeight="1">
      <c r="A857" s="31"/>
      <c r="B857" s="31"/>
      <c r="C857" s="31"/>
      <c r="D857" s="31"/>
      <c r="E857" s="31"/>
      <c r="F857" s="31"/>
      <c r="G857" s="31"/>
      <c r="H857" s="31"/>
      <c r="I857" s="31"/>
    </row>
    <row r="858" ht="15.75" customHeight="1">
      <c r="A858" s="31"/>
      <c r="B858" s="31"/>
      <c r="C858" s="31"/>
      <c r="D858" s="31"/>
      <c r="E858" s="31"/>
      <c r="F858" s="31"/>
      <c r="G858" s="31"/>
      <c r="H858" s="31"/>
      <c r="I858" s="31"/>
    </row>
    <row r="859" ht="15.75" customHeight="1">
      <c r="A859" s="31"/>
      <c r="B859" s="31"/>
      <c r="C859" s="31"/>
      <c r="D859" s="31"/>
      <c r="E859" s="31"/>
      <c r="F859" s="31"/>
      <c r="G859" s="31"/>
      <c r="H859" s="31"/>
      <c r="I859" s="31"/>
    </row>
    <row r="860" ht="15.75" customHeight="1">
      <c r="A860" s="31"/>
      <c r="B860" s="31"/>
      <c r="C860" s="31"/>
      <c r="D860" s="31"/>
      <c r="E860" s="31"/>
      <c r="F860" s="31"/>
      <c r="G860" s="31"/>
      <c r="H860" s="31"/>
      <c r="I860" s="31"/>
    </row>
    <row r="861" ht="15.75" customHeight="1">
      <c r="A861" s="31"/>
      <c r="B861" s="31"/>
      <c r="C861" s="31"/>
      <c r="D861" s="31"/>
      <c r="E861" s="31"/>
      <c r="F861" s="31"/>
      <c r="G861" s="31"/>
      <c r="H861" s="31"/>
      <c r="I861" s="31"/>
    </row>
    <row r="862" ht="15.75" customHeight="1">
      <c r="A862" s="31"/>
      <c r="B862" s="31"/>
      <c r="C862" s="31"/>
      <c r="D862" s="31"/>
      <c r="E862" s="31"/>
      <c r="F862" s="31"/>
      <c r="G862" s="31"/>
      <c r="H862" s="31"/>
      <c r="I862" s="31"/>
    </row>
    <row r="863" ht="15.75" customHeight="1">
      <c r="A863" s="31"/>
      <c r="B863" s="31"/>
      <c r="C863" s="31"/>
      <c r="D863" s="31"/>
      <c r="E863" s="31"/>
      <c r="F863" s="31"/>
      <c r="G863" s="31"/>
      <c r="H863" s="31"/>
      <c r="I863" s="31"/>
    </row>
    <row r="864" ht="15.75" customHeight="1">
      <c r="A864" s="31"/>
      <c r="B864" s="31"/>
      <c r="C864" s="31"/>
      <c r="D864" s="31"/>
      <c r="E864" s="31"/>
      <c r="F864" s="31"/>
      <c r="G864" s="31"/>
      <c r="H864" s="31"/>
      <c r="I864" s="31"/>
    </row>
    <row r="865" ht="15.75" customHeight="1">
      <c r="A865" s="31"/>
      <c r="B865" s="31"/>
      <c r="C865" s="31"/>
      <c r="D865" s="31"/>
      <c r="E865" s="31"/>
      <c r="F865" s="31"/>
      <c r="G865" s="31"/>
      <c r="H865" s="31"/>
      <c r="I865" s="31"/>
    </row>
    <row r="866" ht="15.75" customHeight="1">
      <c r="A866" s="31"/>
      <c r="B866" s="31"/>
      <c r="C866" s="31"/>
      <c r="D866" s="31"/>
      <c r="E866" s="31"/>
      <c r="F866" s="31"/>
      <c r="G866" s="31"/>
      <c r="H866" s="31"/>
      <c r="I866" s="31"/>
    </row>
    <row r="867" ht="15.75" customHeight="1">
      <c r="A867" s="31"/>
      <c r="B867" s="31"/>
      <c r="C867" s="31"/>
      <c r="D867" s="31"/>
      <c r="E867" s="31"/>
      <c r="F867" s="31"/>
      <c r="G867" s="31"/>
      <c r="H867" s="31"/>
      <c r="I867" s="31"/>
    </row>
    <row r="868" ht="15.75" customHeight="1">
      <c r="A868" s="31"/>
      <c r="B868" s="31"/>
      <c r="C868" s="31"/>
      <c r="D868" s="31"/>
      <c r="E868" s="31"/>
      <c r="F868" s="31"/>
      <c r="G868" s="31"/>
      <c r="H868" s="31"/>
      <c r="I868" s="31"/>
    </row>
    <row r="869" ht="15.75" customHeight="1">
      <c r="A869" s="31"/>
      <c r="B869" s="31"/>
      <c r="C869" s="31"/>
      <c r="D869" s="31"/>
      <c r="E869" s="31"/>
      <c r="F869" s="31"/>
      <c r="G869" s="31"/>
      <c r="H869" s="31"/>
      <c r="I869" s="31"/>
    </row>
    <row r="870" ht="15.75" customHeight="1">
      <c r="A870" s="31"/>
      <c r="B870" s="31"/>
      <c r="C870" s="31"/>
      <c r="D870" s="31"/>
      <c r="E870" s="31"/>
      <c r="F870" s="31"/>
      <c r="G870" s="31"/>
      <c r="H870" s="31"/>
      <c r="I870" s="31"/>
    </row>
    <row r="871" ht="15.75" customHeight="1">
      <c r="A871" s="31"/>
      <c r="B871" s="31"/>
      <c r="C871" s="31"/>
      <c r="D871" s="31"/>
      <c r="E871" s="31"/>
      <c r="F871" s="31"/>
      <c r="G871" s="31"/>
      <c r="H871" s="31"/>
      <c r="I871" s="31"/>
    </row>
    <row r="872" ht="15.75" customHeight="1">
      <c r="A872" s="31"/>
      <c r="B872" s="31"/>
      <c r="C872" s="31"/>
      <c r="D872" s="31"/>
      <c r="E872" s="31"/>
      <c r="F872" s="31"/>
      <c r="G872" s="31"/>
      <c r="H872" s="31"/>
      <c r="I872" s="31"/>
    </row>
    <row r="873" ht="15.75" customHeight="1">
      <c r="A873" s="31"/>
      <c r="B873" s="31"/>
      <c r="C873" s="31"/>
      <c r="D873" s="31"/>
      <c r="E873" s="31"/>
      <c r="F873" s="31"/>
      <c r="G873" s="31"/>
      <c r="H873" s="31"/>
      <c r="I873" s="31"/>
    </row>
    <row r="874" ht="15.75" customHeight="1">
      <c r="A874" s="31"/>
      <c r="B874" s="31"/>
      <c r="C874" s="31"/>
      <c r="D874" s="31"/>
      <c r="E874" s="31"/>
      <c r="F874" s="31"/>
      <c r="G874" s="31"/>
      <c r="H874" s="31"/>
      <c r="I874" s="31"/>
    </row>
    <row r="875" ht="15.75" customHeight="1">
      <c r="A875" s="31"/>
      <c r="B875" s="31"/>
      <c r="C875" s="31"/>
      <c r="D875" s="31"/>
      <c r="E875" s="31"/>
      <c r="F875" s="31"/>
      <c r="G875" s="31"/>
      <c r="H875" s="31"/>
      <c r="I875" s="31"/>
    </row>
    <row r="876" ht="15.75" customHeight="1">
      <c r="A876" s="31"/>
      <c r="B876" s="31"/>
      <c r="C876" s="31"/>
      <c r="D876" s="31"/>
      <c r="E876" s="31"/>
      <c r="F876" s="31"/>
      <c r="G876" s="31"/>
      <c r="H876" s="31"/>
      <c r="I876" s="31"/>
    </row>
    <row r="877" ht="15.75" customHeight="1">
      <c r="A877" s="31"/>
      <c r="B877" s="31"/>
      <c r="C877" s="31"/>
      <c r="D877" s="31"/>
      <c r="E877" s="31"/>
      <c r="F877" s="31"/>
      <c r="G877" s="31"/>
      <c r="H877" s="31"/>
      <c r="I877" s="31"/>
    </row>
    <row r="878" ht="15.75" customHeight="1">
      <c r="A878" s="31"/>
      <c r="B878" s="31"/>
      <c r="C878" s="31"/>
      <c r="D878" s="31"/>
      <c r="E878" s="31"/>
      <c r="F878" s="31"/>
      <c r="G878" s="31"/>
      <c r="H878" s="31"/>
      <c r="I878" s="31"/>
    </row>
    <row r="879" ht="15.75" customHeight="1">
      <c r="A879" s="31"/>
      <c r="B879" s="31"/>
      <c r="C879" s="31"/>
      <c r="D879" s="31"/>
      <c r="E879" s="31"/>
      <c r="F879" s="31"/>
      <c r="G879" s="31"/>
      <c r="H879" s="31"/>
      <c r="I879" s="31"/>
    </row>
    <row r="880" ht="15.75" customHeight="1">
      <c r="A880" s="31"/>
      <c r="B880" s="31"/>
      <c r="C880" s="31"/>
      <c r="D880" s="31"/>
      <c r="E880" s="31"/>
      <c r="F880" s="31"/>
      <c r="G880" s="31"/>
      <c r="H880" s="31"/>
      <c r="I880" s="31"/>
    </row>
    <row r="881" ht="15.75" customHeight="1">
      <c r="A881" s="31"/>
      <c r="B881" s="31"/>
      <c r="C881" s="31"/>
      <c r="D881" s="31"/>
      <c r="E881" s="31"/>
      <c r="F881" s="31"/>
      <c r="G881" s="31"/>
      <c r="H881" s="31"/>
      <c r="I881" s="31"/>
    </row>
    <row r="882" ht="15.75" customHeight="1">
      <c r="A882" s="31"/>
      <c r="B882" s="31"/>
      <c r="C882" s="31"/>
      <c r="D882" s="31"/>
      <c r="E882" s="31"/>
      <c r="F882" s="31"/>
      <c r="G882" s="31"/>
      <c r="H882" s="31"/>
      <c r="I882" s="31"/>
    </row>
    <row r="883" ht="15.75" customHeight="1">
      <c r="A883" s="31"/>
      <c r="B883" s="31"/>
      <c r="C883" s="31"/>
      <c r="D883" s="31"/>
      <c r="E883" s="31"/>
      <c r="F883" s="31"/>
      <c r="G883" s="31"/>
      <c r="H883" s="31"/>
      <c r="I883" s="31"/>
    </row>
    <row r="884" ht="15.75" customHeight="1">
      <c r="A884" s="31"/>
      <c r="B884" s="31"/>
      <c r="C884" s="31"/>
      <c r="D884" s="31"/>
      <c r="E884" s="31"/>
      <c r="F884" s="31"/>
      <c r="G884" s="31"/>
      <c r="H884" s="31"/>
      <c r="I884" s="31"/>
    </row>
    <row r="885" ht="15.75" customHeight="1">
      <c r="A885" s="31"/>
      <c r="B885" s="31"/>
      <c r="C885" s="31"/>
      <c r="D885" s="31"/>
      <c r="E885" s="31"/>
      <c r="F885" s="31"/>
      <c r="G885" s="31"/>
      <c r="H885" s="31"/>
      <c r="I885" s="31"/>
    </row>
    <row r="886" ht="15.75" customHeight="1">
      <c r="A886" s="31"/>
      <c r="B886" s="31"/>
      <c r="C886" s="31"/>
      <c r="D886" s="31"/>
      <c r="E886" s="31"/>
      <c r="F886" s="31"/>
      <c r="G886" s="31"/>
      <c r="H886" s="31"/>
      <c r="I886" s="31"/>
    </row>
    <row r="887" ht="15.75" customHeight="1">
      <c r="A887" s="31"/>
      <c r="B887" s="31"/>
      <c r="C887" s="31"/>
      <c r="D887" s="31"/>
      <c r="E887" s="31"/>
      <c r="F887" s="31"/>
      <c r="G887" s="31"/>
      <c r="H887" s="31"/>
      <c r="I887" s="31"/>
    </row>
    <row r="888" ht="15.75" customHeight="1">
      <c r="A888" s="31"/>
      <c r="B888" s="31"/>
      <c r="C888" s="31"/>
      <c r="D888" s="31"/>
      <c r="E888" s="31"/>
      <c r="F888" s="31"/>
      <c r="G888" s="31"/>
      <c r="H888" s="31"/>
      <c r="I888" s="31"/>
    </row>
    <row r="889" ht="15.75" customHeight="1">
      <c r="A889" s="31"/>
      <c r="B889" s="31"/>
      <c r="C889" s="31"/>
      <c r="D889" s="31"/>
      <c r="E889" s="31"/>
      <c r="F889" s="31"/>
      <c r="G889" s="31"/>
      <c r="H889" s="31"/>
      <c r="I889" s="31"/>
    </row>
    <row r="890" ht="15.75" customHeight="1">
      <c r="A890" s="31"/>
      <c r="B890" s="31"/>
      <c r="C890" s="31"/>
      <c r="D890" s="31"/>
      <c r="E890" s="31"/>
      <c r="F890" s="31"/>
      <c r="G890" s="31"/>
      <c r="H890" s="31"/>
      <c r="I890" s="31"/>
    </row>
    <row r="891" ht="15.75" customHeight="1">
      <c r="A891" s="31"/>
      <c r="B891" s="31"/>
      <c r="C891" s="31"/>
      <c r="D891" s="31"/>
      <c r="E891" s="31"/>
      <c r="F891" s="31"/>
      <c r="G891" s="31"/>
      <c r="H891" s="31"/>
      <c r="I891" s="31"/>
    </row>
    <row r="892" ht="15.75" customHeight="1">
      <c r="A892" s="31"/>
      <c r="B892" s="31"/>
      <c r="C892" s="31"/>
      <c r="D892" s="31"/>
      <c r="E892" s="31"/>
      <c r="F892" s="31"/>
      <c r="G892" s="31"/>
      <c r="H892" s="31"/>
      <c r="I892" s="31"/>
    </row>
    <row r="893" ht="15.75" customHeight="1">
      <c r="A893" s="31"/>
      <c r="B893" s="31"/>
      <c r="C893" s="31"/>
      <c r="D893" s="31"/>
      <c r="E893" s="31"/>
      <c r="F893" s="31"/>
      <c r="G893" s="31"/>
      <c r="H893" s="31"/>
      <c r="I893" s="31"/>
    </row>
    <row r="894" ht="15.75" customHeight="1">
      <c r="A894" s="31"/>
      <c r="B894" s="31"/>
      <c r="C894" s="31"/>
      <c r="D894" s="31"/>
      <c r="E894" s="31"/>
      <c r="F894" s="31"/>
      <c r="G894" s="31"/>
      <c r="H894" s="31"/>
      <c r="I894" s="31"/>
    </row>
    <row r="895" ht="15.75" customHeight="1">
      <c r="A895" s="31"/>
      <c r="B895" s="31"/>
      <c r="C895" s="31"/>
      <c r="D895" s="31"/>
      <c r="E895" s="31"/>
      <c r="F895" s="31"/>
      <c r="G895" s="31"/>
      <c r="H895" s="31"/>
      <c r="I895" s="31"/>
    </row>
    <row r="896" ht="15.75" customHeight="1">
      <c r="A896" s="31"/>
      <c r="B896" s="31"/>
      <c r="C896" s="31"/>
      <c r="D896" s="31"/>
      <c r="E896" s="31"/>
      <c r="F896" s="31"/>
      <c r="G896" s="31"/>
      <c r="H896" s="31"/>
      <c r="I896" s="31"/>
    </row>
    <row r="897" ht="15.75" customHeight="1">
      <c r="A897" s="31"/>
      <c r="B897" s="31"/>
      <c r="C897" s="31"/>
      <c r="D897" s="31"/>
      <c r="E897" s="31"/>
      <c r="F897" s="31"/>
      <c r="G897" s="31"/>
      <c r="H897" s="31"/>
      <c r="I897" s="31"/>
    </row>
    <row r="898" ht="15.75" customHeight="1">
      <c r="A898" s="31"/>
      <c r="B898" s="31"/>
      <c r="C898" s="31"/>
      <c r="D898" s="31"/>
      <c r="E898" s="31"/>
      <c r="F898" s="31"/>
      <c r="G898" s="31"/>
      <c r="H898" s="31"/>
      <c r="I898" s="31"/>
    </row>
    <row r="899" ht="15.75" customHeight="1">
      <c r="A899" s="31"/>
      <c r="B899" s="31"/>
      <c r="C899" s="31"/>
      <c r="D899" s="31"/>
      <c r="E899" s="31"/>
      <c r="F899" s="31"/>
      <c r="G899" s="31"/>
      <c r="H899" s="31"/>
      <c r="I899" s="31"/>
    </row>
    <row r="900" ht="15.75" customHeight="1">
      <c r="A900" s="31"/>
      <c r="B900" s="31"/>
      <c r="C900" s="31"/>
      <c r="D900" s="31"/>
      <c r="E900" s="31"/>
      <c r="F900" s="31"/>
      <c r="G900" s="31"/>
      <c r="H900" s="31"/>
      <c r="I900" s="31"/>
    </row>
    <row r="901" ht="15.75" customHeight="1">
      <c r="A901" s="31"/>
      <c r="B901" s="31"/>
      <c r="C901" s="31"/>
      <c r="D901" s="31"/>
      <c r="E901" s="31"/>
      <c r="F901" s="31"/>
      <c r="G901" s="31"/>
      <c r="H901" s="31"/>
      <c r="I901" s="31"/>
    </row>
    <row r="902" ht="15.75" customHeight="1">
      <c r="A902" s="31"/>
      <c r="B902" s="31"/>
      <c r="C902" s="31"/>
      <c r="D902" s="31"/>
      <c r="E902" s="31"/>
      <c r="F902" s="31"/>
      <c r="G902" s="31"/>
      <c r="H902" s="31"/>
      <c r="I902" s="31"/>
    </row>
    <row r="903" ht="15.75" customHeight="1">
      <c r="A903" s="31"/>
      <c r="B903" s="31"/>
      <c r="C903" s="31"/>
      <c r="D903" s="31"/>
      <c r="E903" s="31"/>
      <c r="F903" s="31"/>
      <c r="G903" s="31"/>
      <c r="H903" s="31"/>
      <c r="I903" s="31"/>
    </row>
    <row r="904" ht="15.75" customHeight="1">
      <c r="A904" s="31"/>
      <c r="B904" s="31"/>
      <c r="C904" s="31"/>
      <c r="D904" s="31"/>
      <c r="E904" s="31"/>
      <c r="F904" s="31"/>
      <c r="G904" s="31"/>
      <c r="H904" s="31"/>
      <c r="I904" s="31"/>
    </row>
    <row r="905" ht="15.75" customHeight="1">
      <c r="A905" s="31"/>
      <c r="B905" s="31"/>
      <c r="C905" s="31"/>
      <c r="D905" s="31"/>
      <c r="E905" s="31"/>
      <c r="F905" s="31"/>
      <c r="G905" s="31"/>
      <c r="H905" s="31"/>
      <c r="I905" s="31"/>
    </row>
    <row r="906" ht="15.75" customHeight="1">
      <c r="A906" s="31"/>
      <c r="B906" s="31"/>
      <c r="C906" s="31"/>
      <c r="D906" s="31"/>
      <c r="E906" s="31"/>
      <c r="F906" s="31"/>
      <c r="G906" s="31"/>
      <c r="H906" s="31"/>
      <c r="I906" s="31"/>
    </row>
    <row r="907" ht="15.75" customHeight="1">
      <c r="A907" s="31"/>
      <c r="B907" s="31"/>
      <c r="C907" s="31"/>
      <c r="D907" s="31"/>
      <c r="E907" s="31"/>
      <c r="F907" s="31"/>
      <c r="G907" s="31"/>
      <c r="H907" s="31"/>
      <c r="I907" s="31"/>
    </row>
    <row r="908" ht="15.75" customHeight="1">
      <c r="A908" s="31"/>
      <c r="B908" s="31"/>
      <c r="C908" s="31"/>
      <c r="D908" s="31"/>
      <c r="E908" s="31"/>
      <c r="F908" s="31"/>
      <c r="G908" s="31"/>
      <c r="H908" s="31"/>
      <c r="I908" s="31"/>
    </row>
    <row r="909" ht="15.75" customHeight="1">
      <c r="A909" s="31"/>
      <c r="B909" s="31"/>
      <c r="C909" s="31"/>
      <c r="D909" s="31"/>
      <c r="E909" s="31"/>
      <c r="F909" s="31"/>
      <c r="G909" s="31"/>
      <c r="H909" s="31"/>
      <c r="I909" s="31"/>
    </row>
    <row r="910" ht="15.75" customHeight="1">
      <c r="A910" s="31"/>
      <c r="B910" s="31"/>
      <c r="C910" s="31"/>
      <c r="D910" s="31"/>
      <c r="E910" s="31"/>
      <c r="F910" s="31"/>
      <c r="G910" s="31"/>
      <c r="H910" s="31"/>
      <c r="I910" s="31"/>
    </row>
    <row r="911" ht="15.75" customHeight="1">
      <c r="A911" s="31"/>
      <c r="B911" s="31"/>
      <c r="C911" s="31"/>
      <c r="D911" s="31"/>
      <c r="E911" s="31"/>
      <c r="F911" s="31"/>
      <c r="G911" s="31"/>
      <c r="H911" s="31"/>
      <c r="I911" s="31"/>
    </row>
    <row r="912" ht="15.75" customHeight="1">
      <c r="A912" s="31"/>
      <c r="B912" s="31"/>
      <c r="C912" s="31"/>
      <c r="D912" s="31"/>
      <c r="E912" s="31"/>
      <c r="F912" s="31"/>
      <c r="G912" s="31"/>
      <c r="H912" s="31"/>
      <c r="I912" s="31"/>
    </row>
    <row r="913" ht="15.75" customHeight="1">
      <c r="A913" s="31"/>
      <c r="B913" s="31"/>
      <c r="C913" s="31"/>
      <c r="D913" s="31"/>
      <c r="E913" s="31"/>
      <c r="F913" s="31"/>
      <c r="G913" s="31"/>
      <c r="H913" s="31"/>
      <c r="I913" s="31"/>
    </row>
    <row r="914" ht="15.75" customHeight="1">
      <c r="A914" s="31"/>
      <c r="B914" s="31"/>
      <c r="C914" s="31"/>
      <c r="D914" s="31"/>
      <c r="E914" s="31"/>
      <c r="F914" s="31"/>
      <c r="G914" s="31"/>
      <c r="H914" s="31"/>
      <c r="I914" s="31"/>
    </row>
    <row r="915" ht="15.75" customHeight="1">
      <c r="A915" s="31"/>
      <c r="B915" s="31"/>
      <c r="C915" s="31"/>
      <c r="D915" s="31"/>
      <c r="E915" s="31"/>
      <c r="F915" s="31"/>
      <c r="G915" s="31"/>
      <c r="H915" s="31"/>
      <c r="I915" s="31"/>
    </row>
    <row r="916" ht="15.75" customHeight="1">
      <c r="A916" s="31"/>
      <c r="B916" s="31"/>
      <c r="C916" s="31"/>
      <c r="D916" s="31"/>
      <c r="E916" s="31"/>
      <c r="F916" s="31"/>
      <c r="G916" s="31"/>
      <c r="H916" s="31"/>
      <c r="I916" s="31"/>
    </row>
    <row r="917" ht="15.75" customHeight="1">
      <c r="A917" s="31"/>
      <c r="B917" s="31"/>
      <c r="C917" s="31"/>
      <c r="D917" s="31"/>
      <c r="E917" s="31"/>
      <c r="F917" s="31"/>
      <c r="G917" s="31"/>
      <c r="H917" s="31"/>
      <c r="I917" s="31"/>
    </row>
    <row r="918" ht="15.75" customHeight="1">
      <c r="A918" s="31"/>
      <c r="B918" s="31"/>
      <c r="C918" s="31"/>
      <c r="D918" s="31"/>
      <c r="E918" s="31"/>
      <c r="F918" s="31"/>
      <c r="G918" s="31"/>
      <c r="H918" s="31"/>
      <c r="I918" s="31"/>
    </row>
    <row r="919" ht="15.75" customHeight="1">
      <c r="A919" s="31"/>
      <c r="B919" s="31"/>
      <c r="C919" s="31"/>
      <c r="D919" s="31"/>
      <c r="E919" s="31"/>
      <c r="F919" s="31"/>
      <c r="G919" s="31"/>
      <c r="H919" s="31"/>
      <c r="I919" s="31"/>
    </row>
    <row r="920" ht="15.75" customHeight="1">
      <c r="A920" s="31"/>
      <c r="B920" s="31"/>
      <c r="C920" s="31"/>
      <c r="D920" s="31"/>
      <c r="E920" s="31"/>
      <c r="F920" s="31"/>
      <c r="G920" s="31"/>
      <c r="H920" s="31"/>
      <c r="I920" s="31"/>
    </row>
    <row r="921" ht="15.75" customHeight="1">
      <c r="A921" s="31"/>
      <c r="B921" s="31"/>
      <c r="C921" s="31"/>
      <c r="D921" s="31"/>
      <c r="E921" s="31"/>
      <c r="F921" s="31"/>
      <c r="G921" s="31"/>
      <c r="H921" s="31"/>
      <c r="I921" s="31"/>
    </row>
    <row r="922" ht="15.75" customHeight="1">
      <c r="A922" s="31"/>
      <c r="B922" s="31"/>
      <c r="C922" s="31"/>
      <c r="D922" s="31"/>
      <c r="E922" s="31"/>
      <c r="F922" s="31"/>
      <c r="G922" s="31"/>
      <c r="H922" s="31"/>
      <c r="I922" s="31"/>
    </row>
    <row r="923" ht="15.75" customHeight="1">
      <c r="A923" s="31"/>
      <c r="B923" s="31"/>
      <c r="C923" s="31"/>
      <c r="D923" s="31"/>
      <c r="E923" s="31"/>
      <c r="F923" s="31"/>
      <c r="G923" s="31"/>
      <c r="H923" s="31"/>
      <c r="I923" s="31"/>
    </row>
    <row r="924" ht="15.75" customHeight="1">
      <c r="A924" s="31"/>
      <c r="B924" s="31"/>
      <c r="C924" s="31"/>
      <c r="D924" s="31"/>
      <c r="E924" s="31"/>
      <c r="F924" s="31"/>
      <c r="G924" s="31"/>
      <c r="H924" s="31"/>
      <c r="I924" s="31"/>
    </row>
    <row r="925" ht="15.75" customHeight="1">
      <c r="A925" s="31"/>
      <c r="B925" s="31"/>
      <c r="C925" s="31"/>
      <c r="D925" s="31"/>
      <c r="E925" s="31"/>
      <c r="F925" s="31"/>
      <c r="G925" s="31"/>
      <c r="H925" s="31"/>
      <c r="I925" s="31"/>
    </row>
    <row r="926" ht="15.75" customHeight="1">
      <c r="A926" s="31"/>
      <c r="B926" s="31"/>
      <c r="C926" s="31"/>
      <c r="D926" s="31"/>
      <c r="E926" s="31"/>
      <c r="F926" s="31"/>
      <c r="G926" s="31"/>
      <c r="H926" s="31"/>
      <c r="I926" s="31"/>
    </row>
    <row r="927" ht="15.75" customHeight="1">
      <c r="A927" s="31"/>
      <c r="B927" s="31"/>
      <c r="C927" s="31"/>
      <c r="D927" s="31"/>
      <c r="E927" s="31"/>
      <c r="F927" s="31"/>
      <c r="G927" s="31"/>
      <c r="H927" s="31"/>
      <c r="I927" s="31"/>
    </row>
    <row r="928" ht="15.75" customHeight="1">
      <c r="A928" s="31"/>
      <c r="B928" s="31"/>
      <c r="C928" s="31"/>
      <c r="D928" s="31"/>
      <c r="E928" s="31"/>
      <c r="F928" s="31"/>
      <c r="G928" s="31"/>
      <c r="H928" s="31"/>
      <c r="I928" s="31"/>
    </row>
    <row r="929" ht="15.75" customHeight="1">
      <c r="A929" s="31"/>
      <c r="B929" s="31"/>
      <c r="C929" s="31"/>
      <c r="D929" s="31"/>
      <c r="E929" s="31"/>
      <c r="F929" s="31"/>
      <c r="G929" s="31"/>
      <c r="H929" s="31"/>
      <c r="I929" s="31"/>
    </row>
    <row r="930" ht="15.75" customHeight="1">
      <c r="A930" s="31"/>
      <c r="B930" s="31"/>
      <c r="C930" s="31"/>
      <c r="D930" s="31"/>
      <c r="E930" s="31"/>
      <c r="F930" s="31"/>
      <c r="G930" s="31"/>
      <c r="H930" s="31"/>
      <c r="I930" s="31"/>
    </row>
    <row r="931" ht="15.75" customHeight="1">
      <c r="A931" s="31"/>
      <c r="B931" s="31"/>
      <c r="C931" s="31"/>
      <c r="D931" s="31"/>
      <c r="E931" s="31"/>
      <c r="F931" s="31"/>
      <c r="G931" s="31"/>
      <c r="H931" s="31"/>
      <c r="I931" s="31"/>
    </row>
    <row r="932" ht="15.75" customHeight="1">
      <c r="A932" s="31"/>
      <c r="B932" s="31"/>
      <c r="C932" s="31"/>
      <c r="D932" s="31"/>
      <c r="E932" s="31"/>
      <c r="F932" s="31"/>
      <c r="G932" s="31"/>
      <c r="H932" s="31"/>
      <c r="I932" s="31"/>
    </row>
    <row r="933" ht="15.75" customHeight="1">
      <c r="A933" s="31"/>
      <c r="B933" s="31"/>
      <c r="C933" s="31"/>
      <c r="D933" s="31"/>
      <c r="E933" s="31"/>
      <c r="F933" s="31"/>
      <c r="G933" s="31"/>
      <c r="H933" s="31"/>
      <c r="I933" s="31"/>
    </row>
    <row r="934" ht="15.75" customHeight="1">
      <c r="A934" s="31"/>
      <c r="B934" s="31"/>
      <c r="C934" s="31"/>
      <c r="D934" s="31"/>
      <c r="E934" s="31"/>
      <c r="F934" s="31"/>
      <c r="G934" s="31"/>
      <c r="H934" s="31"/>
      <c r="I934" s="31"/>
    </row>
    <row r="935" ht="15.75" customHeight="1">
      <c r="A935" s="31"/>
      <c r="B935" s="31"/>
      <c r="C935" s="31"/>
      <c r="D935" s="31"/>
      <c r="E935" s="31"/>
      <c r="F935" s="31"/>
      <c r="G935" s="31"/>
      <c r="H935" s="31"/>
      <c r="I935" s="31"/>
    </row>
    <row r="936" ht="15.75" customHeight="1">
      <c r="A936" s="31"/>
      <c r="B936" s="31"/>
      <c r="C936" s="31"/>
      <c r="D936" s="31"/>
      <c r="E936" s="31"/>
      <c r="F936" s="31"/>
      <c r="G936" s="31"/>
      <c r="H936" s="31"/>
      <c r="I936" s="31"/>
    </row>
    <row r="937" ht="15.75" customHeight="1">
      <c r="A937" s="31"/>
      <c r="B937" s="31"/>
      <c r="C937" s="31"/>
      <c r="D937" s="31"/>
      <c r="E937" s="31"/>
      <c r="F937" s="31"/>
      <c r="G937" s="31"/>
      <c r="H937" s="31"/>
      <c r="I937" s="31"/>
    </row>
    <row r="938" ht="15.75" customHeight="1">
      <c r="A938" s="31"/>
      <c r="B938" s="31"/>
      <c r="C938" s="31"/>
      <c r="D938" s="31"/>
      <c r="E938" s="31"/>
      <c r="F938" s="31"/>
      <c r="G938" s="31"/>
      <c r="H938" s="31"/>
      <c r="I938" s="31"/>
    </row>
    <row r="939" ht="15.75" customHeight="1">
      <c r="A939" s="31"/>
      <c r="B939" s="31"/>
      <c r="C939" s="31"/>
      <c r="D939" s="31"/>
      <c r="E939" s="31"/>
      <c r="F939" s="31"/>
      <c r="G939" s="31"/>
      <c r="H939" s="31"/>
      <c r="I939" s="31"/>
    </row>
    <row r="940" ht="15.75" customHeight="1">
      <c r="A940" s="31"/>
      <c r="B940" s="31"/>
      <c r="C940" s="31"/>
      <c r="D940" s="31"/>
      <c r="E940" s="31"/>
      <c r="F940" s="31"/>
      <c r="G940" s="31"/>
      <c r="H940" s="31"/>
      <c r="I940" s="31"/>
    </row>
    <row r="941" ht="15.75" customHeight="1">
      <c r="A941" s="31"/>
      <c r="B941" s="31"/>
      <c r="C941" s="31"/>
      <c r="D941" s="31"/>
      <c r="E941" s="31"/>
      <c r="F941" s="31"/>
      <c r="G941" s="31"/>
      <c r="H941" s="31"/>
      <c r="I941" s="31"/>
    </row>
    <row r="942" ht="15.75" customHeight="1">
      <c r="A942" s="31"/>
      <c r="B942" s="31"/>
      <c r="C942" s="31"/>
      <c r="D942" s="31"/>
      <c r="E942" s="31"/>
      <c r="F942" s="31"/>
      <c r="G942" s="31"/>
      <c r="H942" s="31"/>
      <c r="I942" s="31"/>
    </row>
    <row r="943" ht="15.75" customHeight="1">
      <c r="A943" s="31"/>
      <c r="B943" s="31"/>
      <c r="C943" s="31"/>
      <c r="D943" s="31"/>
      <c r="E943" s="31"/>
      <c r="F943" s="31"/>
      <c r="G943" s="31"/>
      <c r="H943" s="31"/>
      <c r="I943" s="31"/>
    </row>
    <row r="944" ht="15.75" customHeight="1">
      <c r="A944" s="31"/>
      <c r="B944" s="31"/>
      <c r="C944" s="31"/>
      <c r="D944" s="31"/>
      <c r="E944" s="31"/>
      <c r="F944" s="31"/>
      <c r="G944" s="31"/>
      <c r="H944" s="31"/>
      <c r="I944" s="31"/>
    </row>
    <row r="945" ht="15.75" customHeight="1">
      <c r="A945" s="31"/>
      <c r="B945" s="31"/>
      <c r="C945" s="31"/>
      <c r="D945" s="31"/>
      <c r="E945" s="31"/>
      <c r="F945" s="31"/>
      <c r="G945" s="31"/>
      <c r="H945" s="31"/>
      <c r="I945" s="31"/>
    </row>
    <row r="946" ht="15.75" customHeight="1">
      <c r="A946" s="31"/>
      <c r="B946" s="31"/>
      <c r="C946" s="31"/>
      <c r="D946" s="31"/>
      <c r="E946" s="31"/>
      <c r="F946" s="31"/>
      <c r="G946" s="31"/>
      <c r="H946" s="31"/>
      <c r="I946" s="31"/>
    </row>
    <row r="947" ht="15.75" customHeight="1">
      <c r="A947" s="31"/>
      <c r="B947" s="31"/>
      <c r="C947" s="31"/>
      <c r="D947" s="31"/>
      <c r="E947" s="31"/>
      <c r="F947" s="31"/>
      <c r="G947" s="31"/>
      <c r="H947" s="31"/>
      <c r="I947" s="31"/>
    </row>
    <row r="948" ht="15.75" customHeight="1">
      <c r="A948" s="31"/>
      <c r="B948" s="31"/>
      <c r="C948" s="31"/>
      <c r="D948" s="31"/>
      <c r="E948" s="31"/>
      <c r="F948" s="31"/>
      <c r="G948" s="31"/>
      <c r="H948" s="31"/>
      <c r="I948" s="31"/>
    </row>
    <row r="949" ht="15.75" customHeight="1">
      <c r="A949" s="31"/>
      <c r="B949" s="31"/>
      <c r="C949" s="31"/>
      <c r="D949" s="31"/>
      <c r="E949" s="31"/>
      <c r="F949" s="31"/>
      <c r="G949" s="31"/>
      <c r="H949" s="31"/>
      <c r="I949" s="31"/>
    </row>
    <row r="950" ht="15.75" customHeight="1">
      <c r="A950" s="31"/>
      <c r="B950" s="31"/>
      <c r="C950" s="31"/>
      <c r="D950" s="31"/>
      <c r="E950" s="31"/>
      <c r="F950" s="31"/>
      <c r="G950" s="31"/>
      <c r="H950" s="31"/>
      <c r="I950" s="31"/>
    </row>
    <row r="951" ht="15.75" customHeight="1">
      <c r="A951" s="31"/>
      <c r="B951" s="31"/>
      <c r="C951" s="31"/>
      <c r="D951" s="31"/>
      <c r="E951" s="31"/>
      <c r="F951" s="31"/>
      <c r="G951" s="31"/>
      <c r="H951" s="31"/>
      <c r="I951" s="31"/>
    </row>
    <row r="952" ht="15.75" customHeight="1">
      <c r="A952" s="31"/>
      <c r="B952" s="31"/>
      <c r="C952" s="31"/>
      <c r="D952" s="31"/>
      <c r="E952" s="31"/>
      <c r="F952" s="31"/>
      <c r="G952" s="31"/>
      <c r="H952" s="31"/>
      <c r="I952" s="31"/>
    </row>
    <row r="953" ht="15.75" customHeight="1">
      <c r="A953" s="31"/>
      <c r="B953" s="31"/>
      <c r="C953" s="31"/>
      <c r="D953" s="31"/>
      <c r="E953" s="31"/>
      <c r="F953" s="31"/>
      <c r="G953" s="31"/>
      <c r="H953" s="31"/>
      <c r="I953" s="31"/>
    </row>
    <row r="954" ht="15.75" customHeight="1">
      <c r="A954" s="31"/>
      <c r="B954" s="31"/>
      <c r="C954" s="31"/>
      <c r="D954" s="31"/>
      <c r="E954" s="31"/>
      <c r="F954" s="31"/>
      <c r="G954" s="31"/>
      <c r="H954" s="31"/>
      <c r="I954" s="31"/>
    </row>
    <row r="955" ht="15.75" customHeight="1">
      <c r="A955" s="31"/>
      <c r="B955" s="31"/>
      <c r="C955" s="31"/>
      <c r="D955" s="31"/>
      <c r="E955" s="31"/>
      <c r="F955" s="31"/>
      <c r="G955" s="31"/>
      <c r="H955" s="31"/>
      <c r="I955" s="31"/>
    </row>
    <row r="956" ht="15.75" customHeight="1">
      <c r="A956" s="31"/>
      <c r="B956" s="31"/>
      <c r="C956" s="31"/>
      <c r="D956" s="31"/>
      <c r="E956" s="31"/>
      <c r="F956" s="31"/>
      <c r="G956" s="31"/>
      <c r="H956" s="31"/>
      <c r="I956" s="31"/>
    </row>
    <row r="957" ht="15.75" customHeight="1">
      <c r="A957" s="31"/>
      <c r="B957" s="31"/>
      <c r="C957" s="31"/>
      <c r="D957" s="31"/>
      <c r="E957" s="31"/>
      <c r="F957" s="31"/>
      <c r="G957" s="31"/>
      <c r="H957" s="31"/>
      <c r="I957" s="31"/>
    </row>
    <row r="958" ht="15.75" customHeight="1">
      <c r="A958" s="31"/>
      <c r="B958" s="31"/>
      <c r="C958" s="31"/>
      <c r="D958" s="31"/>
      <c r="E958" s="31"/>
      <c r="F958" s="31"/>
      <c r="G958" s="31"/>
      <c r="H958" s="31"/>
      <c r="I958" s="31"/>
    </row>
    <row r="959" ht="15.75" customHeight="1">
      <c r="A959" s="31"/>
      <c r="B959" s="31"/>
      <c r="C959" s="31"/>
      <c r="D959" s="31"/>
      <c r="E959" s="31"/>
      <c r="F959" s="31"/>
      <c r="G959" s="31"/>
      <c r="H959" s="31"/>
      <c r="I959" s="31"/>
    </row>
    <row r="960" ht="15.75" customHeight="1">
      <c r="A960" s="31"/>
      <c r="B960" s="31"/>
      <c r="C960" s="31"/>
      <c r="D960" s="31"/>
      <c r="E960" s="31"/>
      <c r="F960" s="31"/>
      <c r="G960" s="31"/>
      <c r="H960" s="31"/>
      <c r="I960" s="31"/>
    </row>
    <row r="961" ht="15.75" customHeight="1">
      <c r="A961" s="31"/>
      <c r="B961" s="31"/>
      <c r="C961" s="31"/>
      <c r="D961" s="31"/>
      <c r="E961" s="31"/>
      <c r="F961" s="31"/>
      <c r="G961" s="31"/>
      <c r="H961" s="31"/>
      <c r="I961" s="31"/>
    </row>
    <row r="962" ht="15.75" customHeight="1">
      <c r="A962" s="31"/>
      <c r="B962" s="31"/>
      <c r="C962" s="31"/>
      <c r="D962" s="31"/>
      <c r="E962" s="31"/>
      <c r="F962" s="31"/>
      <c r="G962" s="31"/>
      <c r="H962" s="31"/>
      <c r="I962" s="31"/>
    </row>
    <row r="963" ht="15.75" customHeight="1">
      <c r="A963" s="31"/>
      <c r="B963" s="31"/>
      <c r="C963" s="31"/>
      <c r="D963" s="31"/>
      <c r="E963" s="31"/>
      <c r="F963" s="31"/>
      <c r="G963" s="31"/>
      <c r="H963" s="31"/>
      <c r="I963" s="31"/>
    </row>
    <row r="964" ht="15.75" customHeight="1">
      <c r="A964" s="31"/>
      <c r="B964" s="31"/>
      <c r="C964" s="31"/>
      <c r="D964" s="31"/>
      <c r="E964" s="31"/>
      <c r="F964" s="31"/>
      <c r="G964" s="31"/>
      <c r="H964" s="31"/>
      <c r="I964" s="31"/>
    </row>
    <row r="965" ht="15.75" customHeight="1">
      <c r="A965" s="31"/>
      <c r="B965" s="31"/>
      <c r="C965" s="31"/>
      <c r="D965" s="31"/>
      <c r="E965" s="31"/>
      <c r="F965" s="31"/>
      <c r="G965" s="31"/>
      <c r="H965" s="31"/>
      <c r="I965" s="31"/>
    </row>
    <row r="966" ht="15.75" customHeight="1">
      <c r="A966" s="31"/>
      <c r="B966" s="31"/>
      <c r="C966" s="31"/>
      <c r="D966" s="31"/>
      <c r="E966" s="31"/>
      <c r="F966" s="31"/>
      <c r="G966" s="31"/>
      <c r="H966" s="31"/>
      <c r="I966" s="31"/>
    </row>
    <row r="967" ht="15.75" customHeight="1">
      <c r="A967" s="31"/>
      <c r="B967" s="31"/>
      <c r="C967" s="31"/>
      <c r="D967" s="31"/>
      <c r="E967" s="31"/>
      <c r="F967" s="31"/>
      <c r="G967" s="31"/>
      <c r="H967" s="31"/>
      <c r="I967" s="31"/>
    </row>
    <row r="968" ht="15.75" customHeight="1">
      <c r="A968" s="31"/>
      <c r="B968" s="31"/>
      <c r="C968" s="31"/>
      <c r="D968" s="31"/>
      <c r="E968" s="31"/>
      <c r="F968" s="31"/>
      <c r="G968" s="31"/>
      <c r="H968" s="31"/>
      <c r="I968" s="31"/>
    </row>
    <row r="969" ht="15.75" customHeight="1">
      <c r="A969" s="31"/>
      <c r="B969" s="31"/>
      <c r="C969" s="31"/>
      <c r="D969" s="31"/>
      <c r="E969" s="31"/>
      <c r="F969" s="31"/>
      <c r="G969" s="31"/>
      <c r="H969" s="31"/>
      <c r="I969" s="31"/>
    </row>
    <row r="970" ht="15.75" customHeight="1">
      <c r="A970" s="31"/>
      <c r="B970" s="31"/>
      <c r="C970" s="31"/>
      <c r="D970" s="31"/>
      <c r="E970" s="31"/>
      <c r="F970" s="31"/>
      <c r="G970" s="31"/>
      <c r="H970" s="31"/>
      <c r="I970" s="31"/>
    </row>
    <row r="971" ht="15.75" customHeight="1">
      <c r="A971" s="31"/>
      <c r="B971" s="31"/>
      <c r="C971" s="31"/>
      <c r="D971" s="31"/>
      <c r="E971" s="31"/>
      <c r="F971" s="31"/>
      <c r="G971" s="31"/>
      <c r="H971" s="31"/>
      <c r="I971" s="31"/>
    </row>
    <row r="972" ht="15.75" customHeight="1">
      <c r="A972" s="31"/>
      <c r="B972" s="31"/>
      <c r="C972" s="31"/>
      <c r="D972" s="31"/>
      <c r="E972" s="31"/>
      <c r="F972" s="31"/>
      <c r="G972" s="31"/>
      <c r="H972" s="31"/>
      <c r="I972" s="31"/>
    </row>
    <row r="973" ht="15.75" customHeight="1">
      <c r="A973" s="31"/>
      <c r="B973" s="31"/>
      <c r="C973" s="31"/>
      <c r="D973" s="31"/>
      <c r="E973" s="31"/>
      <c r="F973" s="31"/>
      <c r="G973" s="31"/>
      <c r="H973" s="31"/>
      <c r="I973" s="31"/>
    </row>
    <row r="974" ht="15.75" customHeight="1">
      <c r="A974" s="31"/>
      <c r="B974" s="31"/>
      <c r="C974" s="31"/>
      <c r="D974" s="31"/>
      <c r="E974" s="31"/>
      <c r="F974" s="31"/>
      <c r="G974" s="31"/>
      <c r="H974" s="31"/>
      <c r="I974" s="31"/>
    </row>
    <row r="975" ht="15.75" customHeight="1">
      <c r="A975" s="31"/>
      <c r="B975" s="31"/>
      <c r="C975" s="31"/>
      <c r="D975" s="31"/>
      <c r="E975" s="31"/>
      <c r="F975" s="31"/>
      <c r="G975" s="31"/>
      <c r="H975" s="31"/>
      <c r="I975" s="31"/>
    </row>
    <row r="976" ht="15.75" customHeight="1">
      <c r="A976" s="31"/>
      <c r="B976" s="31"/>
      <c r="C976" s="31"/>
      <c r="D976" s="31"/>
      <c r="E976" s="31"/>
      <c r="F976" s="31"/>
      <c r="G976" s="31"/>
      <c r="H976" s="31"/>
      <c r="I976" s="31"/>
    </row>
    <row r="977" ht="15.75" customHeight="1">
      <c r="A977" s="31"/>
      <c r="B977" s="31"/>
      <c r="C977" s="31"/>
      <c r="D977" s="31"/>
      <c r="E977" s="31"/>
      <c r="F977" s="31"/>
      <c r="G977" s="31"/>
      <c r="H977" s="31"/>
      <c r="I977" s="31"/>
    </row>
    <row r="978" ht="15.75" customHeight="1">
      <c r="A978" s="31"/>
      <c r="B978" s="31"/>
      <c r="C978" s="31"/>
      <c r="D978" s="31"/>
      <c r="E978" s="31"/>
      <c r="F978" s="31"/>
      <c r="G978" s="31"/>
      <c r="H978" s="31"/>
      <c r="I978" s="31"/>
    </row>
    <row r="979" ht="15.75" customHeight="1">
      <c r="A979" s="31"/>
      <c r="B979" s="31"/>
      <c r="C979" s="31"/>
      <c r="D979" s="31"/>
      <c r="E979" s="31"/>
      <c r="F979" s="31"/>
      <c r="G979" s="31"/>
      <c r="H979" s="31"/>
      <c r="I979" s="31"/>
    </row>
    <row r="980" ht="15.75" customHeight="1">
      <c r="A980" s="31"/>
      <c r="B980" s="31"/>
      <c r="C980" s="31"/>
      <c r="D980" s="31"/>
      <c r="E980" s="31"/>
      <c r="F980" s="31"/>
      <c r="G980" s="31"/>
      <c r="H980" s="31"/>
      <c r="I980" s="31"/>
    </row>
    <row r="981" ht="15.75" customHeight="1">
      <c r="A981" s="31"/>
      <c r="B981" s="31"/>
      <c r="C981" s="31"/>
      <c r="D981" s="31"/>
      <c r="E981" s="31"/>
      <c r="F981" s="31"/>
      <c r="G981" s="31"/>
      <c r="H981" s="31"/>
      <c r="I981" s="31"/>
    </row>
    <row r="982" ht="15.75" customHeight="1">
      <c r="A982" s="31"/>
      <c r="B982" s="31"/>
      <c r="C982" s="31"/>
      <c r="D982" s="31"/>
      <c r="E982" s="31"/>
      <c r="F982" s="31"/>
      <c r="G982" s="31"/>
      <c r="H982" s="31"/>
      <c r="I982" s="31"/>
    </row>
    <row r="983" ht="15.75" customHeight="1">
      <c r="A983" s="31"/>
      <c r="B983" s="31"/>
      <c r="C983" s="31"/>
      <c r="D983" s="31"/>
      <c r="E983" s="31"/>
      <c r="F983" s="31"/>
      <c r="G983" s="31"/>
      <c r="H983" s="31"/>
      <c r="I983" s="31"/>
    </row>
    <row r="984" ht="15.75" customHeight="1">
      <c r="A984" s="31"/>
      <c r="B984" s="31"/>
      <c r="C984" s="31"/>
      <c r="D984" s="31"/>
      <c r="E984" s="31"/>
      <c r="F984" s="31"/>
      <c r="G984" s="31"/>
      <c r="H984" s="31"/>
      <c r="I984" s="31"/>
    </row>
    <row r="985" ht="15.75" customHeight="1">
      <c r="A985" s="31"/>
      <c r="B985" s="31"/>
      <c r="C985" s="31"/>
      <c r="D985" s="31"/>
      <c r="E985" s="31"/>
      <c r="F985" s="31"/>
      <c r="G985" s="31"/>
      <c r="H985" s="31"/>
      <c r="I985" s="31"/>
    </row>
    <row r="986" ht="15.75" customHeight="1">
      <c r="A986" s="31"/>
      <c r="B986" s="31"/>
      <c r="C986" s="31"/>
      <c r="D986" s="31"/>
      <c r="E986" s="31"/>
      <c r="F986" s="31"/>
      <c r="G986" s="31"/>
      <c r="H986" s="31"/>
      <c r="I986" s="31"/>
    </row>
    <row r="987" ht="15.75" customHeight="1">
      <c r="A987" s="31"/>
      <c r="B987" s="31"/>
      <c r="C987" s="31"/>
      <c r="D987" s="31"/>
      <c r="E987" s="31"/>
      <c r="F987" s="31"/>
      <c r="G987" s="31"/>
      <c r="H987" s="31"/>
      <c r="I987" s="31"/>
    </row>
    <row r="988" ht="15.75" customHeight="1">
      <c r="A988" s="31"/>
      <c r="B988" s="31"/>
      <c r="C988" s="31"/>
      <c r="D988" s="31"/>
      <c r="E988" s="31"/>
      <c r="F988" s="31"/>
      <c r="G988" s="31"/>
      <c r="H988" s="31"/>
      <c r="I988" s="31"/>
    </row>
    <row r="989" ht="15.75" customHeight="1">
      <c r="A989" s="31"/>
      <c r="B989" s="31"/>
      <c r="C989" s="31"/>
      <c r="D989" s="31"/>
      <c r="E989" s="31"/>
      <c r="F989" s="31"/>
      <c r="G989" s="31"/>
      <c r="H989" s="31"/>
      <c r="I989" s="31"/>
    </row>
    <row r="990" ht="15.75" customHeight="1">
      <c r="A990" s="31"/>
      <c r="B990" s="31"/>
      <c r="C990" s="31"/>
      <c r="D990" s="31"/>
      <c r="E990" s="31"/>
      <c r="F990" s="31"/>
      <c r="G990" s="31"/>
      <c r="H990" s="31"/>
      <c r="I990" s="31"/>
    </row>
    <row r="991" ht="15.75" customHeight="1">
      <c r="A991" s="31"/>
      <c r="B991" s="31"/>
      <c r="C991" s="31"/>
      <c r="D991" s="31"/>
      <c r="E991" s="31"/>
      <c r="F991" s="31"/>
      <c r="G991" s="31"/>
      <c r="H991" s="31"/>
      <c r="I991" s="31"/>
    </row>
    <row r="992" ht="15.75" customHeight="1">
      <c r="A992" s="31"/>
      <c r="B992" s="31"/>
      <c r="C992" s="31"/>
      <c r="D992" s="31"/>
      <c r="E992" s="31"/>
      <c r="F992" s="31"/>
      <c r="G992" s="31"/>
      <c r="H992" s="31"/>
      <c r="I992" s="31"/>
    </row>
    <row r="993" ht="15.75" customHeight="1">
      <c r="A993" s="31"/>
      <c r="B993" s="31"/>
      <c r="C993" s="31"/>
      <c r="D993" s="31"/>
      <c r="E993" s="31"/>
      <c r="F993" s="31"/>
      <c r="G993" s="31"/>
      <c r="H993" s="31"/>
      <c r="I993" s="31"/>
    </row>
    <row r="994" ht="15.75" customHeight="1">
      <c r="A994" s="31"/>
      <c r="B994" s="31"/>
      <c r="C994" s="31"/>
      <c r="D994" s="31"/>
      <c r="E994" s="31"/>
      <c r="F994" s="31"/>
      <c r="G994" s="31"/>
      <c r="H994" s="31"/>
      <c r="I994" s="31"/>
    </row>
    <row r="995" ht="15.75" customHeight="1">
      <c r="A995" s="31"/>
      <c r="B995" s="31"/>
      <c r="C995" s="31"/>
      <c r="D995" s="31"/>
      <c r="E995" s="31"/>
      <c r="F995" s="31"/>
      <c r="G995" s="31"/>
      <c r="H995" s="31"/>
      <c r="I995" s="31"/>
    </row>
    <row r="996" ht="15.75" customHeight="1">
      <c r="A996" s="31"/>
      <c r="B996" s="31"/>
      <c r="C996" s="31"/>
      <c r="D996" s="31"/>
      <c r="E996" s="31"/>
      <c r="F996" s="31"/>
      <c r="G996" s="31"/>
      <c r="H996" s="31"/>
      <c r="I996" s="31"/>
    </row>
    <row r="997" ht="15.75" customHeight="1">
      <c r="A997" s="31"/>
      <c r="B997" s="31"/>
      <c r="C997" s="31"/>
      <c r="D997" s="31"/>
      <c r="E997" s="31"/>
      <c r="F997" s="31"/>
      <c r="G997" s="31"/>
      <c r="H997" s="31"/>
      <c r="I997" s="31"/>
    </row>
    <row r="998" ht="15.75" customHeight="1">
      <c r="A998" s="31"/>
      <c r="B998" s="31"/>
      <c r="C998" s="31"/>
      <c r="D998" s="31"/>
      <c r="E998" s="31"/>
      <c r="F998" s="31"/>
      <c r="G998" s="31"/>
      <c r="H998" s="31"/>
      <c r="I998" s="31"/>
    </row>
    <row r="999" ht="15.75" customHeight="1">
      <c r="A999" s="31"/>
      <c r="B999" s="31"/>
      <c r="C999" s="31"/>
      <c r="D999" s="31"/>
      <c r="E999" s="31"/>
      <c r="F999" s="31"/>
      <c r="G999" s="31"/>
      <c r="H999" s="31"/>
      <c r="I999" s="31"/>
    </row>
    <row r="1000" ht="15.75" customHeight="1">
      <c r="A1000" s="31"/>
      <c r="B1000" s="31"/>
      <c r="C1000" s="31"/>
      <c r="D1000" s="31"/>
      <c r="E1000" s="31"/>
      <c r="F1000" s="31"/>
      <c r="G1000" s="31"/>
      <c r="H1000" s="31"/>
      <c r="I1000" s="31"/>
    </row>
  </sheetData>
  <autoFilter ref="$A$1:$I$16"/>
  <printOptions/>
  <pageMargins bottom="1.0" footer="0.0" header="0.0" left="0.75" right="0.75" top="1.0"/>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57"/>
    <col customWidth="1" min="2" max="2" width="11.43"/>
    <col customWidth="1" min="3" max="3" width="16.43"/>
    <col customWidth="1" min="4" max="4" width="13.86"/>
    <col customWidth="1" min="5" max="5" width="18.29"/>
    <col customWidth="1" min="6" max="6" width="37.57"/>
    <col customWidth="1" min="7" max="7" width="13.86"/>
    <col customWidth="1" min="8" max="8" width="30.14"/>
    <col customWidth="1" min="9" max="26" width="12.57"/>
  </cols>
  <sheetData>
    <row r="1" ht="31.5" customHeight="1">
      <c r="A1" s="68" t="s">
        <v>1341</v>
      </c>
      <c r="B1" s="68" t="s">
        <v>1394</v>
      </c>
      <c r="C1" s="68" t="s">
        <v>7</v>
      </c>
      <c r="D1" s="68" t="s">
        <v>1495</v>
      </c>
      <c r="E1" s="68" t="s">
        <v>1496</v>
      </c>
      <c r="F1" s="68" t="s">
        <v>1497</v>
      </c>
      <c r="G1" s="68" t="s">
        <v>1498</v>
      </c>
      <c r="H1" s="68" t="s">
        <v>9</v>
      </c>
    </row>
    <row r="2" ht="42.75" customHeight="1">
      <c r="A2" s="57" t="s">
        <v>1348</v>
      </c>
      <c r="B2" s="57" t="s">
        <v>1402</v>
      </c>
      <c r="C2" s="69" t="s">
        <v>26</v>
      </c>
      <c r="D2" s="61"/>
      <c r="E2" s="69" t="s">
        <v>1499</v>
      </c>
      <c r="F2" s="70" t="s">
        <v>1500</v>
      </c>
      <c r="G2" s="57"/>
      <c r="H2" s="71" t="s">
        <v>1501</v>
      </c>
    </row>
    <row r="3" ht="42.75" customHeight="1">
      <c r="A3" s="17" t="s">
        <v>1348</v>
      </c>
      <c r="B3" s="17" t="s">
        <v>1410</v>
      </c>
      <c r="C3" s="69" t="s">
        <v>26</v>
      </c>
      <c r="D3" s="63"/>
      <c r="E3" s="69" t="s">
        <v>1499</v>
      </c>
      <c r="F3" s="72"/>
      <c r="G3" s="17"/>
      <c r="H3" s="72"/>
    </row>
    <row r="4" ht="42.75" customHeight="1">
      <c r="A4" s="57" t="s">
        <v>1348</v>
      </c>
      <c r="B4" s="57" t="s">
        <v>1416</v>
      </c>
      <c r="C4" s="69" t="s">
        <v>26</v>
      </c>
      <c r="D4" s="61"/>
      <c r="E4" s="69" t="s">
        <v>1499</v>
      </c>
      <c r="F4" s="72"/>
      <c r="G4" s="57"/>
      <c r="H4" s="72"/>
    </row>
    <row r="5" ht="42.75" customHeight="1">
      <c r="A5" s="17" t="s">
        <v>1348</v>
      </c>
      <c r="B5" s="17" t="s">
        <v>1422</v>
      </c>
      <c r="C5" s="69" t="s">
        <v>26</v>
      </c>
      <c r="D5" s="63"/>
      <c r="E5" s="69" t="s">
        <v>1499</v>
      </c>
      <c r="F5" s="72"/>
      <c r="G5" s="17"/>
      <c r="H5" s="72"/>
    </row>
    <row r="6" ht="42.75" customHeight="1">
      <c r="A6" s="57" t="s">
        <v>1348</v>
      </c>
      <c r="B6" s="57" t="s">
        <v>1429</v>
      </c>
      <c r="C6" s="69" t="s">
        <v>26</v>
      </c>
      <c r="D6" s="63">
        <v>16.0</v>
      </c>
      <c r="E6" s="69" t="s">
        <v>1499</v>
      </c>
      <c r="F6" s="72"/>
      <c r="G6" s="57"/>
      <c r="H6" s="72"/>
    </row>
    <row r="7" ht="42.75" customHeight="1">
      <c r="A7" s="17" t="s">
        <v>1348</v>
      </c>
      <c r="B7" s="17" t="s">
        <v>1436</v>
      </c>
      <c r="C7" s="69" t="s">
        <v>26</v>
      </c>
      <c r="D7" s="63"/>
      <c r="E7" s="69" t="s">
        <v>1499</v>
      </c>
      <c r="F7" s="72"/>
      <c r="G7" s="17"/>
      <c r="H7" s="72"/>
    </row>
    <row r="8" ht="42.75" customHeight="1">
      <c r="A8" s="57" t="s">
        <v>1348</v>
      </c>
      <c r="B8" s="57" t="s">
        <v>1442</v>
      </c>
      <c r="C8" s="69" t="s">
        <v>26</v>
      </c>
      <c r="D8" s="61"/>
      <c r="E8" s="69" t="s">
        <v>1499</v>
      </c>
      <c r="F8" s="72"/>
      <c r="G8" s="57"/>
      <c r="H8" s="72"/>
    </row>
    <row r="9" ht="42.75" customHeight="1">
      <c r="A9" s="17" t="s">
        <v>1348</v>
      </c>
      <c r="B9" s="17" t="s">
        <v>1448</v>
      </c>
      <c r="C9" s="69" t="s">
        <v>26</v>
      </c>
      <c r="D9" s="63"/>
      <c r="E9" s="69" t="s">
        <v>1499</v>
      </c>
      <c r="F9" s="72"/>
      <c r="G9" s="17"/>
      <c r="H9" s="72"/>
    </row>
    <row r="10" ht="42.75" customHeight="1">
      <c r="A10" s="57" t="s">
        <v>1348</v>
      </c>
      <c r="B10" s="57" t="s">
        <v>1454</v>
      </c>
      <c r="C10" s="69" t="s">
        <v>26</v>
      </c>
      <c r="D10" s="61"/>
      <c r="E10" s="69" t="s">
        <v>1499</v>
      </c>
      <c r="F10" s="73"/>
      <c r="G10" s="57"/>
      <c r="H10" s="73"/>
    </row>
    <row r="11" ht="15.0" customHeight="1">
      <c r="A11" s="17" t="s">
        <v>1355</v>
      </c>
      <c r="B11" s="17" t="s">
        <v>1402</v>
      </c>
      <c r="C11" s="69" t="s">
        <v>26</v>
      </c>
      <c r="D11" s="63"/>
      <c r="E11" s="69" t="s">
        <v>1502</v>
      </c>
      <c r="F11" s="17" t="s">
        <v>1503</v>
      </c>
      <c r="G11" s="17"/>
      <c r="H11" s="74" t="s">
        <v>1501</v>
      </c>
    </row>
    <row r="12" ht="15.0" customHeight="1">
      <c r="A12" s="57" t="s">
        <v>1355</v>
      </c>
      <c r="B12" s="57" t="s">
        <v>1410</v>
      </c>
      <c r="C12" s="69" t="s">
        <v>26</v>
      </c>
      <c r="D12" s="61"/>
      <c r="E12" s="69" t="s">
        <v>1502</v>
      </c>
      <c r="G12" s="57"/>
    </row>
    <row r="13" ht="15.0" customHeight="1">
      <c r="A13" s="17" t="s">
        <v>1355</v>
      </c>
      <c r="B13" s="17" t="s">
        <v>1416</v>
      </c>
      <c r="C13" s="69" t="s">
        <v>26</v>
      </c>
      <c r="D13" s="63"/>
      <c r="E13" s="69" t="s">
        <v>1502</v>
      </c>
      <c r="G13" s="17"/>
    </row>
    <row r="14" ht="15.0" customHeight="1">
      <c r="A14" s="57" t="s">
        <v>1355</v>
      </c>
      <c r="B14" s="57" t="s">
        <v>1422</v>
      </c>
      <c r="C14" s="69" t="s">
        <v>26</v>
      </c>
      <c r="D14" s="61"/>
      <c r="E14" s="69" t="s">
        <v>1502</v>
      </c>
      <c r="G14" s="57"/>
    </row>
    <row r="15" ht="15.0" customHeight="1">
      <c r="A15" s="17" t="s">
        <v>1355</v>
      </c>
      <c r="B15" s="17" t="s">
        <v>1429</v>
      </c>
      <c r="C15" s="69" t="s">
        <v>26</v>
      </c>
      <c r="D15" s="63">
        <v>9.0</v>
      </c>
      <c r="E15" s="69" t="s">
        <v>1502</v>
      </c>
      <c r="G15" s="17"/>
    </row>
    <row r="16" ht="15.0" customHeight="1">
      <c r="A16" s="57" t="s">
        <v>1355</v>
      </c>
      <c r="B16" s="57" t="s">
        <v>1436</v>
      </c>
      <c r="C16" s="69" t="s">
        <v>26</v>
      </c>
      <c r="D16" s="61"/>
      <c r="E16" s="69" t="s">
        <v>1502</v>
      </c>
      <c r="G16" s="57"/>
    </row>
    <row r="17" ht="15.0" customHeight="1">
      <c r="A17" s="17" t="s">
        <v>1355</v>
      </c>
      <c r="B17" s="17" t="s">
        <v>1442</v>
      </c>
      <c r="C17" s="69" t="s">
        <v>26</v>
      </c>
      <c r="D17" s="63"/>
      <c r="E17" s="69" t="s">
        <v>1502</v>
      </c>
      <c r="G17" s="17"/>
    </row>
    <row r="18" ht="15.0" customHeight="1">
      <c r="A18" s="57" t="s">
        <v>1355</v>
      </c>
      <c r="B18" s="57" t="s">
        <v>1448</v>
      </c>
      <c r="C18" s="69" t="s">
        <v>26</v>
      </c>
      <c r="D18" s="61"/>
      <c r="E18" s="69" t="s">
        <v>1502</v>
      </c>
      <c r="G18" s="57"/>
    </row>
    <row r="19" ht="15.0" customHeight="1">
      <c r="A19" s="17" t="s">
        <v>1355</v>
      </c>
      <c r="B19" s="17" t="s">
        <v>1454</v>
      </c>
      <c r="C19" s="69" t="s">
        <v>26</v>
      </c>
      <c r="D19" s="63"/>
      <c r="E19" s="69" t="s">
        <v>1499</v>
      </c>
      <c r="G19" s="17"/>
    </row>
    <row r="20" ht="15.0" customHeight="1">
      <c r="A20" s="57" t="s">
        <v>1358</v>
      </c>
      <c r="B20" s="57" t="s">
        <v>1402</v>
      </c>
      <c r="C20" s="69" t="s">
        <v>26</v>
      </c>
      <c r="D20" s="61"/>
      <c r="E20" s="69" t="s">
        <v>1499</v>
      </c>
      <c r="F20" s="70" t="s">
        <v>1504</v>
      </c>
      <c r="G20" s="57"/>
      <c r="H20" s="71" t="s">
        <v>1501</v>
      </c>
    </row>
    <row r="21" ht="15.0" customHeight="1">
      <c r="A21" s="17" t="s">
        <v>1358</v>
      </c>
      <c r="B21" s="17" t="s">
        <v>1410</v>
      </c>
      <c r="C21" s="69" t="s">
        <v>26</v>
      </c>
      <c r="D21" s="63"/>
      <c r="E21" s="69" t="s">
        <v>1499</v>
      </c>
      <c r="F21" s="72"/>
      <c r="G21" s="17"/>
      <c r="H21" s="72"/>
    </row>
    <row r="22" ht="15.0" customHeight="1">
      <c r="A22" s="57" t="s">
        <v>1358</v>
      </c>
      <c r="B22" s="57" t="s">
        <v>1416</v>
      </c>
      <c r="C22" s="69" t="s">
        <v>26</v>
      </c>
      <c r="D22" s="61"/>
      <c r="E22" s="69" t="s">
        <v>1499</v>
      </c>
      <c r="F22" s="72"/>
      <c r="G22" s="57"/>
      <c r="H22" s="72"/>
    </row>
    <row r="23" ht="15.0" customHeight="1">
      <c r="A23" s="17" t="s">
        <v>1358</v>
      </c>
      <c r="B23" s="17" t="s">
        <v>1422</v>
      </c>
      <c r="C23" s="69" t="s">
        <v>26</v>
      </c>
      <c r="D23" s="63"/>
      <c r="E23" s="69" t="s">
        <v>1499</v>
      </c>
      <c r="F23" s="72"/>
      <c r="G23" s="17"/>
      <c r="H23" s="72"/>
    </row>
    <row r="24" ht="15.0" customHeight="1">
      <c r="A24" s="57" t="s">
        <v>1358</v>
      </c>
      <c r="B24" s="57" t="s">
        <v>1429</v>
      </c>
      <c r="C24" s="69" t="s">
        <v>26</v>
      </c>
      <c r="D24" s="61">
        <v>15.0</v>
      </c>
      <c r="E24" s="69" t="s">
        <v>1499</v>
      </c>
      <c r="F24" s="72"/>
      <c r="G24" s="57"/>
      <c r="H24" s="72"/>
    </row>
    <row r="25" ht="15.0" customHeight="1">
      <c r="A25" s="17" t="s">
        <v>1358</v>
      </c>
      <c r="B25" s="17" t="s">
        <v>1436</v>
      </c>
      <c r="C25" s="69" t="s">
        <v>26</v>
      </c>
      <c r="D25" s="63"/>
      <c r="E25" s="69" t="s">
        <v>1499</v>
      </c>
      <c r="F25" s="72"/>
      <c r="G25" s="17"/>
      <c r="H25" s="72"/>
    </row>
    <row r="26" ht="15.0" customHeight="1">
      <c r="A26" s="57" t="s">
        <v>1358</v>
      </c>
      <c r="B26" s="57" t="s">
        <v>1442</v>
      </c>
      <c r="C26" s="69" t="s">
        <v>26</v>
      </c>
      <c r="D26" s="61"/>
      <c r="E26" s="69" t="s">
        <v>1499</v>
      </c>
      <c r="F26" s="72"/>
      <c r="G26" s="57"/>
      <c r="H26" s="72"/>
    </row>
    <row r="27" ht="15.0" customHeight="1">
      <c r="A27" s="17" t="s">
        <v>1358</v>
      </c>
      <c r="B27" s="17" t="s">
        <v>1448</v>
      </c>
      <c r="C27" s="69" t="s">
        <v>26</v>
      </c>
      <c r="D27" s="63"/>
      <c r="E27" s="69" t="s">
        <v>1499</v>
      </c>
      <c r="F27" s="73"/>
      <c r="G27" s="17"/>
      <c r="H27" s="72"/>
    </row>
    <row r="28" ht="15.0" customHeight="1">
      <c r="A28" s="57" t="s">
        <v>1358</v>
      </c>
      <c r="B28" s="57" t="s">
        <v>1454</v>
      </c>
      <c r="C28" s="69" t="s">
        <v>26</v>
      </c>
      <c r="D28" s="61"/>
      <c r="E28" s="69" t="s">
        <v>1499</v>
      </c>
      <c r="F28" s="57"/>
      <c r="G28" s="57"/>
      <c r="H28" s="73"/>
    </row>
    <row r="29" ht="15.0" customHeight="1">
      <c r="A29" s="57" t="s">
        <v>1362</v>
      </c>
      <c r="B29" s="57" t="s">
        <v>1460</v>
      </c>
      <c r="C29" s="69" t="s">
        <v>26</v>
      </c>
      <c r="D29" s="61"/>
      <c r="E29" s="69" t="s">
        <v>1502</v>
      </c>
      <c r="F29" s="70" t="s">
        <v>1513</v>
      </c>
      <c r="G29" s="57"/>
      <c r="H29" s="71" t="s">
        <v>1501</v>
      </c>
    </row>
    <row r="30" ht="15.0" customHeight="1">
      <c r="A30" s="17" t="s">
        <v>1362</v>
      </c>
      <c r="B30" s="17" t="s">
        <v>1466</v>
      </c>
      <c r="C30" s="69" t="s">
        <v>26</v>
      </c>
      <c r="D30" s="63"/>
      <c r="E30" s="69" t="s">
        <v>1502</v>
      </c>
      <c r="F30" s="72"/>
      <c r="G30" s="17"/>
      <c r="H30" s="72"/>
    </row>
    <row r="31" ht="15.0" customHeight="1">
      <c r="A31" s="57" t="s">
        <v>1362</v>
      </c>
      <c r="B31" s="57" t="s">
        <v>1472</v>
      </c>
      <c r="C31" s="69" t="s">
        <v>26</v>
      </c>
      <c r="D31" s="61"/>
      <c r="E31" s="69" t="s">
        <v>1502</v>
      </c>
      <c r="F31" s="72"/>
      <c r="G31" s="57"/>
      <c r="H31" s="72"/>
    </row>
    <row r="32" ht="15.0" customHeight="1">
      <c r="A32" s="17" t="s">
        <v>1362</v>
      </c>
      <c r="B32" s="17" t="s">
        <v>1478</v>
      </c>
      <c r="C32" s="69" t="s">
        <v>26</v>
      </c>
      <c r="D32" s="63"/>
      <c r="E32" s="69" t="s">
        <v>1502</v>
      </c>
      <c r="F32" s="72"/>
      <c r="G32" s="17"/>
      <c r="H32" s="72"/>
    </row>
    <row r="33" ht="15.0" customHeight="1">
      <c r="A33" s="57" t="s">
        <v>1362</v>
      </c>
      <c r="B33" s="57" t="s">
        <v>1484</v>
      </c>
      <c r="C33" s="69" t="s">
        <v>26</v>
      </c>
      <c r="D33" s="61"/>
      <c r="E33" s="69" t="s">
        <v>1502</v>
      </c>
      <c r="F33" s="72"/>
      <c r="G33" s="57"/>
      <c r="H33" s="72"/>
    </row>
    <row r="34" ht="15.0" customHeight="1">
      <c r="A34" s="17" t="s">
        <v>1362</v>
      </c>
      <c r="B34" s="17" t="s">
        <v>1490</v>
      </c>
      <c r="C34" s="69" t="s">
        <v>26</v>
      </c>
      <c r="D34" s="63"/>
      <c r="E34" s="69" t="s">
        <v>1502</v>
      </c>
      <c r="F34" s="73"/>
      <c r="G34" s="17"/>
      <c r="H34" s="73"/>
    </row>
    <row r="35" ht="15.75" customHeight="1">
      <c r="B35" s="31"/>
      <c r="C35" s="31"/>
      <c r="D35" s="31"/>
      <c r="E35" s="31"/>
      <c r="F35" s="31"/>
      <c r="G35" s="31"/>
      <c r="H35" s="31"/>
    </row>
    <row r="36" ht="15.75" customHeight="1">
      <c r="B36" s="31"/>
      <c r="C36" s="31"/>
      <c r="D36" s="31"/>
      <c r="E36" s="31"/>
      <c r="F36" s="31"/>
      <c r="G36" s="31"/>
      <c r="H36" s="31"/>
    </row>
    <row r="37" ht="15.75" customHeight="1">
      <c r="B37" s="31"/>
      <c r="C37" s="31"/>
      <c r="D37" s="31"/>
      <c r="E37" s="31"/>
      <c r="F37" s="31"/>
      <c r="G37" s="31"/>
      <c r="H37" s="31"/>
    </row>
    <row r="38" ht="15.75" customHeight="1">
      <c r="B38" s="31"/>
      <c r="C38" s="31"/>
      <c r="D38" s="31"/>
      <c r="E38" s="31"/>
      <c r="F38" s="31"/>
      <c r="G38" s="31"/>
      <c r="H38" s="31"/>
    </row>
    <row r="39" ht="15.75" customHeight="1">
      <c r="B39" s="31"/>
      <c r="C39" s="31"/>
      <c r="D39" s="31"/>
      <c r="E39" s="31"/>
      <c r="F39" s="31"/>
      <c r="G39" s="31"/>
      <c r="H39" s="31"/>
    </row>
    <row r="40" ht="15.75" customHeight="1">
      <c r="B40" s="31"/>
      <c r="C40" s="31"/>
      <c r="D40" s="31"/>
      <c r="E40" s="31"/>
      <c r="F40" s="31"/>
      <c r="G40" s="31"/>
      <c r="H40" s="31"/>
    </row>
    <row r="41" ht="15.75" customHeight="1">
      <c r="B41" s="31"/>
      <c r="C41" s="31"/>
      <c r="D41" s="31"/>
      <c r="E41" s="31"/>
      <c r="F41" s="31"/>
      <c r="G41" s="31"/>
      <c r="H41" s="31"/>
    </row>
    <row r="42" ht="15.75" customHeight="1">
      <c r="B42" s="31"/>
      <c r="C42" s="31"/>
      <c r="D42" s="31"/>
      <c r="E42" s="31"/>
      <c r="F42" s="31"/>
      <c r="G42" s="31"/>
      <c r="H42" s="31"/>
    </row>
    <row r="43" ht="15.75" customHeight="1">
      <c r="B43" s="31"/>
      <c r="C43" s="31"/>
      <c r="D43" s="31"/>
      <c r="E43" s="31"/>
      <c r="F43" s="31"/>
      <c r="G43" s="31"/>
      <c r="H43" s="31"/>
    </row>
    <row r="44" ht="15.75" customHeight="1">
      <c r="B44" s="31"/>
      <c r="C44" s="31"/>
      <c r="D44" s="31"/>
      <c r="E44" s="31"/>
      <c r="F44" s="31"/>
      <c r="G44" s="31"/>
      <c r="H44" s="31"/>
    </row>
    <row r="45" ht="15.75" customHeight="1">
      <c r="B45" s="31"/>
      <c r="C45" s="31"/>
      <c r="D45" s="31"/>
      <c r="E45" s="31"/>
      <c r="F45" s="31"/>
      <c r="G45" s="31"/>
      <c r="H45" s="31"/>
    </row>
    <row r="46" ht="15.75" customHeight="1">
      <c r="B46" s="31"/>
      <c r="C46" s="31"/>
      <c r="D46" s="31"/>
      <c r="E46" s="31"/>
      <c r="F46" s="31"/>
      <c r="G46" s="31"/>
      <c r="H46" s="31"/>
    </row>
    <row r="47" ht="15.75" customHeight="1">
      <c r="B47" s="31"/>
      <c r="C47" s="31"/>
      <c r="D47" s="31"/>
      <c r="E47" s="31"/>
      <c r="F47" s="31"/>
      <c r="G47" s="31"/>
      <c r="H47" s="31"/>
    </row>
    <row r="48" ht="15.75" customHeight="1">
      <c r="B48" s="31"/>
      <c r="C48" s="31"/>
      <c r="D48" s="31"/>
      <c r="E48" s="31"/>
      <c r="F48" s="31"/>
      <c r="G48" s="31"/>
      <c r="H48" s="31"/>
    </row>
    <row r="49" ht="15.75" customHeight="1">
      <c r="B49" s="31"/>
      <c r="C49" s="31"/>
      <c r="D49" s="31"/>
      <c r="E49" s="31"/>
      <c r="F49" s="31"/>
      <c r="G49" s="31"/>
      <c r="H49" s="31"/>
    </row>
    <row r="50" ht="15.75" customHeight="1">
      <c r="B50" s="31"/>
      <c r="C50" s="31"/>
      <c r="D50" s="31"/>
      <c r="E50" s="31"/>
      <c r="F50" s="31"/>
      <c r="G50" s="31"/>
      <c r="H50" s="31"/>
    </row>
    <row r="51" ht="15.75" customHeight="1">
      <c r="B51" s="31"/>
      <c r="C51" s="31"/>
      <c r="D51" s="31"/>
      <c r="E51" s="31"/>
      <c r="F51" s="31"/>
      <c r="G51" s="31"/>
      <c r="H51" s="31"/>
    </row>
    <row r="52" ht="15.75" customHeight="1">
      <c r="B52" s="31"/>
      <c r="C52" s="31"/>
      <c r="D52" s="31"/>
      <c r="E52" s="31"/>
      <c r="F52" s="31"/>
      <c r="G52" s="31"/>
      <c r="H52" s="31"/>
    </row>
    <row r="53" ht="15.75" customHeight="1">
      <c r="B53" s="31"/>
      <c r="C53" s="31"/>
      <c r="D53" s="31"/>
      <c r="E53" s="31"/>
      <c r="F53" s="31"/>
      <c r="G53" s="31"/>
      <c r="H53" s="31"/>
    </row>
    <row r="54" ht="15.75" customHeight="1">
      <c r="B54" s="31"/>
      <c r="C54" s="31"/>
      <c r="D54" s="31"/>
      <c r="E54" s="31"/>
      <c r="F54" s="31"/>
      <c r="G54" s="31"/>
      <c r="H54" s="31"/>
    </row>
    <row r="55" ht="15.75" customHeight="1">
      <c r="B55" s="31"/>
      <c r="C55" s="31"/>
      <c r="D55" s="31"/>
      <c r="E55" s="31"/>
      <c r="F55" s="31"/>
      <c r="G55" s="31"/>
      <c r="H55" s="31"/>
    </row>
    <row r="56" ht="15.75" customHeight="1">
      <c r="B56" s="31"/>
      <c r="C56" s="31"/>
      <c r="D56" s="31"/>
      <c r="E56" s="31"/>
      <c r="F56" s="31"/>
      <c r="G56" s="31"/>
      <c r="H56" s="31"/>
    </row>
    <row r="57" ht="15.75" customHeight="1">
      <c r="B57" s="31"/>
      <c r="C57" s="31"/>
      <c r="D57" s="31"/>
      <c r="E57" s="31"/>
      <c r="F57" s="31"/>
      <c r="G57" s="31"/>
      <c r="H57" s="31"/>
    </row>
    <row r="58" ht="15.75" customHeight="1">
      <c r="B58" s="31"/>
      <c r="C58" s="31"/>
      <c r="D58" s="31"/>
      <c r="E58" s="31"/>
      <c r="F58" s="31"/>
      <c r="G58" s="31"/>
      <c r="H58" s="31"/>
    </row>
    <row r="59" ht="15.75" customHeight="1">
      <c r="B59" s="31"/>
      <c r="C59" s="31"/>
      <c r="D59" s="31"/>
      <c r="E59" s="31"/>
      <c r="F59" s="31"/>
      <c r="G59" s="31"/>
      <c r="H59" s="31"/>
    </row>
    <row r="60" ht="15.75" customHeight="1">
      <c r="B60" s="31"/>
      <c r="C60" s="31"/>
      <c r="D60" s="31"/>
      <c r="E60" s="31"/>
      <c r="F60" s="31"/>
      <c r="G60" s="31"/>
      <c r="H60" s="31"/>
    </row>
    <row r="61" ht="15.75" customHeight="1">
      <c r="B61" s="31"/>
      <c r="C61" s="31"/>
      <c r="D61" s="31"/>
      <c r="E61" s="31"/>
      <c r="F61" s="31"/>
      <c r="G61" s="31"/>
      <c r="H61" s="31"/>
    </row>
    <row r="62" ht="15.75" customHeight="1">
      <c r="B62" s="31"/>
      <c r="C62" s="31"/>
      <c r="D62" s="31"/>
      <c r="E62" s="31"/>
      <c r="F62" s="31"/>
      <c r="G62" s="31"/>
      <c r="H62" s="31"/>
    </row>
    <row r="63" ht="15.75" customHeight="1">
      <c r="B63" s="31"/>
      <c r="C63" s="31"/>
      <c r="D63" s="31"/>
      <c r="E63" s="31"/>
      <c r="F63" s="31"/>
      <c r="G63" s="31"/>
      <c r="H63" s="31"/>
    </row>
    <row r="64" ht="15.75" customHeight="1">
      <c r="B64" s="31"/>
      <c r="C64" s="31"/>
      <c r="D64" s="31"/>
      <c r="E64" s="31"/>
      <c r="F64" s="31"/>
      <c r="G64" s="31"/>
      <c r="H64" s="31"/>
    </row>
    <row r="65" ht="15.75" customHeight="1">
      <c r="B65" s="31"/>
      <c r="C65" s="31"/>
      <c r="D65" s="31"/>
      <c r="E65" s="31"/>
      <c r="F65" s="31"/>
      <c r="G65" s="31"/>
      <c r="H65" s="31"/>
    </row>
    <row r="66" ht="15.75" customHeight="1">
      <c r="B66" s="31"/>
      <c r="C66" s="31"/>
      <c r="D66" s="31"/>
      <c r="E66" s="31"/>
      <c r="F66" s="31"/>
      <c r="G66" s="31"/>
      <c r="H66" s="31"/>
    </row>
    <row r="67" ht="15.75" customHeight="1">
      <c r="B67" s="31"/>
      <c r="C67" s="31"/>
      <c r="D67" s="31"/>
      <c r="E67" s="31"/>
      <c r="F67" s="31"/>
      <c r="G67" s="31"/>
      <c r="H67" s="31"/>
    </row>
    <row r="68" ht="15.75" customHeight="1">
      <c r="B68" s="31"/>
      <c r="C68" s="31"/>
      <c r="D68" s="31"/>
      <c r="E68" s="31"/>
      <c r="F68" s="31"/>
      <c r="G68" s="31"/>
      <c r="H68" s="31"/>
    </row>
    <row r="69" ht="15.75" customHeight="1">
      <c r="B69" s="31"/>
      <c r="C69" s="31"/>
      <c r="D69" s="31"/>
      <c r="E69" s="31"/>
      <c r="F69" s="31"/>
      <c r="G69" s="31"/>
      <c r="H69" s="31"/>
    </row>
    <row r="70" ht="15.75" customHeight="1">
      <c r="B70" s="31"/>
      <c r="C70" s="31"/>
      <c r="D70" s="31"/>
      <c r="E70" s="31"/>
      <c r="F70" s="31"/>
      <c r="G70" s="31"/>
      <c r="H70" s="31"/>
    </row>
    <row r="71" ht="15.75" customHeight="1">
      <c r="B71" s="31"/>
      <c r="C71" s="31"/>
      <c r="D71" s="31"/>
      <c r="E71" s="31"/>
      <c r="F71" s="31"/>
      <c r="G71" s="31"/>
      <c r="H71" s="31"/>
    </row>
    <row r="72" ht="15.75" customHeight="1">
      <c r="B72" s="31"/>
      <c r="C72" s="31"/>
      <c r="D72" s="31"/>
      <c r="E72" s="31"/>
      <c r="F72" s="31"/>
      <c r="G72" s="31"/>
      <c r="H72" s="31"/>
    </row>
    <row r="73" ht="15.75" customHeight="1">
      <c r="B73" s="31"/>
      <c r="C73" s="31"/>
      <c r="D73" s="31"/>
      <c r="E73" s="31"/>
      <c r="F73" s="31"/>
      <c r="G73" s="31"/>
      <c r="H73" s="31"/>
    </row>
    <row r="74" ht="15.75" customHeight="1">
      <c r="B74" s="31"/>
      <c r="C74" s="31"/>
      <c r="D74" s="31"/>
      <c r="E74" s="31"/>
      <c r="F74" s="31"/>
      <c r="G74" s="31"/>
      <c r="H74" s="31"/>
    </row>
    <row r="75" ht="15.75" customHeight="1">
      <c r="B75" s="31"/>
      <c r="C75" s="31"/>
      <c r="D75" s="31"/>
      <c r="E75" s="31"/>
      <c r="F75" s="31"/>
      <c r="G75" s="31"/>
      <c r="H75" s="31"/>
    </row>
    <row r="76" ht="15.75" customHeight="1">
      <c r="B76" s="31"/>
      <c r="C76" s="31"/>
      <c r="D76" s="31"/>
      <c r="E76" s="31"/>
      <c r="F76" s="31"/>
      <c r="G76" s="31"/>
      <c r="H76" s="31"/>
    </row>
    <row r="77" ht="15.75" customHeight="1">
      <c r="B77" s="31"/>
      <c r="C77" s="31"/>
      <c r="D77" s="31"/>
      <c r="E77" s="31"/>
      <c r="F77" s="31"/>
      <c r="G77" s="31"/>
      <c r="H77" s="31"/>
    </row>
    <row r="78" ht="15.75" customHeight="1">
      <c r="B78" s="31"/>
      <c r="C78" s="31"/>
      <c r="D78" s="31"/>
      <c r="E78" s="31"/>
      <c r="F78" s="31"/>
      <c r="G78" s="31"/>
      <c r="H78" s="31"/>
    </row>
    <row r="79" ht="15.75" customHeight="1">
      <c r="B79" s="31"/>
      <c r="C79" s="31"/>
      <c r="D79" s="31"/>
      <c r="E79" s="31"/>
      <c r="F79" s="31"/>
      <c r="G79" s="31"/>
      <c r="H79" s="31"/>
    </row>
    <row r="80" ht="15.75" customHeight="1">
      <c r="B80" s="31"/>
      <c r="C80" s="31"/>
      <c r="D80" s="31"/>
      <c r="E80" s="31"/>
      <c r="F80" s="31"/>
      <c r="G80" s="31"/>
      <c r="H80" s="31"/>
    </row>
    <row r="81" ht="15.75" customHeight="1">
      <c r="B81" s="31"/>
      <c r="C81" s="31"/>
      <c r="D81" s="31"/>
      <c r="E81" s="31"/>
      <c r="F81" s="31"/>
      <c r="G81" s="31"/>
      <c r="H81" s="31"/>
    </row>
    <row r="82" ht="15.75" customHeight="1">
      <c r="B82" s="31"/>
      <c r="C82" s="31"/>
      <c r="D82" s="31"/>
      <c r="E82" s="31"/>
      <c r="F82" s="31"/>
      <c r="G82" s="31"/>
      <c r="H82" s="31"/>
    </row>
    <row r="83" ht="15.75" customHeight="1">
      <c r="B83" s="31"/>
      <c r="C83" s="31"/>
      <c r="D83" s="31"/>
      <c r="E83" s="31"/>
      <c r="F83" s="31"/>
      <c r="G83" s="31"/>
      <c r="H83" s="31"/>
    </row>
    <row r="84" ht="15.75" customHeight="1">
      <c r="B84" s="31"/>
      <c r="C84" s="31"/>
      <c r="D84" s="31"/>
      <c r="E84" s="31"/>
      <c r="F84" s="31"/>
      <c r="G84" s="31"/>
      <c r="H84" s="31"/>
    </row>
    <row r="85" ht="15.75" customHeight="1">
      <c r="B85" s="31"/>
      <c r="C85" s="31"/>
      <c r="D85" s="31"/>
      <c r="E85" s="31"/>
      <c r="F85" s="31"/>
      <c r="G85" s="31"/>
      <c r="H85" s="31"/>
    </row>
    <row r="86" ht="15.75" customHeight="1">
      <c r="B86" s="31"/>
      <c r="C86" s="31"/>
      <c r="D86" s="31"/>
      <c r="E86" s="31"/>
      <c r="F86" s="31"/>
      <c r="G86" s="31"/>
      <c r="H86" s="31"/>
    </row>
    <row r="87" ht="15.75" customHeight="1">
      <c r="B87" s="31"/>
      <c r="C87" s="31"/>
      <c r="D87" s="31"/>
      <c r="E87" s="31"/>
      <c r="F87" s="31"/>
      <c r="G87" s="31"/>
      <c r="H87" s="31"/>
    </row>
    <row r="88" ht="15.75" customHeight="1">
      <c r="B88" s="31"/>
      <c r="C88" s="31"/>
      <c r="D88" s="31"/>
      <c r="E88" s="31"/>
      <c r="F88" s="31"/>
      <c r="G88" s="31"/>
      <c r="H88" s="31"/>
    </row>
    <row r="89" ht="15.75" customHeight="1">
      <c r="B89" s="31"/>
      <c r="C89" s="31"/>
      <c r="D89" s="31"/>
      <c r="E89" s="31"/>
      <c r="F89" s="31"/>
      <c r="G89" s="31"/>
      <c r="H89" s="31"/>
    </row>
    <row r="90" ht="15.75" customHeight="1">
      <c r="B90" s="31"/>
      <c r="C90" s="31"/>
      <c r="D90" s="31"/>
      <c r="E90" s="31"/>
      <c r="F90" s="31"/>
      <c r="G90" s="31"/>
      <c r="H90" s="31"/>
    </row>
    <row r="91" ht="15.75" customHeight="1">
      <c r="B91" s="31"/>
      <c r="C91" s="31"/>
      <c r="D91" s="31"/>
      <c r="E91" s="31"/>
      <c r="F91" s="31"/>
      <c r="G91" s="31"/>
      <c r="H91" s="31"/>
    </row>
    <row r="92" ht="15.75" customHeight="1">
      <c r="B92" s="31"/>
      <c r="C92" s="31"/>
      <c r="D92" s="31"/>
      <c r="E92" s="31"/>
      <c r="F92" s="31"/>
      <c r="G92" s="31"/>
      <c r="H92" s="31"/>
    </row>
    <row r="93" ht="15.75" customHeight="1">
      <c r="B93" s="31"/>
      <c r="C93" s="31"/>
      <c r="D93" s="31"/>
      <c r="E93" s="31"/>
      <c r="F93" s="31"/>
      <c r="G93" s="31"/>
      <c r="H93" s="31"/>
    </row>
    <row r="94" ht="15.75" customHeight="1">
      <c r="B94" s="31"/>
      <c r="C94" s="31"/>
      <c r="D94" s="31"/>
      <c r="E94" s="31"/>
      <c r="F94" s="31"/>
      <c r="G94" s="31"/>
      <c r="H94" s="31"/>
    </row>
    <row r="95" ht="15.75" customHeight="1">
      <c r="B95" s="31"/>
      <c r="C95" s="31"/>
      <c r="D95" s="31"/>
      <c r="E95" s="31"/>
      <c r="F95" s="31"/>
      <c r="G95" s="31"/>
      <c r="H95" s="31"/>
    </row>
    <row r="96" ht="15.75" customHeight="1">
      <c r="B96" s="31"/>
      <c r="C96" s="31"/>
      <c r="D96" s="31"/>
      <c r="E96" s="31"/>
      <c r="F96" s="31"/>
      <c r="G96" s="31"/>
      <c r="H96" s="31"/>
    </row>
    <row r="97" ht="15.75" customHeight="1">
      <c r="B97" s="31"/>
      <c r="C97" s="31"/>
      <c r="D97" s="31"/>
      <c r="E97" s="31"/>
      <c r="F97" s="31"/>
      <c r="G97" s="31"/>
      <c r="H97" s="31"/>
    </row>
    <row r="98" ht="15.75" customHeight="1">
      <c r="B98" s="31"/>
      <c r="C98" s="31"/>
      <c r="D98" s="31"/>
      <c r="E98" s="31"/>
      <c r="F98" s="31"/>
      <c r="G98" s="31"/>
      <c r="H98" s="31"/>
    </row>
    <row r="99" ht="15.75" customHeight="1">
      <c r="B99" s="31"/>
      <c r="C99" s="31"/>
      <c r="D99" s="31"/>
      <c r="E99" s="31"/>
      <c r="F99" s="31"/>
      <c r="G99" s="31"/>
      <c r="H99" s="31"/>
    </row>
    <row r="100" ht="15.75" customHeight="1">
      <c r="B100" s="31"/>
      <c r="C100" s="31"/>
      <c r="D100" s="31"/>
      <c r="E100" s="31"/>
      <c r="F100" s="31"/>
      <c r="G100" s="31"/>
      <c r="H100" s="31"/>
    </row>
    <row r="101" ht="15.75" customHeight="1">
      <c r="B101" s="31"/>
      <c r="C101" s="31"/>
      <c r="D101" s="31"/>
      <c r="E101" s="31"/>
      <c r="F101" s="31"/>
      <c r="G101" s="31"/>
      <c r="H101" s="31"/>
    </row>
    <row r="102" ht="15.75" customHeight="1">
      <c r="B102" s="31"/>
      <c r="C102" s="31"/>
      <c r="D102" s="31"/>
      <c r="E102" s="31"/>
      <c r="F102" s="31"/>
      <c r="G102" s="31"/>
      <c r="H102" s="31"/>
    </row>
    <row r="103" ht="15.75" customHeight="1">
      <c r="B103" s="31"/>
      <c r="C103" s="31"/>
      <c r="D103" s="31"/>
      <c r="E103" s="31"/>
      <c r="F103" s="31"/>
      <c r="G103" s="31"/>
      <c r="H103" s="31"/>
    </row>
    <row r="104" ht="15.75" customHeight="1">
      <c r="B104" s="31"/>
      <c r="C104" s="31"/>
      <c r="D104" s="31"/>
      <c r="E104" s="31"/>
      <c r="F104" s="31"/>
      <c r="G104" s="31"/>
      <c r="H104" s="31"/>
    </row>
    <row r="105" ht="15.75" customHeight="1">
      <c r="B105" s="31"/>
      <c r="C105" s="31"/>
      <c r="D105" s="31"/>
      <c r="E105" s="31"/>
      <c r="F105" s="31"/>
      <c r="G105" s="31"/>
      <c r="H105" s="31"/>
    </row>
    <row r="106" ht="15.75" customHeight="1">
      <c r="B106" s="31"/>
      <c r="C106" s="31"/>
      <c r="D106" s="31"/>
      <c r="E106" s="31"/>
      <c r="F106" s="31"/>
      <c r="G106" s="31"/>
      <c r="H106" s="31"/>
    </row>
    <row r="107" ht="15.75" customHeight="1">
      <c r="B107" s="31"/>
      <c r="C107" s="31"/>
      <c r="D107" s="31"/>
      <c r="E107" s="31"/>
      <c r="F107" s="31"/>
      <c r="G107" s="31"/>
      <c r="H107" s="31"/>
    </row>
    <row r="108" ht="15.75" customHeight="1">
      <c r="B108" s="31"/>
      <c r="C108" s="31"/>
      <c r="D108" s="31"/>
      <c r="E108" s="31"/>
      <c r="F108" s="31"/>
      <c r="G108" s="31"/>
      <c r="H108" s="31"/>
    </row>
    <row r="109" ht="15.75" customHeight="1">
      <c r="B109" s="31"/>
      <c r="C109" s="31"/>
      <c r="D109" s="31"/>
      <c r="E109" s="31"/>
      <c r="F109" s="31"/>
      <c r="G109" s="31"/>
      <c r="H109" s="31"/>
    </row>
    <row r="110" ht="15.75" customHeight="1">
      <c r="B110" s="31"/>
      <c r="C110" s="31"/>
      <c r="D110" s="31"/>
      <c r="E110" s="31"/>
      <c r="F110" s="31"/>
      <c r="G110" s="31"/>
      <c r="H110" s="31"/>
    </row>
    <row r="111" ht="15.75" customHeight="1">
      <c r="B111" s="31"/>
      <c r="C111" s="31"/>
      <c r="D111" s="31"/>
      <c r="E111" s="31"/>
      <c r="F111" s="31"/>
      <c r="G111" s="31"/>
      <c r="H111" s="31"/>
    </row>
    <row r="112" ht="15.75" customHeight="1">
      <c r="B112" s="31"/>
      <c r="C112" s="31"/>
      <c r="D112" s="31"/>
      <c r="E112" s="31"/>
      <c r="F112" s="31"/>
      <c r="G112" s="31"/>
      <c r="H112" s="31"/>
    </row>
    <row r="113" ht="15.75" customHeight="1">
      <c r="B113" s="31"/>
      <c r="C113" s="31"/>
      <c r="D113" s="31"/>
      <c r="E113" s="31"/>
      <c r="F113" s="31"/>
      <c r="G113" s="31"/>
      <c r="H113" s="31"/>
    </row>
    <row r="114" ht="15.75" customHeight="1">
      <c r="B114" s="31"/>
      <c r="C114" s="31"/>
      <c r="D114" s="31"/>
      <c r="E114" s="31"/>
      <c r="F114" s="31"/>
      <c r="G114" s="31"/>
      <c r="H114" s="31"/>
    </row>
    <row r="115" ht="15.75" customHeight="1">
      <c r="B115" s="31"/>
      <c r="C115" s="31"/>
      <c r="D115" s="31"/>
      <c r="E115" s="31"/>
      <c r="F115" s="31"/>
      <c r="G115" s="31"/>
      <c r="H115" s="31"/>
    </row>
    <row r="116" ht="15.75" customHeight="1">
      <c r="B116" s="31"/>
      <c r="C116" s="31"/>
      <c r="D116" s="31"/>
      <c r="E116" s="31"/>
      <c r="F116" s="31"/>
      <c r="G116" s="31"/>
      <c r="H116" s="31"/>
    </row>
    <row r="117" ht="15.75" customHeight="1">
      <c r="B117" s="31"/>
      <c r="C117" s="31"/>
      <c r="D117" s="31"/>
      <c r="E117" s="31"/>
      <c r="F117" s="31"/>
      <c r="G117" s="31"/>
      <c r="H117" s="31"/>
    </row>
    <row r="118" ht="15.75" customHeight="1">
      <c r="B118" s="31"/>
      <c r="C118" s="31"/>
      <c r="D118" s="31"/>
      <c r="E118" s="31"/>
      <c r="F118" s="31"/>
      <c r="G118" s="31"/>
      <c r="H118" s="31"/>
    </row>
    <row r="119" ht="15.75" customHeight="1">
      <c r="B119" s="31"/>
      <c r="C119" s="31"/>
      <c r="D119" s="31"/>
      <c r="E119" s="31"/>
      <c r="F119" s="31"/>
      <c r="G119" s="31"/>
      <c r="H119" s="31"/>
    </row>
    <row r="120" ht="15.75" customHeight="1">
      <c r="B120" s="31"/>
      <c r="C120" s="31"/>
      <c r="D120" s="31"/>
      <c r="E120" s="31"/>
      <c r="F120" s="31"/>
      <c r="G120" s="31"/>
      <c r="H120" s="31"/>
    </row>
    <row r="121" ht="15.75" customHeight="1">
      <c r="B121" s="31"/>
      <c r="C121" s="31"/>
      <c r="D121" s="31"/>
      <c r="E121" s="31"/>
      <c r="F121" s="31"/>
      <c r="G121" s="31"/>
      <c r="H121" s="31"/>
    </row>
    <row r="122" ht="15.75" customHeight="1">
      <c r="B122" s="31"/>
      <c r="C122" s="31"/>
      <c r="D122" s="31"/>
      <c r="E122" s="31"/>
      <c r="F122" s="31"/>
      <c r="G122" s="31"/>
      <c r="H122" s="31"/>
    </row>
    <row r="123" ht="15.75" customHeight="1">
      <c r="B123" s="31"/>
      <c r="C123" s="31"/>
      <c r="D123" s="31"/>
      <c r="E123" s="31"/>
      <c r="F123" s="31"/>
      <c r="G123" s="31"/>
      <c r="H123" s="31"/>
    </row>
    <row r="124" ht="15.75" customHeight="1">
      <c r="B124" s="31"/>
      <c r="C124" s="31"/>
      <c r="D124" s="31"/>
      <c r="E124" s="31"/>
      <c r="F124" s="31"/>
      <c r="G124" s="31"/>
      <c r="H124" s="31"/>
    </row>
    <row r="125" ht="15.75" customHeight="1">
      <c r="B125" s="31"/>
      <c r="C125" s="31"/>
      <c r="D125" s="31"/>
      <c r="E125" s="31"/>
      <c r="F125" s="31"/>
      <c r="G125" s="31"/>
      <c r="H125" s="31"/>
    </row>
    <row r="126" ht="15.75" customHeight="1">
      <c r="B126" s="31"/>
      <c r="C126" s="31"/>
      <c r="D126" s="31"/>
      <c r="E126" s="31"/>
      <c r="F126" s="31"/>
      <c r="G126" s="31"/>
      <c r="H126" s="31"/>
    </row>
    <row r="127" ht="15.75" customHeight="1">
      <c r="B127" s="31"/>
      <c r="C127" s="31"/>
      <c r="D127" s="31"/>
      <c r="E127" s="31"/>
      <c r="F127" s="31"/>
      <c r="G127" s="31"/>
      <c r="H127" s="31"/>
    </row>
    <row r="128" ht="15.75" customHeight="1">
      <c r="B128" s="31"/>
      <c r="C128" s="31"/>
      <c r="D128" s="31"/>
      <c r="E128" s="31"/>
      <c r="F128" s="31"/>
      <c r="G128" s="31"/>
      <c r="H128" s="31"/>
    </row>
    <row r="129" ht="15.75" customHeight="1">
      <c r="B129" s="31"/>
      <c r="C129" s="31"/>
      <c r="D129" s="31"/>
      <c r="E129" s="31"/>
      <c r="F129" s="31"/>
      <c r="G129" s="31"/>
      <c r="H129" s="31"/>
    </row>
    <row r="130" ht="15.75" customHeight="1">
      <c r="B130" s="31"/>
      <c r="C130" s="31"/>
      <c r="D130" s="31"/>
      <c r="E130" s="31"/>
      <c r="F130" s="31"/>
      <c r="G130" s="31"/>
      <c r="H130" s="31"/>
    </row>
    <row r="131" ht="15.75" customHeight="1">
      <c r="B131" s="31"/>
      <c r="C131" s="31"/>
      <c r="D131" s="31"/>
      <c r="E131" s="31"/>
      <c r="F131" s="31"/>
      <c r="G131" s="31"/>
      <c r="H131" s="31"/>
    </row>
    <row r="132" ht="15.75" customHeight="1">
      <c r="B132" s="31"/>
      <c r="C132" s="31"/>
      <c r="D132" s="31"/>
      <c r="E132" s="31"/>
      <c r="F132" s="31"/>
      <c r="G132" s="31"/>
      <c r="H132" s="31"/>
    </row>
    <row r="133" ht="15.75" customHeight="1">
      <c r="B133" s="31"/>
      <c r="C133" s="31"/>
      <c r="D133" s="31"/>
      <c r="E133" s="31"/>
      <c r="F133" s="31"/>
      <c r="G133" s="31"/>
      <c r="H133" s="31"/>
    </row>
    <row r="134" ht="15.75" customHeight="1">
      <c r="B134" s="31"/>
      <c r="C134" s="31"/>
      <c r="D134" s="31"/>
      <c r="E134" s="31"/>
      <c r="F134" s="31"/>
      <c r="G134" s="31"/>
      <c r="H134" s="31"/>
    </row>
    <row r="135" ht="15.75" customHeight="1">
      <c r="B135" s="31"/>
      <c r="C135" s="31"/>
      <c r="D135" s="31"/>
      <c r="E135" s="31"/>
      <c r="F135" s="31"/>
      <c r="G135" s="31"/>
      <c r="H135" s="31"/>
    </row>
    <row r="136" ht="15.75" customHeight="1">
      <c r="B136" s="31"/>
      <c r="C136" s="31"/>
      <c r="D136" s="31"/>
      <c r="E136" s="31"/>
      <c r="F136" s="31"/>
      <c r="G136" s="31"/>
      <c r="H136" s="31"/>
    </row>
    <row r="137" ht="15.75" customHeight="1">
      <c r="B137" s="31"/>
      <c r="C137" s="31"/>
      <c r="D137" s="31"/>
      <c r="E137" s="31"/>
      <c r="F137" s="31"/>
      <c r="G137" s="31"/>
      <c r="H137" s="31"/>
    </row>
    <row r="138" ht="15.75" customHeight="1">
      <c r="B138" s="31"/>
      <c r="C138" s="31"/>
      <c r="D138" s="31"/>
      <c r="E138" s="31"/>
      <c r="F138" s="31"/>
      <c r="G138" s="31"/>
      <c r="H138" s="31"/>
    </row>
    <row r="139" ht="15.75" customHeight="1">
      <c r="B139" s="31"/>
      <c r="C139" s="31"/>
      <c r="D139" s="31"/>
      <c r="E139" s="31"/>
      <c r="F139" s="31"/>
      <c r="G139" s="31"/>
      <c r="H139" s="31"/>
    </row>
    <row r="140" ht="15.75" customHeight="1">
      <c r="B140" s="31"/>
      <c r="C140" s="31"/>
      <c r="D140" s="31"/>
      <c r="E140" s="31"/>
      <c r="F140" s="31"/>
      <c r="G140" s="31"/>
      <c r="H140" s="31"/>
    </row>
    <row r="141" ht="15.75" customHeight="1">
      <c r="B141" s="31"/>
      <c r="C141" s="31"/>
      <c r="D141" s="31"/>
      <c r="E141" s="31"/>
      <c r="F141" s="31"/>
      <c r="G141" s="31"/>
      <c r="H141" s="31"/>
    </row>
    <row r="142" ht="15.75" customHeight="1">
      <c r="B142" s="31"/>
      <c r="C142" s="31"/>
      <c r="D142" s="31"/>
      <c r="E142" s="31"/>
      <c r="F142" s="31"/>
      <c r="G142" s="31"/>
      <c r="H142" s="31"/>
    </row>
    <row r="143" ht="15.75" customHeight="1">
      <c r="B143" s="31"/>
      <c r="C143" s="31"/>
      <c r="D143" s="31"/>
      <c r="E143" s="31"/>
      <c r="F143" s="31"/>
      <c r="G143" s="31"/>
      <c r="H143" s="31"/>
    </row>
    <row r="144" ht="15.75" customHeight="1">
      <c r="B144" s="31"/>
      <c r="C144" s="31"/>
      <c r="D144" s="31"/>
      <c r="E144" s="31"/>
      <c r="F144" s="31"/>
      <c r="G144" s="31"/>
      <c r="H144" s="31"/>
    </row>
    <row r="145" ht="15.75" customHeight="1">
      <c r="B145" s="31"/>
      <c r="C145" s="31"/>
      <c r="D145" s="31"/>
      <c r="E145" s="31"/>
      <c r="F145" s="31"/>
      <c r="G145" s="31"/>
      <c r="H145" s="31"/>
    </row>
    <row r="146" ht="15.75" customHeight="1">
      <c r="B146" s="31"/>
      <c r="C146" s="31"/>
      <c r="D146" s="31"/>
      <c r="E146" s="31"/>
      <c r="F146" s="31"/>
      <c r="G146" s="31"/>
      <c r="H146" s="31"/>
    </row>
    <row r="147" ht="15.75" customHeight="1">
      <c r="B147" s="31"/>
      <c r="C147" s="31"/>
      <c r="D147" s="31"/>
      <c r="E147" s="31"/>
      <c r="F147" s="31"/>
      <c r="G147" s="31"/>
      <c r="H147" s="31"/>
    </row>
    <row r="148" ht="15.75" customHeight="1">
      <c r="B148" s="31"/>
      <c r="C148" s="31"/>
      <c r="D148" s="31"/>
      <c r="E148" s="31"/>
      <c r="F148" s="31"/>
      <c r="G148" s="31"/>
      <c r="H148" s="31"/>
    </row>
    <row r="149" ht="15.75" customHeight="1">
      <c r="B149" s="31"/>
      <c r="C149" s="31"/>
      <c r="D149" s="31"/>
      <c r="E149" s="31"/>
      <c r="F149" s="31"/>
      <c r="G149" s="31"/>
      <c r="H149" s="31"/>
    </row>
    <row r="150" ht="15.75" customHeight="1">
      <c r="B150" s="31"/>
      <c r="C150" s="31"/>
      <c r="D150" s="31"/>
      <c r="E150" s="31"/>
      <c r="F150" s="31"/>
      <c r="G150" s="31"/>
      <c r="H150" s="31"/>
    </row>
    <row r="151" ht="15.75" customHeight="1">
      <c r="B151" s="31"/>
      <c r="C151" s="31"/>
      <c r="D151" s="31"/>
      <c r="E151" s="31"/>
      <c r="F151" s="31"/>
      <c r="G151" s="31"/>
      <c r="H151" s="31"/>
    </row>
    <row r="152" ht="15.75" customHeight="1">
      <c r="B152" s="31"/>
      <c r="C152" s="31"/>
      <c r="D152" s="31"/>
      <c r="E152" s="31"/>
      <c r="F152" s="31"/>
      <c r="G152" s="31"/>
      <c r="H152" s="31"/>
    </row>
    <row r="153" ht="15.75" customHeight="1">
      <c r="B153" s="31"/>
      <c r="C153" s="31"/>
      <c r="D153" s="31"/>
      <c r="E153" s="31"/>
      <c r="F153" s="31"/>
      <c r="G153" s="31"/>
      <c r="H153" s="31"/>
    </row>
    <row r="154" ht="15.75" customHeight="1">
      <c r="B154" s="31"/>
      <c r="C154" s="31"/>
      <c r="D154" s="31"/>
      <c r="E154" s="31"/>
      <c r="F154" s="31"/>
      <c r="G154" s="31"/>
      <c r="H154" s="31"/>
    </row>
    <row r="155" ht="15.75" customHeight="1">
      <c r="B155" s="31"/>
      <c r="C155" s="31"/>
      <c r="D155" s="31"/>
      <c r="E155" s="31"/>
      <c r="F155" s="31"/>
      <c r="G155" s="31"/>
      <c r="H155" s="31"/>
    </row>
    <row r="156" ht="15.75" customHeight="1">
      <c r="B156" s="31"/>
      <c r="C156" s="31"/>
      <c r="D156" s="31"/>
      <c r="E156" s="31"/>
      <c r="F156" s="31"/>
      <c r="G156" s="31"/>
      <c r="H156" s="31"/>
    </row>
    <row r="157" ht="15.75" customHeight="1">
      <c r="B157" s="31"/>
      <c r="C157" s="31"/>
      <c r="D157" s="31"/>
      <c r="E157" s="31"/>
      <c r="F157" s="31"/>
      <c r="G157" s="31"/>
      <c r="H157" s="31"/>
    </row>
    <row r="158" ht="15.75" customHeight="1">
      <c r="B158" s="31"/>
      <c r="C158" s="31"/>
      <c r="D158" s="31"/>
      <c r="E158" s="31"/>
      <c r="F158" s="31"/>
      <c r="G158" s="31"/>
      <c r="H158" s="31"/>
    </row>
    <row r="159" ht="15.75" customHeight="1">
      <c r="B159" s="31"/>
      <c r="C159" s="31"/>
      <c r="D159" s="31"/>
      <c r="E159" s="31"/>
      <c r="F159" s="31"/>
      <c r="G159" s="31"/>
      <c r="H159" s="31"/>
    </row>
    <row r="160" ht="15.75" customHeight="1">
      <c r="B160" s="31"/>
      <c r="C160" s="31"/>
      <c r="D160" s="31"/>
      <c r="E160" s="31"/>
      <c r="F160" s="31"/>
      <c r="G160" s="31"/>
      <c r="H160" s="31"/>
    </row>
    <row r="161" ht="15.75" customHeight="1">
      <c r="B161" s="31"/>
      <c r="C161" s="31"/>
      <c r="D161" s="31"/>
      <c r="E161" s="31"/>
      <c r="F161" s="31"/>
      <c r="G161" s="31"/>
      <c r="H161" s="31"/>
    </row>
    <row r="162" ht="15.75" customHeight="1">
      <c r="B162" s="31"/>
      <c r="C162" s="31"/>
      <c r="D162" s="31"/>
      <c r="E162" s="31"/>
      <c r="F162" s="31"/>
      <c r="G162" s="31"/>
      <c r="H162" s="31"/>
    </row>
    <row r="163" ht="15.75" customHeight="1">
      <c r="B163" s="31"/>
      <c r="C163" s="31"/>
      <c r="D163" s="31"/>
      <c r="E163" s="31"/>
      <c r="F163" s="31"/>
      <c r="G163" s="31"/>
      <c r="H163" s="31"/>
    </row>
    <row r="164" ht="15.75" customHeight="1">
      <c r="B164" s="31"/>
      <c r="C164" s="31"/>
      <c r="D164" s="31"/>
      <c r="E164" s="31"/>
      <c r="F164" s="31"/>
      <c r="G164" s="31"/>
      <c r="H164" s="31"/>
    </row>
    <row r="165" ht="15.75" customHeight="1">
      <c r="B165" s="31"/>
      <c r="C165" s="31"/>
      <c r="D165" s="31"/>
      <c r="E165" s="31"/>
      <c r="F165" s="31"/>
      <c r="G165" s="31"/>
      <c r="H165" s="31"/>
    </row>
    <row r="166" ht="15.75" customHeight="1">
      <c r="B166" s="31"/>
      <c r="C166" s="31"/>
      <c r="D166" s="31"/>
      <c r="E166" s="31"/>
      <c r="F166" s="31"/>
      <c r="G166" s="31"/>
      <c r="H166" s="31"/>
    </row>
    <row r="167" ht="15.75" customHeight="1">
      <c r="B167" s="31"/>
      <c r="C167" s="31"/>
      <c r="D167" s="31"/>
      <c r="E167" s="31"/>
      <c r="F167" s="31"/>
      <c r="G167" s="31"/>
      <c r="H167" s="31"/>
    </row>
    <row r="168" ht="15.75" customHeight="1">
      <c r="B168" s="31"/>
      <c r="C168" s="31"/>
      <c r="D168" s="31"/>
      <c r="E168" s="31"/>
      <c r="F168" s="31"/>
      <c r="G168" s="31"/>
      <c r="H168" s="31"/>
    </row>
    <row r="169" ht="15.75" customHeight="1">
      <c r="B169" s="31"/>
      <c r="C169" s="31"/>
      <c r="D169" s="31"/>
      <c r="E169" s="31"/>
      <c r="F169" s="31"/>
      <c r="G169" s="31"/>
      <c r="H169" s="31"/>
    </row>
    <row r="170" ht="15.75" customHeight="1">
      <c r="B170" s="31"/>
      <c r="C170" s="31"/>
      <c r="D170" s="31"/>
      <c r="E170" s="31"/>
      <c r="F170" s="31"/>
      <c r="G170" s="31"/>
      <c r="H170" s="31"/>
    </row>
    <row r="171" ht="15.75" customHeight="1">
      <c r="B171" s="31"/>
      <c r="C171" s="31"/>
      <c r="D171" s="31"/>
      <c r="E171" s="31"/>
      <c r="F171" s="31"/>
      <c r="G171" s="31"/>
      <c r="H171" s="31"/>
    </row>
    <row r="172" ht="15.75" customHeight="1">
      <c r="B172" s="31"/>
      <c r="C172" s="31"/>
      <c r="D172" s="31"/>
      <c r="E172" s="31"/>
      <c r="F172" s="31"/>
      <c r="G172" s="31"/>
      <c r="H172" s="31"/>
    </row>
    <row r="173" ht="15.75" customHeight="1">
      <c r="B173" s="31"/>
      <c r="C173" s="31"/>
      <c r="D173" s="31"/>
      <c r="E173" s="31"/>
      <c r="F173" s="31"/>
      <c r="G173" s="31"/>
      <c r="H173" s="31"/>
    </row>
    <row r="174" ht="15.75" customHeight="1">
      <c r="B174" s="31"/>
      <c r="C174" s="31"/>
      <c r="D174" s="31"/>
      <c r="E174" s="31"/>
      <c r="F174" s="31"/>
      <c r="G174" s="31"/>
      <c r="H174" s="31"/>
    </row>
    <row r="175" ht="15.75" customHeight="1">
      <c r="B175" s="31"/>
      <c r="C175" s="31"/>
      <c r="D175" s="31"/>
      <c r="E175" s="31"/>
      <c r="F175" s="31"/>
      <c r="G175" s="31"/>
      <c r="H175" s="31"/>
    </row>
    <row r="176" ht="15.75" customHeight="1">
      <c r="B176" s="31"/>
      <c r="C176" s="31"/>
      <c r="D176" s="31"/>
      <c r="E176" s="31"/>
      <c r="F176" s="31"/>
      <c r="G176" s="31"/>
      <c r="H176" s="31"/>
    </row>
    <row r="177" ht="15.75" customHeight="1">
      <c r="B177" s="31"/>
      <c r="C177" s="31"/>
      <c r="D177" s="31"/>
      <c r="E177" s="31"/>
      <c r="F177" s="31"/>
      <c r="G177" s="31"/>
      <c r="H177" s="31"/>
    </row>
    <row r="178" ht="15.75" customHeight="1">
      <c r="B178" s="31"/>
      <c r="C178" s="31"/>
      <c r="D178" s="31"/>
      <c r="E178" s="31"/>
      <c r="F178" s="31"/>
      <c r="G178" s="31"/>
      <c r="H178" s="31"/>
    </row>
    <row r="179" ht="15.75" customHeight="1">
      <c r="B179" s="31"/>
      <c r="C179" s="31"/>
      <c r="D179" s="31"/>
      <c r="E179" s="31"/>
      <c r="F179" s="31"/>
      <c r="G179" s="31"/>
      <c r="H179" s="31"/>
    </row>
    <row r="180" ht="15.75" customHeight="1">
      <c r="B180" s="31"/>
      <c r="C180" s="31"/>
      <c r="D180" s="31"/>
      <c r="E180" s="31"/>
      <c r="F180" s="31"/>
      <c r="G180" s="31"/>
      <c r="H180" s="31"/>
    </row>
    <row r="181" ht="15.75" customHeight="1">
      <c r="B181" s="31"/>
      <c r="C181" s="31"/>
      <c r="D181" s="31"/>
      <c r="E181" s="31"/>
      <c r="F181" s="31"/>
      <c r="G181" s="31"/>
      <c r="H181" s="31"/>
    </row>
    <row r="182" ht="15.75" customHeight="1">
      <c r="B182" s="31"/>
      <c r="C182" s="31"/>
      <c r="D182" s="31"/>
      <c r="E182" s="31"/>
      <c r="F182" s="31"/>
      <c r="G182" s="31"/>
      <c r="H182" s="31"/>
    </row>
    <row r="183" ht="15.75" customHeight="1">
      <c r="B183" s="31"/>
      <c r="C183" s="31"/>
      <c r="D183" s="31"/>
      <c r="E183" s="31"/>
      <c r="F183" s="31"/>
      <c r="G183" s="31"/>
      <c r="H183" s="31"/>
    </row>
    <row r="184" ht="15.75" customHeight="1">
      <c r="B184" s="31"/>
      <c r="C184" s="31"/>
      <c r="D184" s="31"/>
      <c r="E184" s="31"/>
      <c r="F184" s="31"/>
      <c r="G184" s="31"/>
      <c r="H184" s="31"/>
    </row>
    <row r="185" ht="15.75" customHeight="1">
      <c r="B185" s="31"/>
      <c r="C185" s="31"/>
      <c r="D185" s="31"/>
      <c r="E185" s="31"/>
      <c r="F185" s="31"/>
      <c r="G185" s="31"/>
      <c r="H185" s="31"/>
    </row>
    <row r="186" ht="15.75" customHeight="1">
      <c r="B186" s="31"/>
      <c r="C186" s="31"/>
      <c r="D186" s="31"/>
      <c r="E186" s="31"/>
      <c r="F186" s="31"/>
      <c r="G186" s="31"/>
      <c r="H186" s="31"/>
    </row>
    <row r="187" ht="15.75" customHeight="1">
      <c r="B187" s="31"/>
      <c r="C187" s="31"/>
      <c r="D187" s="31"/>
      <c r="E187" s="31"/>
      <c r="F187" s="31"/>
      <c r="G187" s="31"/>
      <c r="H187" s="31"/>
    </row>
    <row r="188" ht="15.75" customHeight="1">
      <c r="B188" s="31"/>
      <c r="C188" s="31"/>
      <c r="D188" s="31"/>
      <c r="E188" s="31"/>
      <c r="F188" s="31"/>
      <c r="G188" s="31"/>
      <c r="H188" s="31"/>
    </row>
    <row r="189" ht="15.75" customHeight="1">
      <c r="B189" s="31"/>
      <c r="C189" s="31"/>
      <c r="D189" s="31"/>
      <c r="E189" s="31"/>
      <c r="F189" s="31"/>
      <c r="G189" s="31"/>
      <c r="H189" s="31"/>
    </row>
    <row r="190" ht="15.75" customHeight="1">
      <c r="B190" s="31"/>
      <c r="C190" s="31"/>
      <c r="D190" s="31"/>
      <c r="E190" s="31"/>
      <c r="F190" s="31"/>
      <c r="G190" s="31"/>
      <c r="H190" s="31"/>
    </row>
    <row r="191" ht="15.75" customHeight="1">
      <c r="B191" s="31"/>
      <c r="C191" s="31"/>
      <c r="D191" s="31"/>
      <c r="E191" s="31"/>
      <c r="F191" s="31"/>
      <c r="G191" s="31"/>
      <c r="H191" s="31"/>
    </row>
    <row r="192" ht="15.75" customHeight="1">
      <c r="B192" s="31"/>
      <c r="C192" s="31"/>
      <c r="D192" s="31"/>
      <c r="E192" s="31"/>
      <c r="F192" s="31"/>
      <c r="G192" s="31"/>
      <c r="H192" s="31"/>
    </row>
    <row r="193" ht="15.75" customHeight="1">
      <c r="B193" s="31"/>
      <c r="C193" s="31"/>
      <c r="D193" s="31"/>
      <c r="E193" s="31"/>
      <c r="F193" s="31"/>
      <c r="G193" s="31"/>
      <c r="H193" s="31"/>
    </row>
    <row r="194" ht="15.75" customHeight="1">
      <c r="B194" s="31"/>
      <c r="C194" s="31"/>
      <c r="D194" s="31"/>
      <c r="E194" s="31"/>
      <c r="F194" s="31"/>
      <c r="G194" s="31"/>
      <c r="H194" s="31"/>
    </row>
    <row r="195" ht="15.75" customHeight="1">
      <c r="B195" s="31"/>
      <c r="C195" s="31"/>
      <c r="D195" s="31"/>
      <c r="E195" s="31"/>
      <c r="F195" s="31"/>
      <c r="G195" s="31"/>
      <c r="H195" s="31"/>
    </row>
    <row r="196" ht="15.75" customHeight="1">
      <c r="B196" s="31"/>
      <c r="C196" s="31"/>
      <c r="D196" s="31"/>
      <c r="E196" s="31"/>
      <c r="F196" s="31"/>
      <c r="G196" s="31"/>
      <c r="H196" s="31"/>
    </row>
    <row r="197" ht="15.75" customHeight="1">
      <c r="B197" s="31"/>
      <c r="C197" s="31"/>
      <c r="D197" s="31"/>
      <c r="E197" s="31"/>
      <c r="F197" s="31"/>
      <c r="G197" s="31"/>
      <c r="H197" s="31"/>
    </row>
    <row r="198" ht="15.75" customHeight="1">
      <c r="B198" s="31"/>
      <c r="C198" s="31"/>
      <c r="D198" s="31"/>
      <c r="E198" s="31"/>
      <c r="F198" s="31"/>
      <c r="G198" s="31"/>
      <c r="H198" s="31"/>
    </row>
    <row r="199" ht="15.75" customHeight="1">
      <c r="B199" s="31"/>
      <c r="C199" s="31"/>
      <c r="D199" s="31"/>
      <c r="E199" s="31"/>
      <c r="F199" s="31"/>
      <c r="G199" s="31"/>
      <c r="H199" s="31"/>
    </row>
    <row r="200" ht="15.75" customHeight="1">
      <c r="B200" s="31"/>
      <c r="C200" s="31"/>
      <c r="D200" s="31"/>
      <c r="E200" s="31"/>
      <c r="F200" s="31"/>
      <c r="G200" s="31"/>
      <c r="H200" s="31"/>
    </row>
    <row r="201" ht="15.75" customHeight="1">
      <c r="B201" s="31"/>
      <c r="C201" s="31"/>
      <c r="D201" s="31"/>
      <c r="E201" s="31"/>
      <c r="F201" s="31"/>
      <c r="G201" s="31"/>
      <c r="H201" s="31"/>
    </row>
    <row r="202" ht="15.75" customHeight="1">
      <c r="B202" s="31"/>
      <c r="C202" s="31"/>
      <c r="D202" s="31"/>
      <c r="E202" s="31"/>
      <c r="F202" s="31"/>
      <c r="G202" s="31"/>
      <c r="H202" s="31"/>
    </row>
    <row r="203" ht="15.75" customHeight="1">
      <c r="B203" s="31"/>
      <c r="C203" s="31"/>
      <c r="D203" s="31"/>
      <c r="E203" s="31"/>
      <c r="F203" s="31"/>
      <c r="G203" s="31"/>
      <c r="H203" s="31"/>
    </row>
    <row r="204" ht="15.75" customHeight="1">
      <c r="B204" s="31"/>
      <c r="C204" s="31"/>
      <c r="D204" s="31"/>
      <c r="E204" s="31"/>
      <c r="F204" s="31"/>
      <c r="G204" s="31"/>
      <c r="H204" s="31"/>
    </row>
    <row r="205" ht="15.75" customHeight="1">
      <c r="B205" s="31"/>
      <c r="C205" s="31"/>
      <c r="D205" s="31"/>
      <c r="E205" s="31"/>
      <c r="F205" s="31"/>
      <c r="G205" s="31"/>
      <c r="H205" s="31"/>
    </row>
    <row r="206" ht="15.75" customHeight="1">
      <c r="B206" s="31"/>
      <c r="C206" s="31"/>
      <c r="D206" s="31"/>
      <c r="E206" s="31"/>
      <c r="F206" s="31"/>
      <c r="G206" s="31"/>
      <c r="H206" s="31"/>
    </row>
    <row r="207" ht="15.75" customHeight="1">
      <c r="B207" s="31"/>
      <c r="C207" s="31"/>
      <c r="D207" s="31"/>
      <c r="E207" s="31"/>
      <c r="F207" s="31"/>
      <c r="G207" s="31"/>
      <c r="H207" s="31"/>
    </row>
    <row r="208" ht="15.75" customHeight="1">
      <c r="B208" s="31"/>
      <c r="C208" s="31"/>
      <c r="D208" s="31"/>
      <c r="E208" s="31"/>
      <c r="F208" s="31"/>
      <c r="G208" s="31"/>
      <c r="H208" s="31"/>
    </row>
    <row r="209" ht="15.75" customHeight="1">
      <c r="B209" s="31"/>
      <c r="C209" s="31"/>
      <c r="D209" s="31"/>
      <c r="E209" s="31"/>
      <c r="F209" s="31"/>
      <c r="G209" s="31"/>
      <c r="H209" s="31"/>
    </row>
    <row r="210" ht="15.75" customHeight="1">
      <c r="B210" s="31"/>
      <c r="C210" s="31"/>
      <c r="D210" s="31"/>
      <c r="E210" s="31"/>
      <c r="F210" s="31"/>
      <c r="G210" s="31"/>
      <c r="H210" s="31"/>
    </row>
    <row r="211" ht="15.75" customHeight="1">
      <c r="B211" s="31"/>
      <c r="C211" s="31"/>
      <c r="D211" s="31"/>
      <c r="E211" s="31"/>
      <c r="F211" s="31"/>
      <c r="G211" s="31"/>
      <c r="H211" s="31"/>
    </row>
    <row r="212" ht="15.75" customHeight="1">
      <c r="B212" s="31"/>
      <c r="C212" s="31"/>
      <c r="D212" s="31"/>
      <c r="E212" s="31"/>
      <c r="F212" s="31"/>
      <c r="G212" s="31"/>
      <c r="H212" s="31"/>
    </row>
    <row r="213" ht="15.75" customHeight="1">
      <c r="B213" s="31"/>
      <c r="C213" s="31"/>
      <c r="D213" s="31"/>
      <c r="E213" s="31"/>
      <c r="F213" s="31"/>
      <c r="G213" s="31"/>
      <c r="H213" s="31"/>
    </row>
    <row r="214" ht="15.75" customHeight="1">
      <c r="B214" s="31"/>
      <c r="C214" s="31"/>
      <c r="D214" s="31"/>
      <c r="E214" s="31"/>
      <c r="F214" s="31"/>
      <c r="G214" s="31"/>
      <c r="H214" s="31"/>
    </row>
    <row r="215" ht="15.75" customHeight="1">
      <c r="B215" s="31"/>
      <c r="C215" s="31"/>
      <c r="D215" s="31"/>
      <c r="E215" s="31"/>
      <c r="F215" s="31"/>
      <c r="G215" s="31"/>
      <c r="H215" s="31"/>
    </row>
    <row r="216" ht="15.75" customHeight="1">
      <c r="B216" s="31"/>
      <c r="C216" s="31"/>
      <c r="D216" s="31"/>
      <c r="E216" s="31"/>
      <c r="F216" s="31"/>
      <c r="G216" s="31"/>
      <c r="H216" s="31"/>
    </row>
    <row r="217" ht="15.75" customHeight="1">
      <c r="B217" s="31"/>
      <c r="C217" s="31"/>
      <c r="D217" s="31"/>
      <c r="E217" s="31"/>
      <c r="F217" s="31"/>
      <c r="G217" s="31"/>
      <c r="H217" s="31"/>
    </row>
    <row r="218" ht="15.75" customHeight="1">
      <c r="B218" s="31"/>
      <c r="C218" s="31"/>
      <c r="D218" s="31"/>
      <c r="E218" s="31"/>
      <c r="F218" s="31"/>
      <c r="G218" s="31"/>
      <c r="H218" s="31"/>
    </row>
    <row r="219" ht="15.75" customHeight="1">
      <c r="B219" s="31"/>
      <c r="C219" s="31"/>
      <c r="D219" s="31"/>
      <c r="E219" s="31"/>
      <c r="F219" s="31"/>
      <c r="G219" s="31"/>
      <c r="H219" s="31"/>
    </row>
    <row r="220" ht="15.75" customHeight="1">
      <c r="B220" s="31"/>
      <c r="C220" s="31"/>
      <c r="D220" s="31"/>
      <c r="E220" s="31"/>
      <c r="F220" s="31"/>
      <c r="G220" s="31"/>
      <c r="H220" s="31"/>
    </row>
    <row r="221" ht="15.75" customHeight="1">
      <c r="B221" s="31"/>
      <c r="C221" s="31"/>
      <c r="D221" s="31"/>
      <c r="E221" s="31"/>
      <c r="F221" s="31"/>
      <c r="G221" s="31"/>
      <c r="H221" s="31"/>
    </row>
    <row r="222" ht="15.75" customHeight="1">
      <c r="B222" s="31"/>
      <c r="C222" s="31"/>
      <c r="D222" s="31"/>
      <c r="E222" s="31"/>
      <c r="F222" s="31"/>
      <c r="G222" s="31"/>
      <c r="H222" s="31"/>
    </row>
    <row r="223" ht="15.75" customHeight="1">
      <c r="B223" s="31"/>
      <c r="C223" s="31"/>
      <c r="D223" s="31"/>
      <c r="E223" s="31"/>
      <c r="F223" s="31"/>
      <c r="G223" s="31"/>
      <c r="H223" s="31"/>
    </row>
    <row r="224" ht="15.75" customHeight="1">
      <c r="B224" s="31"/>
      <c r="C224" s="31"/>
      <c r="D224" s="31"/>
      <c r="E224" s="31"/>
      <c r="F224" s="31"/>
      <c r="G224" s="31"/>
      <c r="H224" s="31"/>
    </row>
    <row r="225" ht="15.75" customHeight="1">
      <c r="B225" s="31"/>
      <c r="C225" s="31"/>
      <c r="D225" s="31"/>
      <c r="E225" s="31"/>
      <c r="F225" s="31"/>
      <c r="G225" s="31"/>
      <c r="H225" s="31"/>
    </row>
    <row r="226" ht="15.75" customHeight="1">
      <c r="B226" s="31"/>
      <c r="C226" s="31"/>
      <c r="D226" s="31"/>
      <c r="E226" s="31"/>
      <c r="F226" s="31"/>
      <c r="G226" s="31"/>
      <c r="H226" s="31"/>
    </row>
    <row r="227" ht="15.75" customHeight="1">
      <c r="B227" s="31"/>
      <c r="C227" s="31"/>
      <c r="D227" s="31"/>
      <c r="E227" s="31"/>
      <c r="F227" s="31"/>
      <c r="G227" s="31"/>
      <c r="H227" s="31"/>
    </row>
    <row r="228" ht="15.75" customHeight="1">
      <c r="B228" s="31"/>
      <c r="C228" s="31"/>
      <c r="D228" s="31"/>
      <c r="E228" s="31"/>
      <c r="F228" s="31"/>
      <c r="G228" s="31"/>
      <c r="H228" s="31"/>
    </row>
    <row r="229" ht="15.75" customHeight="1">
      <c r="B229" s="31"/>
      <c r="C229" s="31"/>
      <c r="D229" s="31"/>
      <c r="E229" s="31"/>
      <c r="F229" s="31"/>
      <c r="G229" s="31"/>
      <c r="H229" s="31"/>
    </row>
    <row r="230" ht="15.75" customHeight="1">
      <c r="B230" s="31"/>
      <c r="C230" s="31"/>
      <c r="D230" s="31"/>
      <c r="E230" s="31"/>
      <c r="F230" s="31"/>
      <c r="G230" s="31"/>
      <c r="H230" s="31"/>
    </row>
    <row r="231" ht="15.75" customHeight="1">
      <c r="B231" s="31"/>
      <c r="C231" s="31"/>
      <c r="D231" s="31"/>
      <c r="E231" s="31"/>
      <c r="F231" s="31"/>
      <c r="G231" s="31"/>
      <c r="H231" s="31"/>
    </row>
    <row r="232" ht="15.75" customHeight="1">
      <c r="B232" s="31"/>
      <c r="C232" s="31"/>
      <c r="D232" s="31"/>
      <c r="E232" s="31"/>
      <c r="F232" s="31"/>
      <c r="G232" s="31"/>
      <c r="H232" s="31"/>
    </row>
    <row r="233" ht="15.75" customHeight="1">
      <c r="B233" s="31"/>
      <c r="C233" s="31"/>
      <c r="D233" s="31"/>
      <c r="E233" s="31"/>
      <c r="F233" s="31"/>
      <c r="G233" s="31"/>
      <c r="H233" s="31"/>
    </row>
    <row r="234" ht="15.75" customHeight="1">
      <c r="B234" s="31"/>
      <c r="C234" s="31"/>
      <c r="D234" s="31"/>
      <c r="E234" s="31"/>
      <c r="F234" s="31"/>
      <c r="G234" s="31"/>
      <c r="H234" s="31"/>
    </row>
    <row r="235" ht="15.75" customHeight="1">
      <c r="B235" s="31"/>
      <c r="C235" s="31"/>
      <c r="D235" s="31"/>
      <c r="E235" s="31"/>
      <c r="F235" s="31"/>
      <c r="G235" s="31"/>
      <c r="H235" s="31"/>
    </row>
    <row r="236" ht="15.75" customHeight="1">
      <c r="B236" s="31"/>
      <c r="C236" s="31"/>
      <c r="D236" s="31"/>
      <c r="E236" s="31"/>
      <c r="F236" s="31"/>
      <c r="G236" s="31"/>
      <c r="H236" s="31"/>
    </row>
    <row r="237" ht="15.75" customHeight="1">
      <c r="B237" s="31"/>
      <c r="C237" s="31"/>
      <c r="D237" s="31"/>
      <c r="E237" s="31"/>
      <c r="F237" s="31"/>
      <c r="G237" s="31"/>
      <c r="H237" s="31"/>
    </row>
    <row r="238" ht="15.75" customHeight="1">
      <c r="B238" s="31"/>
      <c r="C238" s="31"/>
      <c r="D238" s="31"/>
      <c r="E238" s="31"/>
      <c r="F238" s="31"/>
      <c r="G238" s="31"/>
      <c r="H238" s="31"/>
    </row>
    <row r="239" ht="15.75" customHeight="1">
      <c r="B239" s="31"/>
      <c r="C239" s="31"/>
      <c r="D239" s="31"/>
      <c r="E239" s="31"/>
      <c r="F239" s="31"/>
      <c r="G239" s="31"/>
      <c r="H239" s="31"/>
    </row>
    <row r="240" ht="15.75" customHeight="1">
      <c r="B240" s="31"/>
      <c r="C240" s="31"/>
      <c r="D240" s="31"/>
      <c r="E240" s="31"/>
      <c r="F240" s="31"/>
      <c r="G240" s="31"/>
      <c r="H240" s="31"/>
    </row>
    <row r="241" ht="15.75" customHeight="1">
      <c r="B241" s="31"/>
      <c r="C241" s="31"/>
      <c r="D241" s="31"/>
      <c r="E241" s="31"/>
      <c r="F241" s="31"/>
      <c r="G241" s="31"/>
      <c r="H241" s="31"/>
    </row>
    <row r="242" ht="15.75" customHeight="1">
      <c r="B242" s="31"/>
      <c r="C242" s="31"/>
      <c r="D242" s="31"/>
      <c r="E242" s="31"/>
      <c r="F242" s="31"/>
      <c r="G242" s="31"/>
      <c r="H242" s="31"/>
    </row>
    <row r="243" ht="15.75" customHeight="1">
      <c r="B243" s="31"/>
      <c r="C243" s="31"/>
      <c r="D243" s="31"/>
      <c r="E243" s="31"/>
      <c r="F243" s="31"/>
      <c r="G243" s="31"/>
      <c r="H243" s="31"/>
    </row>
    <row r="244" ht="15.75" customHeight="1">
      <c r="B244" s="31"/>
      <c r="C244" s="31"/>
      <c r="D244" s="31"/>
      <c r="E244" s="31"/>
      <c r="F244" s="31"/>
      <c r="G244" s="31"/>
      <c r="H244" s="31"/>
    </row>
    <row r="245" ht="15.75" customHeight="1">
      <c r="B245" s="31"/>
      <c r="C245" s="31"/>
      <c r="D245" s="31"/>
      <c r="E245" s="31"/>
      <c r="F245" s="31"/>
      <c r="G245" s="31"/>
      <c r="H245" s="31"/>
    </row>
    <row r="246" ht="15.75" customHeight="1">
      <c r="B246" s="31"/>
      <c r="C246" s="31"/>
      <c r="D246" s="31"/>
      <c r="E246" s="31"/>
      <c r="F246" s="31"/>
      <c r="G246" s="31"/>
      <c r="H246" s="31"/>
    </row>
    <row r="247" ht="15.75" customHeight="1">
      <c r="B247" s="31"/>
      <c r="C247" s="31"/>
      <c r="D247" s="31"/>
      <c r="E247" s="31"/>
      <c r="F247" s="31"/>
      <c r="G247" s="31"/>
      <c r="H247" s="31"/>
    </row>
    <row r="248" ht="15.75" customHeight="1">
      <c r="B248" s="31"/>
      <c r="C248" s="31"/>
      <c r="D248" s="31"/>
      <c r="E248" s="31"/>
      <c r="F248" s="31"/>
      <c r="G248" s="31"/>
      <c r="H248" s="31"/>
    </row>
    <row r="249" ht="15.75" customHeight="1">
      <c r="B249" s="31"/>
      <c r="C249" s="31"/>
      <c r="D249" s="31"/>
      <c r="E249" s="31"/>
      <c r="F249" s="31"/>
      <c r="G249" s="31"/>
      <c r="H249" s="31"/>
    </row>
    <row r="250" ht="15.75" customHeight="1">
      <c r="B250" s="31"/>
      <c r="C250" s="31"/>
      <c r="D250" s="31"/>
      <c r="E250" s="31"/>
      <c r="F250" s="31"/>
      <c r="G250" s="31"/>
      <c r="H250" s="31"/>
    </row>
    <row r="251" ht="15.75" customHeight="1">
      <c r="B251" s="31"/>
      <c r="C251" s="31"/>
      <c r="D251" s="31"/>
      <c r="E251" s="31"/>
      <c r="F251" s="31"/>
      <c r="G251" s="31"/>
      <c r="H251" s="31"/>
    </row>
    <row r="252" ht="15.75" customHeight="1">
      <c r="B252" s="31"/>
      <c r="C252" s="31"/>
      <c r="D252" s="31"/>
      <c r="E252" s="31"/>
      <c r="F252" s="31"/>
      <c r="G252" s="31"/>
      <c r="H252" s="31"/>
    </row>
    <row r="253" ht="15.75" customHeight="1">
      <c r="B253" s="31"/>
      <c r="C253" s="31"/>
      <c r="D253" s="31"/>
      <c r="E253" s="31"/>
      <c r="F253" s="31"/>
      <c r="G253" s="31"/>
      <c r="H253" s="31"/>
    </row>
    <row r="254" ht="15.75" customHeight="1">
      <c r="B254" s="31"/>
      <c r="C254" s="31"/>
      <c r="D254" s="31"/>
      <c r="E254" s="31"/>
      <c r="F254" s="31"/>
      <c r="G254" s="31"/>
      <c r="H254" s="31"/>
    </row>
    <row r="255" ht="15.75" customHeight="1">
      <c r="B255" s="31"/>
      <c r="C255" s="31"/>
      <c r="D255" s="31"/>
      <c r="E255" s="31"/>
      <c r="F255" s="31"/>
      <c r="G255" s="31"/>
      <c r="H255" s="31"/>
    </row>
    <row r="256" ht="15.75" customHeight="1">
      <c r="B256" s="31"/>
      <c r="C256" s="31"/>
      <c r="D256" s="31"/>
      <c r="E256" s="31"/>
      <c r="F256" s="31"/>
      <c r="G256" s="31"/>
      <c r="H256" s="31"/>
    </row>
    <row r="257" ht="15.75" customHeight="1">
      <c r="B257" s="31"/>
      <c r="C257" s="31"/>
      <c r="D257" s="31"/>
      <c r="E257" s="31"/>
      <c r="F257" s="31"/>
      <c r="G257" s="31"/>
      <c r="H257" s="31"/>
    </row>
    <row r="258" ht="15.75" customHeight="1">
      <c r="B258" s="31"/>
      <c r="C258" s="31"/>
      <c r="D258" s="31"/>
      <c r="E258" s="31"/>
      <c r="F258" s="31"/>
      <c r="G258" s="31"/>
      <c r="H258" s="31"/>
    </row>
    <row r="259" ht="15.75" customHeight="1">
      <c r="B259" s="31"/>
      <c r="C259" s="31"/>
      <c r="D259" s="31"/>
      <c r="E259" s="31"/>
      <c r="F259" s="31"/>
      <c r="G259" s="31"/>
      <c r="H259" s="31"/>
    </row>
    <row r="260" ht="15.75" customHeight="1">
      <c r="B260" s="31"/>
      <c r="C260" s="31"/>
      <c r="D260" s="31"/>
      <c r="E260" s="31"/>
      <c r="F260" s="31"/>
      <c r="G260" s="31"/>
      <c r="H260" s="31"/>
    </row>
    <row r="261" ht="15.75" customHeight="1">
      <c r="B261" s="31"/>
      <c r="C261" s="31"/>
      <c r="D261" s="31"/>
      <c r="E261" s="31"/>
      <c r="F261" s="31"/>
      <c r="G261" s="31"/>
      <c r="H261" s="31"/>
    </row>
    <row r="262" ht="15.75" customHeight="1">
      <c r="B262" s="31"/>
      <c r="C262" s="31"/>
      <c r="D262" s="31"/>
      <c r="E262" s="31"/>
      <c r="F262" s="31"/>
      <c r="G262" s="31"/>
      <c r="H262" s="31"/>
    </row>
    <row r="263" ht="15.75" customHeight="1">
      <c r="B263" s="31"/>
      <c r="C263" s="31"/>
      <c r="D263" s="31"/>
      <c r="E263" s="31"/>
      <c r="F263" s="31"/>
      <c r="G263" s="31"/>
      <c r="H263" s="31"/>
    </row>
    <row r="264" ht="15.75" customHeight="1">
      <c r="B264" s="31"/>
      <c r="C264" s="31"/>
      <c r="D264" s="31"/>
      <c r="E264" s="31"/>
      <c r="F264" s="31"/>
      <c r="G264" s="31"/>
      <c r="H264" s="31"/>
    </row>
    <row r="265" ht="15.75" customHeight="1">
      <c r="B265" s="31"/>
      <c r="C265" s="31"/>
      <c r="D265" s="31"/>
      <c r="E265" s="31"/>
      <c r="F265" s="31"/>
      <c r="G265" s="31"/>
      <c r="H265" s="31"/>
    </row>
    <row r="266" ht="15.75" customHeight="1">
      <c r="B266" s="31"/>
      <c r="C266" s="31"/>
      <c r="D266" s="31"/>
      <c r="E266" s="31"/>
      <c r="F266" s="31"/>
      <c r="G266" s="31"/>
      <c r="H266" s="31"/>
    </row>
    <row r="267" ht="15.75" customHeight="1">
      <c r="B267" s="31"/>
      <c r="C267" s="31"/>
      <c r="D267" s="31"/>
      <c r="E267" s="31"/>
      <c r="F267" s="31"/>
      <c r="G267" s="31"/>
      <c r="H267" s="31"/>
    </row>
    <row r="268" ht="15.75" customHeight="1">
      <c r="B268" s="31"/>
      <c r="C268" s="31"/>
      <c r="D268" s="31"/>
      <c r="E268" s="31"/>
      <c r="F268" s="31"/>
      <c r="G268" s="31"/>
      <c r="H268" s="31"/>
    </row>
    <row r="269" ht="15.75" customHeight="1">
      <c r="B269" s="31"/>
      <c r="C269" s="31"/>
      <c r="D269" s="31"/>
      <c r="E269" s="31"/>
      <c r="F269" s="31"/>
      <c r="G269" s="31"/>
      <c r="H269" s="31"/>
    </row>
    <row r="270" ht="15.75" customHeight="1">
      <c r="B270" s="31"/>
      <c r="C270" s="31"/>
      <c r="D270" s="31"/>
      <c r="E270" s="31"/>
      <c r="F270" s="31"/>
      <c r="G270" s="31"/>
      <c r="H270" s="31"/>
    </row>
    <row r="271" ht="15.75" customHeight="1">
      <c r="B271" s="31"/>
      <c r="C271" s="31"/>
      <c r="D271" s="31"/>
      <c r="E271" s="31"/>
      <c r="F271" s="31"/>
      <c r="G271" s="31"/>
      <c r="H271" s="31"/>
    </row>
    <row r="272" ht="15.75" customHeight="1">
      <c r="B272" s="31"/>
      <c r="C272" s="31"/>
      <c r="D272" s="31"/>
      <c r="E272" s="31"/>
      <c r="F272" s="31"/>
      <c r="G272" s="31"/>
      <c r="H272" s="31"/>
    </row>
    <row r="273" ht="15.75" customHeight="1">
      <c r="B273" s="31"/>
      <c r="C273" s="31"/>
      <c r="D273" s="31"/>
      <c r="E273" s="31"/>
      <c r="F273" s="31"/>
      <c r="G273" s="31"/>
      <c r="H273" s="31"/>
    </row>
    <row r="274" ht="15.75" customHeight="1">
      <c r="B274" s="31"/>
      <c r="C274" s="31"/>
      <c r="D274" s="31"/>
      <c r="E274" s="31"/>
      <c r="F274" s="31"/>
      <c r="G274" s="31"/>
      <c r="H274" s="31"/>
    </row>
    <row r="275" ht="15.75" customHeight="1">
      <c r="B275" s="31"/>
      <c r="C275" s="31"/>
      <c r="D275" s="31"/>
      <c r="E275" s="31"/>
      <c r="F275" s="31"/>
      <c r="G275" s="31"/>
      <c r="H275" s="31"/>
    </row>
    <row r="276" ht="15.75" customHeight="1">
      <c r="B276" s="31"/>
      <c r="C276" s="31"/>
      <c r="D276" s="31"/>
      <c r="E276" s="31"/>
      <c r="F276" s="31"/>
      <c r="G276" s="31"/>
      <c r="H276" s="31"/>
    </row>
    <row r="277" ht="15.75" customHeight="1">
      <c r="B277" s="31"/>
      <c r="C277" s="31"/>
      <c r="D277" s="31"/>
      <c r="E277" s="31"/>
      <c r="F277" s="31"/>
      <c r="G277" s="31"/>
      <c r="H277" s="31"/>
    </row>
    <row r="278" ht="15.75" customHeight="1">
      <c r="B278" s="31"/>
      <c r="C278" s="31"/>
      <c r="D278" s="31"/>
      <c r="E278" s="31"/>
      <c r="F278" s="31"/>
      <c r="G278" s="31"/>
      <c r="H278" s="31"/>
    </row>
    <row r="279" ht="15.75" customHeight="1">
      <c r="B279" s="31"/>
      <c r="C279" s="31"/>
      <c r="D279" s="31"/>
      <c r="E279" s="31"/>
      <c r="F279" s="31"/>
      <c r="G279" s="31"/>
      <c r="H279" s="31"/>
    </row>
    <row r="280" ht="15.75" customHeight="1">
      <c r="B280" s="31"/>
      <c r="C280" s="31"/>
      <c r="D280" s="31"/>
      <c r="E280" s="31"/>
      <c r="F280" s="31"/>
      <c r="G280" s="31"/>
      <c r="H280" s="31"/>
    </row>
    <row r="281" ht="15.75" customHeight="1">
      <c r="B281" s="31"/>
      <c r="C281" s="31"/>
      <c r="D281" s="31"/>
      <c r="E281" s="31"/>
      <c r="F281" s="31"/>
      <c r="G281" s="31"/>
      <c r="H281" s="31"/>
    </row>
    <row r="282" ht="15.75" customHeight="1">
      <c r="B282" s="31"/>
      <c r="C282" s="31"/>
      <c r="D282" s="31"/>
      <c r="E282" s="31"/>
      <c r="F282" s="31"/>
      <c r="G282" s="31"/>
      <c r="H282" s="31"/>
    </row>
    <row r="283" ht="15.75" customHeight="1">
      <c r="B283" s="31"/>
      <c r="C283" s="31"/>
      <c r="D283" s="31"/>
      <c r="E283" s="31"/>
      <c r="F283" s="31"/>
      <c r="G283" s="31"/>
      <c r="H283" s="31"/>
    </row>
    <row r="284" ht="15.75" customHeight="1">
      <c r="B284" s="31"/>
      <c r="C284" s="31"/>
      <c r="D284" s="31"/>
      <c r="E284" s="31"/>
      <c r="F284" s="31"/>
      <c r="G284" s="31"/>
      <c r="H284" s="31"/>
    </row>
    <row r="285" ht="15.75" customHeight="1">
      <c r="B285" s="31"/>
      <c r="C285" s="31"/>
      <c r="D285" s="31"/>
      <c r="E285" s="31"/>
      <c r="F285" s="31"/>
      <c r="G285" s="31"/>
      <c r="H285" s="31"/>
    </row>
    <row r="286" ht="15.75" customHeight="1">
      <c r="B286" s="31"/>
      <c r="C286" s="31"/>
      <c r="D286" s="31"/>
      <c r="E286" s="31"/>
      <c r="F286" s="31"/>
      <c r="G286" s="31"/>
      <c r="H286" s="31"/>
    </row>
    <row r="287" ht="15.75" customHeight="1">
      <c r="B287" s="31"/>
      <c r="C287" s="31"/>
      <c r="D287" s="31"/>
      <c r="E287" s="31"/>
      <c r="F287" s="31"/>
      <c r="G287" s="31"/>
      <c r="H287" s="31"/>
    </row>
    <row r="288" ht="15.75" customHeight="1">
      <c r="B288" s="31"/>
      <c r="C288" s="31"/>
      <c r="D288" s="31"/>
      <c r="E288" s="31"/>
      <c r="F288" s="31"/>
      <c r="G288" s="31"/>
      <c r="H288" s="31"/>
    </row>
    <row r="289" ht="15.75" customHeight="1">
      <c r="B289" s="31"/>
      <c r="C289" s="31"/>
      <c r="D289" s="31"/>
      <c r="E289" s="31"/>
      <c r="F289" s="31"/>
      <c r="G289" s="31"/>
      <c r="H289" s="31"/>
    </row>
    <row r="290" ht="15.75" customHeight="1">
      <c r="B290" s="31"/>
      <c r="C290" s="31"/>
      <c r="D290" s="31"/>
      <c r="E290" s="31"/>
      <c r="F290" s="31"/>
      <c r="G290" s="31"/>
      <c r="H290" s="31"/>
    </row>
    <row r="291" ht="15.75" customHeight="1">
      <c r="B291" s="31"/>
      <c r="C291" s="31"/>
      <c r="D291" s="31"/>
      <c r="E291" s="31"/>
      <c r="F291" s="31"/>
      <c r="G291" s="31"/>
      <c r="H291" s="31"/>
    </row>
    <row r="292" ht="15.75" customHeight="1">
      <c r="B292" s="31"/>
      <c r="C292" s="31"/>
      <c r="D292" s="31"/>
      <c r="E292" s="31"/>
      <c r="F292" s="31"/>
      <c r="G292" s="31"/>
      <c r="H292" s="31"/>
    </row>
    <row r="293" ht="15.75" customHeight="1">
      <c r="B293" s="31"/>
      <c r="C293" s="31"/>
      <c r="D293" s="31"/>
      <c r="E293" s="31"/>
      <c r="F293" s="31"/>
      <c r="G293" s="31"/>
      <c r="H293" s="31"/>
    </row>
    <row r="294" ht="15.75" customHeight="1">
      <c r="B294" s="31"/>
      <c r="C294" s="31"/>
      <c r="D294" s="31"/>
      <c r="E294" s="31"/>
      <c r="F294" s="31"/>
      <c r="G294" s="31"/>
      <c r="H294" s="31"/>
    </row>
    <row r="295" ht="15.75" customHeight="1">
      <c r="B295" s="31"/>
      <c r="C295" s="31"/>
      <c r="D295" s="31"/>
      <c r="E295" s="31"/>
      <c r="F295" s="31"/>
      <c r="G295" s="31"/>
      <c r="H295" s="31"/>
    </row>
    <row r="296" ht="15.75" customHeight="1">
      <c r="B296" s="31"/>
      <c r="C296" s="31"/>
      <c r="D296" s="31"/>
      <c r="E296" s="31"/>
      <c r="F296" s="31"/>
      <c r="G296" s="31"/>
      <c r="H296" s="31"/>
    </row>
    <row r="297" ht="15.75" customHeight="1">
      <c r="B297" s="31"/>
      <c r="C297" s="31"/>
      <c r="D297" s="31"/>
      <c r="E297" s="31"/>
      <c r="F297" s="31"/>
      <c r="G297" s="31"/>
      <c r="H297" s="31"/>
    </row>
    <row r="298" ht="15.75" customHeight="1">
      <c r="B298" s="31"/>
      <c r="C298" s="31"/>
      <c r="D298" s="31"/>
      <c r="E298" s="31"/>
      <c r="F298" s="31"/>
      <c r="G298" s="31"/>
      <c r="H298" s="31"/>
    </row>
    <row r="299" ht="15.75" customHeight="1">
      <c r="B299" s="31"/>
      <c r="C299" s="31"/>
      <c r="D299" s="31"/>
      <c r="E299" s="31"/>
      <c r="F299" s="31"/>
      <c r="G299" s="31"/>
      <c r="H299" s="31"/>
    </row>
    <row r="300" ht="15.75" customHeight="1">
      <c r="B300" s="31"/>
      <c r="C300" s="31"/>
      <c r="D300" s="31"/>
      <c r="E300" s="31"/>
      <c r="F300" s="31"/>
      <c r="G300" s="31"/>
      <c r="H300" s="31"/>
    </row>
    <row r="301" ht="15.75" customHeight="1">
      <c r="B301" s="31"/>
      <c r="C301" s="31"/>
      <c r="D301" s="31"/>
      <c r="E301" s="31"/>
      <c r="F301" s="31"/>
      <c r="G301" s="31"/>
      <c r="H301" s="31"/>
    </row>
    <row r="302" ht="15.75" customHeight="1">
      <c r="B302" s="31"/>
      <c r="C302" s="31"/>
      <c r="D302" s="31"/>
      <c r="E302" s="31"/>
      <c r="F302" s="31"/>
      <c r="G302" s="31"/>
      <c r="H302" s="31"/>
    </row>
    <row r="303" ht="15.75" customHeight="1">
      <c r="B303" s="31"/>
      <c r="C303" s="31"/>
      <c r="D303" s="31"/>
      <c r="E303" s="31"/>
      <c r="F303" s="31"/>
      <c r="G303" s="31"/>
      <c r="H303" s="31"/>
    </row>
    <row r="304" ht="15.75" customHeight="1">
      <c r="B304" s="31"/>
      <c r="C304" s="31"/>
      <c r="D304" s="31"/>
      <c r="E304" s="31"/>
      <c r="F304" s="31"/>
      <c r="G304" s="31"/>
      <c r="H304" s="31"/>
    </row>
    <row r="305" ht="15.75" customHeight="1">
      <c r="B305" s="31"/>
      <c r="C305" s="31"/>
      <c r="D305" s="31"/>
      <c r="E305" s="31"/>
      <c r="F305" s="31"/>
      <c r="G305" s="31"/>
      <c r="H305" s="31"/>
    </row>
    <row r="306" ht="15.75" customHeight="1">
      <c r="B306" s="31"/>
      <c r="C306" s="31"/>
      <c r="D306" s="31"/>
      <c r="E306" s="31"/>
      <c r="F306" s="31"/>
      <c r="G306" s="31"/>
      <c r="H306" s="31"/>
    </row>
    <row r="307" ht="15.75" customHeight="1">
      <c r="B307" s="31"/>
      <c r="C307" s="31"/>
      <c r="D307" s="31"/>
      <c r="E307" s="31"/>
      <c r="F307" s="31"/>
      <c r="G307" s="31"/>
      <c r="H307" s="31"/>
    </row>
    <row r="308" ht="15.75" customHeight="1">
      <c r="B308" s="31"/>
      <c r="C308" s="31"/>
      <c r="D308" s="31"/>
      <c r="E308" s="31"/>
      <c r="F308" s="31"/>
      <c r="G308" s="31"/>
      <c r="H308" s="31"/>
    </row>
    <row r="309" ht="15.75" customHeight="1">
      <c r="B309" s="31"/>
      <c r="C309" s="31"/>
      <c r="D309" s="31"/>
      <c r="E309" s="31"/>
      <c r="F309" s="31"/>
      <c r="G309" s="31"/>
      <c r="H309" s="31"/>
    </row>
    <row r="310" ht="15.75" customHeight="1">
      <c r="B310" s="31"/>
      <c r="C310" s="31"/>
      <c r="D310" s="31"/>
      <c r="E310" s="31"/>
      <c r="F310" s="31"/>
      <c r="G310" s="31"/>
      <c r="H310" s="31"/>
    </row>
    <row r="311" ht="15.75" customHeight="1">
      <c r="B311" s="31"/>
      <c r="C311" s="31"/>
      <c r="D311" s="31"/>
      <c r="E311" s="31"/>
      <c r="F311" s="31"/>
      <c r="G311" s="31"/>
      <c r="H311" s="31"/>
    </row>
    <row r="312" ht="15.75" customHeight="1">
      <c r="B312" s="31"/>
      <c r="C312" s="31"/>
      <c r="D312" s="31"/>
      <c r="E312" s="31"/>
      <c r="F312" s="31"/>
      <c r="G312" s="31"/>
      <c r="H312" s="31"/>
    </row>
    <row r="313" ht="15.75" customHeight="1">
      <c r="B313" s="31"/>
      <c r="C313" s="31"/>
      <c r="D313" s="31"/>
      <c r="E313" s="31"/>
      <c r="F313" s="31"/>
      <c r="G313" s="31"/>
      <c r="H313" s="31"/>
    </row>
    <row r="314" ht="15.75" customHeight="1">
      <c r="B314" s="31"/>
      <c r="C314" s="31"/>
      <c r="D314" s="31"/>
      <c r="E314" s="31"/>
      <c r="F314" s="31"/>
      <c r="G314" s="31"/>
      <c r="H314" s="31"/>
    </row>
    <row r="315" ht="15.75" customHeight="1">
      <c r="B315" s="31"/>
      <c r="C315" s="31"/>
      <c r="D315" s="31"/>
      <c r="E315" s="31"/>
      <c r="F315" s="31"/>
      <c r="G315" s="31"/>
      <c r="H315" s="31"/>
    </row>
    <row r="316" ht="15.75" customHeight="1">
      <c r="B316" s="31"/>
      <c r="C316" s="31"/>
      <c r="D316" s="31"/>
      <c r="E316" s="31"/>
      <c r="F316" s="31"/>
      <c r="G316" s="31"/>
      <c r="H316" s="31"/>
    </row>
    <row r="317" ht="15.75" customHeight="1">
      <c r="B317" s="31"/>
      <c r="C317" s="31"/>
      <c r="D317" s="31"/>
      <c r="E317" s="31"/>
      <c r="F317" s="31"/>
      <c r="G317" s="31"/>
      <c r="H317" s="31"/>
    </row>
    <row r="318" ht="15.75" customHeight="1">
      <c r="B318" s="31"/>
      <c r="C318" s="31"/>
      <c r="D318" s="31"/>
      <c r="E318" s="31"/>
      <c r="F318" s="31"/>
      <c r="G318" s="31"/>
      <c r="H318" s="31"/>
    </row>
    <row r="319" ht="15.75" customHeight="1">
      <c r="B319" s="31"/>
      <c r="C319" s="31"/>
      <c r="D319" s="31"/>
      <c r="E319" s="31"/>
      <c r="F319" s="31"/>
      <c r="G319" s="31"/>
      <c r="H319" s="31"/>
    </row>
    <row r="320" ht="15.75" customHeight="1">
      <c r="B320" s="31"/>
      <c r="C320" s="31"/>
      <c r="D320" s="31"/>
      <c r="E320" s="31"/>
      <c r="F320" s="31"/>
      <c r="G320" s="31"/>
      <c r="H320" s="31"/>
    </row>
    <row r="321" ht="15.75" customHeight="1">
      <c r="B321" s="31"/>
      <c r="C321" s="31"/>
      <c r="D321" s="31"/>
      <c r="E321" s="31"/>
      <c r="F321" s="31"/>
      <c r="G321" s="31"/>
      <c r="H321" s="31"/>
    </row>
    <row r="322" ht="15.75" customHeight="1">
      <c r="B322" s="31"/>
      <c r="C322" s="31"/>
      <c r="D322" s="31"/>
      <c r="E322" s="31"/>
      <c r="F322" s="31"/>
      <c r="G322" s="31"/>
      <c r="H322" s="31"/>
    </row>
    <row r="323" ht="15.75" customHeight="1">
      <c r="B323" s="31"/>
      <c r="C323" s="31"/>
      <c r="D323" s="31"/>
      <c r="E323" s="31"/>
      <c r="F323" s="31"/>
      <c r="G323" s="31"/>
      <c r="H323" s="31"/>
    </row>
    <row r="324" ht="15.75" customHeight="1">
      <c r="B324" s="31"/>
      <c r="C324" s="31"/>
      <c r="D324" s="31"/>
      <c r="E324" s="31"/>
      <c r="F324" s="31"/>
      <c r="G324" s="31"/>
      <c r="H324" s="31"/>
    </row>
    <row r="325" ht="15.75" customHeight="1">
      <c r="B325" s="31"/>
      <c r="C325" s="31"/>
      <c r="D325" s="31"/>
      <c r="E325" s="31"/>
      <c r="F325" s="31"/>
      <c r="G325" s="31"/>
      <c r="H325" s="31"/>
    </row>
    <row r="326" ht="15.75" customHeight="1">
      <c r="B326" s="31"/>
      <c r="C326" s="31"/>
      <c r="D326" s="31"/>
      <c r="E326" s="31"/>
      <c r="F326" s="31"/>
      <c r="G326" s="31"/>
      <c r="H326" s="31"/>
    </row>
    <row r="327" ht="15.75" customHeight="1">
      <c r="B327" s="31"/>
      <c r="C327" s="31"/>
      <c r="D327" s="31"/>
      <c r="E327" s="31"/>
      <c r="F327" s="31"/>
      <c r="G327" s="31"/>
      <c r="H327" s="31"/>
    </row>
    <row r="328" ht="15.75" customHeight="1">
      <c r="B328" s="31"/>
      <c r="C328" s="31"/>
      <c r="D328" s="31"/>
      <c r="E328" s="31"/>
      <c r="F328" s="31"/>
      <c r="G328" s="31"/>
      <c r="H328" s="31"/>
    </row>
    <row r="329" ht="15.75" customHeight="1">
      <c r="B329" s="31"/>
      <c r="C329" s="31"/>
      <c r="D329" s="31"/>
      <c r="E329" s="31"/>
      <c r="F329" s="31"/>
      <c r="G329" s="31"/>
      <c r="H329" s="31"/>
    </row>
    <row r="330" ht="15.75" customHeight="1">
      <c r="B330" s="31"/>
      <c r="C330" s="31"/>
      <c r="D330" s="31"/>
      <c r="E330" s="31"/>
      <c r="F330" s="31"/>
      <c r="G330" s="31"/>
      <c r="H330" s="31"/>
    </row>
    <row r="331" ht="15.75" customHeight="1">
      <c r="B331" s="31"/>
      <c r="C331" s="31"/>
      <c r="D331" s="31"/>
      <c r="E331" s="31"/>
      <c r="F331" s="31"/>
      <c r="G331" s="31"/>
      <c r="H331" s="31"/>
    </row>
    <row r="332" ht="15.75" customHeight="1">
      <c r="B332" s="31"/>
      <c r="C332" s="31"/>
      <c r="D332" s="31"/>
      <c r="E332" s="31"/>
      <c r="F332" s="31"/>
      <c r="G332" s="31"/>
      <c r="H332" s="31"/>
    </row>
    <row r="333" ht="15.75" customHeight="1">
      <c r="B333" s="31"/>
      <c r="C333" s="31"/>
      <c r="D333" s="31"/>
      <c r="E333" s="31"/>
      <c r="F333" s="31"/>
      <c r="G333" s="31"/>
      <c r="H333" s="31"/>
    </row>
    <row r="334" ht="15.75" customHeight="1">
      <c r="B334" s="31"/>
      <c r="C334" s="31"/>
      <c r="D334" s="31"/>
      <c r="E334" s="31"/>
      <c r="F334" s="31"/>
      <c r="G334" s="31"/>
      <c r="H334" s="31"/>
    </row>
    <row r="335" ht="15.75" customHeight="1">
      <c r="B335" s="31"/>
      <c r="C335" s="31"/>
      <c r="D335" s="31"/>
      <c r="E335" s="31"/>
      <c r="F335" s="31"/>
      <c r="G335" s="31"/>
      <c r="H335" s="31"/>
    </row>
    <row r="336" ht="15.75" customHeight="1">
      <c r="B336" s="31"/>
      <c r="C336" s="31"/>
      <c r="D336" s="31"/>
      <c r="E336" s="31"/>
      <c r="F336" s="31"/>
      <c r="G336" s="31"/>
      <c r="H336" s="31"/>
    </row>
    <row r="337" ht="15.75" customHeight="1">
      <c r="B337" s="31"/>
      <c r="C337" s="31"/>
      <c r="D337" s="31"/>
      <c r="E337" s="31"/>
      <c r="F337" s="31"/>
      <c r="G337" s="31"/>
      <c r="H337" s="31"/>
    </row>
    <row r="338" ht="15.75" customHeight="1">
      <c r="B338" s="31"/>
      <c r="C338" s="31"/>
      <c r="D338" s="31"/>
      <c r="E338" s="31"/>
      <c r="F338" s="31"/>
      <c r="G338" s="31"/>
      <c r="H338" s="31"/>
    </row>
    <row r="339" ht="15.75" customHeight="1">
      <c r="B339" s="31"/>
      <c r="C339" s="31"/>
      <c r="D339" s="31"/>
      <c r="E339" s="31"/>
      <c r="F339" s="31"/>
      <c r="G339" s="31"/>
      <c r="H339" s="31"/>
    </row>
    <row r="340" ht="15.75" customHeight="1">
      <c r="B340" s="31"/>
      <c r="C340" s="31"/>
      <c r="D340" s="31"/>
      <c r="E340" s="31"/>
      <c r="F340" s="31"/>
      <c r="G340" s="31"/>
      <c r="H340" s="31"/>
    </row>
    <row r="341" ht="15.75" customHeight="1">
      <c r="B341" s="31"/>
      <c r="C341" s="31"/>
      <c r="D341" s="31"/>
      <c r="E341" s="31"/>
      <c r="F341" s="31"/>
      <c r="G341" s="31"/>
      <c r="H341" s="31"/>
    </row>
    <row r="342" ht="15.75" customHeight="1">
      <c r="B342" s="31"/>
      <c r="C342" s="31"/>
      <c r="D342" s="31"/>
      <c r="E342" s="31"/>
      <c r="F342" s="31"/>
      <c r="G342" s="31"/>
      <c r="H342" s="31"/>
    </row>
    <row r="343" ht="15.75" customHeight="1">
      <c r="B343" s="31"/>
      <c r="C343" s="31"/>
      <c r="D343" s="31"/>
      <c r="E343" s="31"/>
      <c r="F343" s="31"/>
      <c r="G343" s="31"/>
      <c r="H343" s="31"/>
    </row>
    <row r="344" ht="15.75" customHeight="1">
      <c r="B344" s="31"/>
      <c r="C344" s="31"/>
      <c r="D344" s="31"/>
      <c r="E344" s="31"/>
      <c r="F344" s="31"/>
      <c r="G344" s="31"/>
      <c r="H344" s="31"/>
    </row>
    <row r="345" ht="15.75" customHeight="1">
      <c r="B345" s="31"/>
      <c r="C345" s="31"/>
      <c r="D345" s="31"/>
      <c r="E345" s="31"/>
      <c r="F345" s="31"/>
      <c r="G345" s="31"/>
      <c r="H345" s="31"/>
    </row>
    <row r="346" ht="15.75" customHeight="1">
      <c r="B346" s="31"/>
      <c r="C346" s="31"/>
      <c r="D346" s="31"/>
      <c r="E346" s="31"/>
      <c r="F346" s="31"/>
      <c r="G346" s="31"/>
      <c r="H346" s="31"/>
    </row>
    <row r="347" ht="15.75" customHeight="1">
      <c r="B347" s="31"/>
      <c r="C347" s="31"/>
      <c r="D347" s="31"/>
      <c r="E347" s="31"/>
      <c r="F347" s="31"/>
      <c r="G347" s="31"/>
      <c r="H347" s="31"/>
    </row>
    <row r="348" ht="15.75" customHeight="1">
      <c r="B348" s="31"/>
      <c r="C348" s="31"/>
      <c r="D348" s="31"/>
      <c r="E348" s="31"/>
      <c r="F348" s="31"/>
      <c r="G348" s="31"/>
      <c r="H348" s="31"/>
    </row>
    <row r="349" ht="15.75" customHeight="1">
      <c r="B349" s="31"/>
      <c r="C349" s="31"/>
      <c r="D349" s="31"/>
      <c r="E349" s="31"/>
      <c r="F349" s="31"/>
      <c r="G349" s="31"/>
      <c r="H349" s="31"/>
    </row>
    <row r="350" ht="15.75" customHeight="1">
      <c r="B350" s="31"/>
      <c r="C350" s="31"/>
      <c r="D350" s="31"/>
      <c r="E350" s="31"/>
      <c r="F350" s="31"/>
      <c r="G350" s="31"/>
      <c r="H350" s="31"/>
    </row>
    <row r="351" ht="15.75" customHeight="1">
      <c r="B351" s="31"/>
      <c r="C351" s="31"/>
      <c r="D351" s="31"/>
      <c r="E351" s="31"/>
      <c r="F351" s="31"/>
      <c r="G351" s="31"/>
      <c r="H351" s="31"/>
    </row>
    <row r="352" ht="15.75" customHeight="1">
      <c r="B352" s="31"/>
      <c r="C352" s="31"/>
      <c r="D352" s="31"/>
      <c r="E352" s="31"/>
      <c r="F352" s="31"/>
      <c r="G352" s="31"/>
      <c r="H352" s="31"/>
    </row>
    <row r="353" ht="15.75" customHeight="1">
      <c r="B353" s="31"/>
      <c r="C353" s="31"/>
      <c r="D353" s="31"/>
      <c r="E353" s="31"/>
      <c r="F353" s="31"/>
      <c r="G353" s="31"/>
      <c r="H353" s="31"/>
    </row>
    <row r="354" ht="15.75" customHeight="1">
      <c r="B354" s="31"/>
      <c r="C354" s="31"/>
      <c r="D354" s="31"/>
      <c r="E354" s="31"/>
      <c r="F354" s="31"/>
      <c r="G354" s="31"/>
      <c r="H354" s="31"/>
    </row>
    <row r="355" ht="15.75" customHeight="1">
      <c r="B355" s="31"/>
      <c r="C355" s="31"/>
      <c r="D355" s="31"/>
      <c r="E355" s="31"/>
      <c r="F355" s="31"/>
      <c r="G355" s="31"/>
      <c r="H355" s="31"/>
    </row>
    <row r="356" ht="15.75" customHeight="1">
      <c r="B356" s="31"/>
      <c r="C356" s="31"/>
      <c r="D356" s="31"/>
      <c r="E356" s="31"/>
      <c r="F356" s="31"/>
      <c r="G356" s="31"/>
      <c r="H356" s="31"/>
    </row>
    <row r="357" ht="15.75" customHeight="1">
      <c r="B357" s="31"/>
      <c r="C357" s="31"/>
      <c r="D357" s="31"/>
      <c r="E357" s="31"/>
      <c r="F357" s="31"/>
      <c r="G357" s="31"/>
      <c r="H357" s="31"/>
    </row>
    <row r="358" ht="15.75" customHeight="1">
      <c r="B358" s="31"/>
      <c r="C358" s="31"/>
      <c r="D358" s="31"/>
      <c r="E358" s="31"/>
      <c r="F358" s="31"/>
      <c r="G358" s="31"/>
      <c r="H358" s="31"/>
    </row>
    <row r="359" ht="15.75" customHeight="1">
      <c r="B359" s="31"/>
      <c r="C359" s="31"/>
      <c r="D359" s="31"/>
      <c r="E359" s="31"/>
      <c r="F359" s="31"/>
      <c r="G359" s="31"/>
      <c r="H359" s="31"/>
    </row>
    <row r="360" ht="15.75" customHeight="1">
      <c r="B360" s="31"/>
      <c r="C360" s="31"/>
      <c r="D360" s="31"/>
      <c r="E360" s="31"/>
      <c r="F360" s="31"/>
      <c r="G360" s="31"/>
      <c r="H360" s="31"/>
    </row>
    <row r="361" ht="15.75" customHeight="1">
      <c r="B361" s="31"/>
      <c r="C361" s="31"/>
      <c r="D361" s="31"/>
      <c r="E361" s="31"/>
      <c r="F361" s="31"/>
      <c r="G361" s="31"/>
      <c r="H361" s="31"/>
    </row>
    <row r="362" ht="15.75" customHeight="1">
      <c r="B362" s="31"/>
      <c r="C362" s="31"/>
      <c r="D362" s="31"/>
      <c r="E362" s="31"/>
      <c r="F362" s="31"/>
      <c r="G362" s="31"/>
      <c r="H362" s="31"/>
    </row>
    <row r="363" ht="15.75" customHeight="1">
      <c r="B363" s="31"/>
      <c r="C363" s="31"/>
      <c r="D363" s="31"/>
      <c r="E363" s="31"/>
      <c r="F363" s="31"/>
      <c r="G363" s="31"/>
      <c r="H363" s="31"/>
    </row>
    <row r="364" ht="15.75" customHeight="1">
      <c r="B364" s="31"/>
      <c r="C364" s="31"/>
      <c r="D364" s="31"/>
      <c r="E364" s="31"/>
      <c r="F364" s="31"/>
      <c r="G364" s="31"/>
      <c r="H364" s="31"/>
    </row>
    <row r="365" ht="15.75" customHeight="1">
      <c r="B365" s="31"/>
      <c r="C365" s="31"/>
      <c r="D365" s="31"/>
      <c r="E365" s="31"/>
      <c r="F365" s="31"/>
      <c r="G365" s="31"/>
      <c r="H365" s="31"/>
    </row>
    <row r="366" ht="15.75" customHeight="1">
      <c r="B366" s="31"/>
      <c r="C366" s="31"/>
      <c r="D366" s="31"/>
      <c r="E366" s="31"/>
      <c r="F366" s="31"/>
      <c r="G366" s="31"/>
      <c r="H366" s="31"/>
    </row>
    <row r="367" ht="15.75" customHeight="1">
      <c r="B367" s="31"/>
      <c r="C367" s="31"/>
      <c r="D367" s="31"/>
      <c r="E367" s="31"/>
      <c r="F367" s="31"/>
      <c r="G367" s="31"/>
      <c r="H367" s="31"/>
    </row>
    <row r="368" ht="15.75" customHeight="1">
      <c r="B368" s="31"/>
      <c r="C368" s="31"/>
      <c r="D368" s="31"/>
      <c r="E368" s="31"/>
      <c r="F368" s="31"/>
      <c r="G368" s="31"/>
      <c r="H368" s="31"/>
    </row>
    <row r="369" ht="15.75" customHeight="1">
      <c r="B369" s="31"/>
      <c r="C369" s="31"/>
      <c r="D369" s="31"/>
      <c r="E369" s="31"/>
      <c r="F369" s="31"/>
      <c r="G369" s="31"/>
      <c r="H369" s="31"/>
    </row>
    <row r="370" ht="15.75" customHeight="1">
      <c r="B370" s="31"/>
      <c r="C370" s="31"/>
      <c r="D370" s="31"/>
      <c r="E370" s="31"/>
      <c r="F370" s="31"/>
      <c r="G370" s="31"/>
      <c r="H370" s="31"/>
    </row>
    <row r="371" ht="15.75" customHeight="1">
      <c r="B371" s="31"/>
      <c r="C371" s="31"/>
      <c r="D371" s="31"/>
      <c r="E371" s="31"/>
      <c r="F371" s="31"/>
      <c r="G371" s="31"/>
      <c r="H371" s="31"/>
    </row>
    <row r="372" ht="15.75" customHeight="1">
      <c r="B372" s="31"/>
      <c r="C372" s="31"/>
      <c r="D372" s="31"/>
      <c r="E372" s="31"/>
      <c r="F372" s="31"/>
      <c r="G372" s="31"/>
      <c r="H372" s="31"/>
    </row>
    <row r="373" ht="15.75" customHeight="1">
      <c r="B373" s="31"/>
      <c r="C373" s="31"/>
      <c r="D373" s="31"/>
      <c r="E373" s="31"/>
      <c r="F373" s="31"/>
      <c r="G373" s="31"/>
      <c r="H373" s="31"/>
    </row>
    <row r="374" ht="15.75" customHeight="1">
      <c r="B374" s="31"/>
      <c r="C374" s="31"/>
      <c r="D374" s="31"/>
      <c r="E374" s="31"/>
      <c r="F374" s="31"/>
      <c r="G374" s="31"/>
      <c r="H374" s="31"/>
    </row>
    <row r="375" ht="15.75" customHeight="1">
      <c r="B375" s="31"/>
      <c r="C375" s="31"/>
      <c r="D375" s="31"/>
      <c r="E375" s="31"/>
      <c r="F375" s="31"/>
      <c r="G375" s="31"/>
      <c r="H375" s="31"/>
    </row>
    <row r="376" ht="15.75" customHeight="1">
      <c r="B376" s="31"/>
      <c r="C376" s="31"/>
      <c r="D376" s="31"/>
      <c r="E376" s="31"/>
      <c r="F376" s="31"/>
      <c r="G376" s="31"/>
      <c r="H376" s="31"/>
    </row>
    <row r="377" ht="15.75" customHeight="1">
      <c r="B377" s="31"/>
      <c r="C377" s="31"/>
      <c r="D377" s="31"/>
      <c r="E377" s="31"/>
      <c r="F377" s="31"/>
      <c r="G377" s="31"/>
      <c r="H377" s="31"/>
    </row>
    <row r="378" ht="15.75" customHeight="1">
      <c r="B378" s="31"/>
      <c r="C378" s="31"/>
      <c r="D378" s="31"/>
      <c r="E378" s="31"/>
      <c r="F378" s="31"/>
      <c r="G378" s="31"/>
      <c r="H378" s="31"/>
    </row>
    <row r="379" ht="15.75" customHeight="1">
      <c r="B379" s="31"/>
      <c r="C379" s="31"/>
      <c r="D379" s="31"/>
      <c r="E379" s="31"/>
      <c r="F379" s="31"/>
      <c r="G379" s="31"/>
      <c r="H379" s="31"/>
    </row>
    <row r="380" ht="15.75" customHeight="1">
      <c r="B380" s="31"/>
      <c r="C380" s="31"/>
      <c r="D380" s="31"/>
      <c r="E380" s="31"/>
      <c r="F380" s="31"/>
      <c r="G380" s="31"/>
      <c r="H380" s="31"/>
    </row>
    <row r="381" ht="15.75" customHeight="1">
      <c r="B381" s="31"/>
      <c r="C381" s="31"/>
      <c r="D381" s="31"/>
      <c r="E381" s="31"/>
      <c r="F381" s="31"/>
      <c r="G381" s="31"/>
      <c r="H381" s="31"/>
    </row>
    <row r="382" ht="15.75" customHeight="1">
      <c r="B382" s="31"/>
      <c r="C382" s="31"/>
      <c r="D382" s="31"/>
      <c r="E382" s="31"/>
      <c r="F382" s="31"/>
      <c r="G382" s="31"/>
      <c r="H382" s="31"/>
    </row>
    <row r="383" ht="15.75" customHeight="1">
      <c r="B383" s="31"/>
      <c r="C383" s="31"/>
      <c r="D383" s="31"/>
      <c r="E383" s="31"/>
      <c r="F383" s="31"/>
      <c r="G383" s="31"/>
      <c r="H383" s="31"/>
    </row>
    <row r="384" ht="15.75" customHeight="1">
      <c r="B384" s="31"/>
      <c r="C384" s="31"/>
      <c r="D384" s="31"/>
      <c r="E384" s="31"/>
      <c r="F384" s="31"/>
      <c r="G384" s="31"/>
      <c r="H384" s="31"/>
    </row>
    <row r="385" ht="15.75" customHeight="1">
      <c r="B385" s="31"/>
      <c r="C385" s="31"/>
      <c r="D385" s="31"/>
      <c r="E385" s="31"/>
      <c r="F385" s="31"/>
      <c r="G385" s="31"/>
      <c r="H385" s="31"/>
    </row>
    <row r="386" ht="15.75" customHeight="1">
      <c r="B386" s="31"/>
      <c r="C386" s="31"/>
      <c r="D386" s="31"/>
      <c r="E386" s="31"/>
      <c r="F386" s="31"/>
      <c r="G386" s="31"/>
      <c r="H386" s="31"/>
    </row>
    <row r="387" ht="15.75" customHeight="1">
      <c r="B387" s="31"/>
      <c r="C387" s="31"/>
      <c r="D387" s="31"/>
      <c r="E387" s="31"/>
      <c r="F387" s="31"/>
      <c r="G387" s="31"/>
      <c r="H387" s="31"/>
    </row>
    <row r="388" ht="15.75" customHeight="1">
      <c r="B388" s="31"/>
      <c r="C388" s="31"/>
      <c r="D388" s="31"/>
      <c r="E388" s="31"/>
      <c r="F388" s="31"/>
      <c r="G388" s="31"/>
      <c r="H388" s="31"/>
    </row>
    <row r="389" ht="15.75" customHeight="1">
      <c r="B389" s="31"/>
      <c r="C389" s="31"/>
      <c r="D389" s="31"/>
      <c r="E389" s="31"/>
      <c r="F389" s="31"/>
      <c r="G389" s="31"/>
      <c r="H389" s="31"/>
    </row>
    <row r="390" ht="15.75" customHeight="1">
      <c r="B390" s="31"/>
      <c r="C390" s="31"/>
      <c r="D390" s="31"/>
      <c r="E390" s="31"/>
      <c r="F390" s="31"/>
      <c r="G390" s="31"/>
      <c r="H390" s="31"/>
    </row>
    <row r="391" ht="15.75" customHeight="1">
      <c r="B391" s="31"/>
      <c r="C391" s="31"/>
      <c r="D391" s="31"/>
      <c r="E391" s="31"/>
      <c r="F391" s="31"/>
      <c r="G391" s="31"/>
      <c r="H391" s="31"/>
    </row>
    <row r="392" ht="15.75" customHeight="1">
      <c r="B392" s="31"/>
      <c r="C392" s="31"/>
      <c r="D392" s="31"/>
      <c r="E392" s="31"/>
      <c r="F392" s="31"/>
      <c r="G392" s="31"/>
      <c r="H392" s="31"/>
    </row>
    <row r="393" ht="15.75" customHeight="1">
      <c r="B393" s="31"/>
      <c r="C393" s="31"/>
      <c r="D393" s="31"/>
      <c r="E393" s="31"/>
      <c r="F393" s="31"/>
      <c r="G393" s="31"/>
      <c r="H393" s="31"/>
    </row>
    <row r="394" ht="15.75" customHeight="1">
      <c r="B394" s="31"/>
      <c r="C394" s="31"/>
      <c r="D394" s="31"/>
      <c r="E394" s="31"/>
      <c r="F394" s="31"/>
      <c r="G394" s="31"/>
      <c r="H394" s="31"/>
    </row>
    <row r="395" ht="15.75" customHeight="1">
      <c r="B395" s="31"/>
      <c r="C395" s="31"/>
      <c r="D395" s="31"/>
      <c r="E395" s="31"/>
      <c r="F395" s="31"/>
      <c r="G395" s="31"/>
      <c r="H395" s="31"/>
    </row>
    <row r="396" ht="15.75" customHeight="1">
      <c r="B396" s="31"/>
      <c r="C396" s="31"/>
      <c r="D396" s="31"/>
      <c r="E396" s="31"/>
      <c r="F396" s="31"/>
      <c r="G396" s="31"/>
      <c r="H396" s="31"/>
    </row>
    <row r="397" ht="15.75" customHeight="1">
      <c r="B397" s="31"/>
      <c r="C397" s="31"/>
      <c r="D397" s="31"/>
      <c r="E397" s="31"/>
      <c r="F397" s="31"/>
      <c r="G397" s="31"/>
      <c r="H397" s="31"/>
    </row>
    <row r="398" ht="15.75" customHeight="1">
      <c r="B398" s="31"/>
      <c r="C398" s="31"/>
      <c r="D398" s="31"/>
      <c r="E398" s="31"/>
      <c r="F398" s="31"/>
      <c r="G398" s="31"/>
      <c r="H398" s="31"/>
    </row>
    <row r="399" ht="15.75" customHeight="1">
      <c r="B399" s="31"/>
      <c r="C399" s="31"/>
      <c r="D399" s="31"/>
      <c r="E399" s="31"/>
      <c r="F399" s="31"/>
      <c r="G399" s="31"/>
      <c r="H399" s="31"/>
    </row>
    <row r="400" ht="15.75" customHeight="1">
      <c r="B400" s="31"/>
      <c r="C400" s="31"/>
      <c r="D400" s="31"/>
      <c r="E400" s="31"/>
      <c r="F400" s="31"/>
      <c r="G400" s="31"/>
      <c r="H400" s="31"/>
    </row>
    <row r="401" ht="15.75" customHeight="1">
      <c r="B401" s="31"/>
      <c r="C401" s="31"/>
      <c r="D401" s="31"/>
      <c r="E401" s="31"/>
      <c r="F401" s="31"/>
      <c r="G401" s="31"/>
      <c r="H401" s="31"/>
    </row>
    <row r="402" ht="15.75" customHeight="1">
      <c r="B402" s="31"/>
      <c r="C402" s="31"/>
      <c r="D402" s="31"/>
      <c r="E402" s="31"/>
      <c r="F402" s="31"/>
      <c r="G402" s="31"/>
      <c r="H402" s="31"/>
    </row>
    <row r="403" ht="15.75" customHeight="1">
      <c r="B403" s="31"/>
      <c r="C403" s="31"/>
      <c r="D403" s="31"/>
      <c r="E403" s="31"/>
      <c r="F403" s="31"/>
      <c r="G403" s="31"/>
      <c r="H403" s="31"/>
    </row>
    <row r="404" ht="15.75" customHeight="1">
      <c r="B404" s="31"/>
      <c r="C404" s="31"/>
      <c r="D404" s="31"/>
      <c r="E404" s="31"/>
      <c r="F404" s="31"/>
      <c r="G404" s="31"/>
      <c r="H404" s="31"/>
    </row>
    <row r="405" ht="15.75" customHeight="1">
      <c r="B405" s="31"/>
      <c r="C405" s="31"/>
      <c r="D405" s="31"/>
      <c r="E405" s="31"/>
      <c r="F405" s="31"/>
      <c r="G405" s="31"/>
      <c r="H405" s="31"/>
    </row>
    <row r="406" ht="15.75" customHeight="1">
      <c r="B406" s="31"/>
      <c r="C406" s="31"/>
      <c r="D406" s="31"/>
      <c r="E406" s="31"/>
      <c r="F406" s="31"/>
      <c r="G406" s="31"/>
      <c r="H406" s="31"/>
    </row>
    <row r="407" ht="15.75" customHeight="1">
      <c r="B407" s="31"/>
      <c r="C407" s="31"/>
      <c r="D407" s="31"/>
      <c r="E407" s="31"/>
      <c r="F407" s="31"/>
      <c r="G407" s="31"/>
      <c r="H407" s="31"/>
    </row>
    <row r="408" ht="15.75" customHeight="1">
      <c r="B408" s="31"/>
      <c r="C408" s="31"/>
      <c r="D408" s="31"/>
      <c r="E408" s="31"/>
      <c r="F408" s="31"/>
      <c r="G408" s="31"/>
      <c r="H408" s="31"/>
    </row>
    <row r="409" ht="15.75" customHeight="1">
      <c r="B409" s="31"/>
      <c r="C409" s="31"/>
      <c r="D409" s="31"/>
      <c r="E409" s="31"/>
      <c r="F409" s="31"/>
      <c r="G409" s="31"/>
      <c r="H409" s="31"/>
    </row>
    <row r="410" ht="15.75" customHeight="1">
      <c r="B410" s="31"/>
      <c r="C410" s="31"/>
      <c r="D410" s="31"/>
      <c r="E410" s="31"/>
      <c r="F410" s="31"/>
      <c r="G410" s="31"/>
      <c r="H410" s="31"/>
    </row>
    <row r="411" ht="15.75" customHeight="1">
      <c r="B411" s="31"/>
      <c r="C411" s="31"/>
      <c r="D411" s="31"/>
      <c r="E411" s="31"/>
      <c r="F411" s="31"/>
      <c r="G411" s="31"/>
      <c r="H411" s="31"/>
    </row>
    <row r="412" ht="15.75" customHeight="1">
      <c r="B412" s="31"/>
      <c r="C412" s="31"/>
      <c r="D412" s="31"/>
      <c r="E412" s="31"/>
      <c r="F412" s="31"/>
      <c r="G412" s="31"/>
      <c r="H412" s="31"/>
    </row>
    <row r="413" ht="15.75" customHeight="1">
      <c r="B413" s="31"/>
      <c r="C413" s="31"/>
      <c r="D413" s="31"/>
      <c r="E413" s="31"/>
      <c r="F413" s="31"/>
      <c r="G413" s="31"/>
      <c r="H413" s="31"/>
    </row>
    <row r="414" ht="15.75" customHeight="1">
      <c r="B414" s="31"/>
      <c r="C414" s="31"/>
      <c r="D414" s="31"/>
      <c r="E414" s="31"/>
      <c r="F414" s="31"/>
      <c r="G414" s="31"/>
      <c r="H414" s="31"/>
    </row>
    <row r="415" ht="15.75" customHeight="1">
      <c r="B415" s="31"/>
      <c r="C415" s="31"/>
      <c r="D415" s="31"/>
      <c r="E415" s="31"/>
      <c r="F415" s="31"/>
      <c r="G415" s="31"/>
      <c r="H415" s="31"/>
    </row>
    <row r="416" ht="15.75" customHeight="1">
      <c r="B416" s="31"/>
      <c r="C416" s="31"/>
      <c r="D416" s="31"/>
      <c r="E416" s="31"/>
      <c r="F416" s="31"/>
      <c r="G416" s="31"/>
      <c r="H416" s="31"/>
    </row>
    <row r="417" ht="15.75" customHeight="1">
      <c r="B417" s="31"/>
      <c r="C417" s="31"/>
      <c r="D417" s="31"/>
      <c r="E417" s="31"/>
      <c r="F417" s="31"/>
      <c r="G417" s="31"/>
      <c r="H417" s="31"/>
    </row>
    <row r="418" ht="15.75" customHeight="1">
      <c r="B418" s="31"/>
      <c r="C418" s="31"/>
      <c r="D418" s="31"/>
      <c r="E418" s="31"/>
      <c r="F418" s="31"/>
      <c r="G418" s="31"/>
      <c r="H418" s="31"/>
    </row>
    <row r="419" ht="15.75" customHeight="1">
      <c r="B419" s="31"/>
      <c r="C419" s="31"/>
      <c r="D419" s="31"/>
      <c r="E419" s="31"/>
      <c r="F419" s="31"/>
      <c r="G419" s="31"/>
      <c r="H419" s="31"/>
    </row>
    <row r="420" ht="15.75" customHeight="1">
      <c r="B420" s="31"/>
      <c r="C420" s="31"/>
      <c r="D420" s="31"/>
      <c r="E420" s="31"/>
      <c r="F420" s="31"/>
      <c r="G420" s="31"/>
      <c r="H420" s="31"/>
    </row>
    <row r="421" ht="15.75" customHeight="1">
      <c r="B421" s="31"/>
      <c r="C421" s="31"/>
      <c r="D421" s="31"/>
      <c r="E421" s="31"/>
      <c r="F421" s="31"/>
      <c r="G421" s="31"/>
      <c r="H421" s="31"/>
    </row>
    <row r="422" ht="15.75" customHeight="1">
      <c r="B422" s="31"/>
      <c r="C422" s="31"/>
      <c r="D422" s="31"/>
      <c r="E422" s="31"/>
      <c r="F422" s="31"/>
      <c r="G422" s="31"/>
      <c r="H422" s="31"/>
    </row>
    <row r="423" ht="15.75" customHeight="1">
      <c r="B423" s="31"/>
      <c r="C423" s="31"/>
      <c r="D423" s="31"/>
      <c r="E423" s="31"/>
      <c r="F423" s="31"/>
      <c r="G423" s="31"/>
      <c r="H423" s="31"/>
    </row>
    <row r="424" ht="15.75" customHeight="1">
      <c r="B424" s="31"/>
      <c r="C424" s="31"/>
      <c r="D424" s="31"/>
      <c r="E424" s="31"/>
      <c r="F424" s="31"/>
      <c r="G424" s="31"/>
      <c r="H424" s="31"/>
    </row>
    <row r="425" ht="15.75" customHeight="1">
      <c r="B425" s="31"/>
      <c r="C425" s="31"/>
      <c r="D425" s="31"/>
      <c r="E425" s="31"/>
      <c r="F425" s="31"/>
      <c r="G425" s="31"/>
      <c r="H425" s="31"/>
    </row>
    <row r="426" ht="15.75" customHeight="1">
      <c r="B426" s="31"/>
      <c r="C426" s="31"/>
      <c r="D426" s="31"/>
      <c r="E426" s="31"/>
      <c r="F426" s="31"/>
      <c r="G426" s="31"/>
      <c r="H426" s="31"/>
    </row>
    <row r="427" ht="15.75" customHeight="1">
      <c r="B427" s="31"/>
      <c r="C427" s="31"/>
      <c r="D427" s="31"/>
      <c r="E427" s="31"/>
      <c r="F427" s="31"/>
      <c r="G427" s="31"/>
      <c r="H427" s="31"/>
    </row>
    <row r="428" ht="15.75" customHeight="1">
      <c r="B428" s="31"/>
      <c r="C428" s="31"/>
      <c r="D428" s="31"/>
      <c r="E428" s="31"/>
      <c r="F428" s="31"/>
      <c r="G428" s="31"/>
      <c r="H428" s="31"/>
    </row>
    <row r="429" ht="15.75" customHeight="1">
      <c r="B429" s="31"/>
      <c r="C429" s="31"/>
      <c r="D429" s="31"/>
      <c r="E429" s="31"/>
      <c r="F429" s="31"/>
      <c r="G429" s="31"/>
      <c r="H429" s="31"/>
    </row>
    <row r="430" ht="15.75" customHeight="1">
      <c r="B430" s="31"/>
      <c r="C430" s="31"/>
      <c r="D430" s="31"/>
      <c r="E430" s="31"/>
      <c r="F430" s="31"/>
      <c r="G430" s="31"/>
      <c r="H430" s="31"/>
    </row>
    <row r="431" ht="15.75" customHeight="1">
      <c r="B431" s="31"/>
      <c r="C431" s="31"/>
      <c r="D431" s="31"/>
      <c r="E431" s="31"/>
      <c r="F431" s="31"/>
      <c r="G431" s="31"/>
      <c r="H431" s="31"/>
    </row>
    <row r="432" ht="15.75" customHeight="1">
      <c r="B432" s="31"/>
      <c r="C432" s="31"/>
      <c r="D432" s="31"/>
      <c r="E432" s="31"/>
      <c r="F432" s="31"/>
      <c r="G432" s="31"/>
      <c r="H432" s="31"/>
    </row>
    <row r="433" ht="15.75" customHeight="1">
      <c r="B433" s="31"/>
      <c r="C433" s="31"/>
      <c r="D433" s="31"/>
      <c r="E433" s="31"/>
      <c r="F433" s="31"/>
      <c r="G433" s="31"/>
      <c r="H433" s="31"/>
    </row>
    <row r="434" ht="15.75" customHeight="1">
      <c r="B434" s="31"/>
      <c r="C434" s="31"/>
      <c r="D434" s="31"/>
      <c r="E434" s="31"/>
      <c r="F434" s="31"/>
      <c r="G434" s="31"/>
      <c r="H434" s="31"/>
    </row>
    <row r="435" ht="15.75" customHeight="1">
      <c r="B435" s="31"/>
      <c r="C435" s="31"/>
      <c r="D435" s="31"/>
      <c r="E435" s="31"/>
      <c r="F435" s="31"/>
      <c r="G435" s="31"/>
      <c r="H435" s="31"/>
    </row>
    <row r="436" ht="15.75" customHeight="1">
      <c r="B436" s="31"/>
      <c r="C436" s="31"/>
      <c r="D436" s="31"/>
      <c r="E436" s="31"/>
      <c r="F436" s="31"/>
      <c r="G436" s="31"/>
      <c r="H436" s="31"/>
    </row>
    <row r="437" ht="15.75" customHeight="1">
      <c r="B437" s="31"/>
      <c r="C437" s="31"/>
      <c r="D437" s="31"/>
      <c r="E437" s="31"/>
      <c r="F437" s="31"/>
      <c r="G437" s="31"/>
      <c r="H437" s="31"/>
    </row>
    <row r="438" ht="15.75" customHeight="1">
      <c r="B438" s="31"/>
      <c r="C438" s="31"/>
      <c r="D438" s="31"/>
      <c r="E438" s="31"/>
      <c r="F438" s="31"/>
      <c r="G438" s="31"/>
      <c r="H438" s="31"/>
    </row>
    <row r="439" ht="15.75" customHeight="1">
      <c r="B439" s="31"/>
      <c r="C439" s="31"/>
      <c r="D439" s="31"/>
      <c r="E439" s="31"/>
      <c r="F439" s="31"/>
      <c r="G439" s="31"/>
      <c r="H439" s="31"/>
    </row>
    <row r="440" ht="15.75" customHeight="1">
      <c r="B440" s="31"/>
      <c r="C440" s="31"/>
      <c r="D440" s="31"/>
      <c r="E440" s="31"/>
      <c r="F440" s="31"/>
      <c r="G440" s="31"/>
      <c r="H440" s="31"/>
    </row>
    <row r="441" ht="15.75" customHeight="1">
      <c r="B441" s="31"/>
      <c r="C441" s="31"/>
      <c r="D441" s="31"/>
      <c r="E441" s="31"/>
      <c r="F441" s="31"/>
      <c r="G441" s="31"/>
      <c r="H441" s="31"/>
    </row>
    <row r="442" ht="15.75" customHeight="1">
      <c r="B442" s="31"/>
      <c r="C442" s="31"/>
      <c r="D442" s="31"/>
      <c r="E442" s="31"/>
      <c r="F442" s="31"/>
      <c r="G442" s="31"/>
      <c r="H442" s="31"/>
    </row>
    <row r="443" ht="15.75" customHeight="1">
      <c r="B443" s="31"/>
      <c r="C443" s="31"/>
      <c r="D443" s="31"/>
      <c r="E443" s="31"/>
      <c r="F443" s="31"/>
      <c r="G443" s="31"/>
      <c r="H443" s="31"/>
    </row>
    <row r="444" ht="15.75" customHeight="1">
      <c r="B444" s="31"/>
      <c r="C444" s="31"/>
      <c r="D444" s="31"/>
      <c r="E444" s="31"/>
      <c r="F444" s="31"/>
      <c r="G444" s="31"/>
      <c r="H444" s="31"/>
    </row>
    <row r="445" ht="15.75" customHeight="1">
      <c r="B445" s="31"/>
      <c r="C445" s="31"/>
      <c r="D445" s="31"/>
      <c r="E445" s="31"/>
      <c r="F445" s="31"/>
      <c r="G445" s="31"/>
      <c r="H445" s="31"/>
    </row>
    <row r="446" ht="15.75" customHeight="1">
      <c r="B446" s="31"/>
      <c r="C446" s="31"/>
      <c r="D446" s="31"/>
      <c r="E446" s="31"/>
      <c r="F446" s="31"/>
      <c r="G446" s="31"/>
      <c r="H446" s="31"/>
    </row>
    <row r="447" ht="15.75" customHeight="1">
      <c r="B447" s="31"/>
      <c r="C447" s="31"/>
      <c r="D447" s="31"/>
      <c r="E447" s="31"/>
      <c r="F447" s="31"/>
      <c r="G447" s="31"/>
      <c r="H447" s="31"/>
    </row>
    <row r="448" ht="15.75" customHeight="1">
      <c r="B448" s="31"/>
      <c r="C448" s="31"/>
      <c r="D448" s="31"/>
      <c r="E448" s="31"/>
      <c r="F448" s="31"/>
      <c r="G448" s="31"/>
      <c r="H448" s="31"/>
    </row>
    <row r="449" ht="15.75" customHeight="1">
      <c r="B449" s="31"/>
      <c r="C449" s="31"/>
      <c r="D449" s="31"/>
      <c r="E449" s="31"/>
      <c r="F449" s="31"/>
      <c r="G449" s="31"/>
      <c r="H449" s="31"/>
    </row>
    <row r="450" ht="15.75" customHeight="1">
      <c r="B450" s="31"/>
      <c r="C450" s="31"/>
      <c r="D450" s="31"/>
      <c r="E450" s="31"/>
      <c r="F450" s="31"/>
      <c r="G450" s="31"/>
      <c r="H450" s="31"/>
    </row>
    <row r="451" ht="15.75" customHeight="1">
      <c r="B451" s="31"/>
      <c r="C451" s="31"/>
      <c r="D451" s="31"/>
      <c r="E451" s="31"/>
      <c r="F451" s="31"/>
      <c r="G451" s="31"/>
      <c r="H451" s="31"/>
    </row>
    <row r="452" ht="15.75" customHeight="1">
      <c r="B452" s="31"/>
      <c r="C452" s="31"/>
      <c r="D452" s="31"/>
      <c r="E452" s="31"/>
      <c r="F452" s="31"/>
      <c r="G452" s="31"/>
      <c r="H452" s="31"/>
    </row>
    <row r="453" ht="15.75" customHeight="1">
      <c r="B453" s="31"/>
      <c r="C453" s="31"/>
      <c r="D453" s="31"/>
      <c r="E453" s="31"/>
      <c r="F453" s="31"/>
      <c r="G453" s="31"/>
      <c r="H453" s="31"/>
    </row>
    <row r="454" ht="15.75" customHeight="1">
      <c r="B454" s="31"/>
      <c r="C454" s="31"/>
      <c r="D454" s="31"/>
      <c r="E454" s="31"/>
      <c r="F454" s="31"/>
      <c r="G454" s="31"/>
      <c r="H454" s="31"/>
    </row>
    <row r="455" ht="15.75" customHeight="1">
      <c r="B455" s="31"/>
      <c r="C455" s="31"/>
      <c r="D455" s="31"/>
      <c r="E455" s="31"/>
      <c r="F455" s="31"/>
      <c r="G455" s="31"/>
      <c r="H455" s="31"/>
    </row>
    <row r="456" ht="15.75" customHeight="1">
      <c r="B456" s="31"/>
      <c r="C456" s="31"/>
      <c r="D456" s="31"/>
      <c r="E456" s="31"/>
      <c r="F456" s="31"/>
      <c r="G456" s="31"/>
      <c r="H456" s="31"/>
    </row>
    <row r="457" ht="15.75" customHeight="1">
      <c r="B457" s="31"/>
      <c r="C457" s="31"/>
      <c r="D457" s="31"/>
      <c r="E457" s="31"/>
      <c r="F457" s="31"/>
      <c r="G457" s="31"/>
      <c r="H457" s="31"/>
    </row>
    <row r="458" ht="15.75" customHeight="1">
      <c r="B458" s="31"/>
      <c r="C458" s="31"/>
      <c r="D458" s="31"/>
      <c r="E458" s="31"/>
      <c r="F458" s="31"/>
      <c r="G458" s="31"/>
      <c r="H458" s="31"/>
    </row>
    <row r="459" ht="15.75" customHeight="1">
      <c r="B459" s="31"/>
      <c r="C459" s="31"/>
      <c r="D459" s="31"/>
      <c r="E459" s="31"/>
      <c r="F459" s="31"/>
      <c r="G459" s="31"/>
      <c r="H459" s="31"/>
    </row>
    <row r="460" ht="15.75" customHeight="1">
      <c r="B460" s="31"/>
      <c r="C460" s="31"/>
      <c r="D460" s="31"/>
      <c r="E460" s="31"/>
      <c r="F460" s="31"/>
      <c r="G460" s="31"/>
      <c r="H460" s="31"/>
    </row>
    <row r="461" ht="15.75" customHeight="1">
      <c r="B461" s="31"/>
      <c r="C461" s="31"/>
      <c r="D461" s="31"/>
      <c r="E461" s="31"/>
      <c r="F461" s="31"/>
      <c r="G461" s="31"/>
      <c r="H461" s="31"/>
    </row>
    <row r="462" ht="15.75" customHeight="1">
      <c r="B462" s="31"/>
      <c r="C462" s="31"/>
      <c r="D462" s="31"/>
      <c r="E462" s="31"/>
      <c r="F462" s="31"/>
      <c r="G462" s="31"/>
      <c r="H462" s="31"/>
    </row>
    <row r="463" ht="15.75" customHeight="1">
      <c r="B463" s="31"/>
      <c r="C463" s="31"/>
      <c r="D463" s="31"/>
      <c r="E463" s="31"/>
      <c r="F463" s="31"/>
      <c r="G463" s="31"/>
      <c r="H463" s="31"/>
    </row>
    <row r="464" ht="15.75" customHeight="1">
      <c r="B464" s="31"/>
      <c r="C464" s="31"/>
      <c r="D464" s="31"/>
      <c r="E464" s="31"/>
      <c r="F464" s="31"/>
      <c r="G464" s="31"/>
      <c r="H464" s="31"/>
    </row>
    <row r="465" ht="15.75" customHeight="1">
      <c r="B465" s="31"/>
      <c r="C465" s="31"/>
      <c r="D465" s="31"/>
      <c r="E465" s="31"/>
      <c r="F465" s="31"/>
      <c r="G465" s="31"/>
      <c r="H465" s="31"/>
    </row>
    <row r="466" ht="15.75" customHeight="1">
      <c r="B466" s="31"/>
      <c r="C466" s="31"/>
      <c r="D466" s="31"/>
      <c r="E466" s="31"/>
      <c r="F466" s="31"/>
      <c r="G466" s="31"/>
      <c r="H466" s="31"/>
    </row>
    <row r="467" ht="15.75" customHeight="1">
      <c r="B467" s="31"/>
      <c r="C467" s="31"/>
      <c r="D467" s="31"/>
      <c r="E467" s="31"/>
      <c r="F467" s="31"/>
      <c r="G467" s="31"/>
      <c r="H467" s="31"/>
    </row>
    <row r="468" ht="15.75" customHeight="1">
      <c r="B468" s="31"/>
      <c r="C468" s="31"/>
      <c r="D468" s="31"/>
      <c r="E468" s="31"/>
      <c r="F468" s="31"/>
      <c r="G468" s="31"/>
      <c r="H468" s="31"/>
    </row>
    <row r="469" ht="15.75" customHeight="1">
      <c r="B469" s="31"/>
      <c r="C469" s="31"/>
      <c r="D469" s="31"/>
      <c r="E469" s="31"/>
      <c r="F469" s="31"/>
      <c r="G469" s="31"/>
      <c r="H469" s="31"/>
    </row>
    <row r="470" ht="15.75" customHeight="1">
      <c r="B470" s="31"/>
      <c r="C470" s="31"/>
      <c r="D470" s="31"/>
      <c r="E470" s="31"/>
      <c r="F470" s="31"/>
      <c r="G470" s="31"/>
      <c r="H470" s="31"/>
    </row>
    <row r="471" ht="15.75" customHeight="1">
      <c r="B471" s="31"/>
      <c r="C471" s="31"/>
      <c r="D471" s="31"/>
      <c r="E471" s="31"/>
      <c r="F471" s="31"/>
      <c r="G471" s="31"/>
      <c r="H471" s="31"/>
    </row>
    <row r="472" ht="15.75" customHeight="1">
      <c r="B472" s="31"/>
      <c r="C472" s="31"/>
      <c r="D472" s="31"/>
      <c r="E472" s="31"/>
      <c r="F472" s="31"/>
      <c r="G472" s="31"/>
      <c r="H472" s="31"/>
    </row>
    <row r="473" ht="15.75" customHeight="1">
      <c r="B473" s="31"/>
      <c r="C473" s="31"/>
      <c r="D473" s="31"/>
      <c r="E473" s="31"/>
      <c r="F473" s="31"/>
      <c r="G473" s="31"/>
      <c r="H473" s="31"/>
    </row>
    <row r="474" ht="15.75" customHeight="1">
      <c r="B474" s="31"/>
      <c r="C474" s="31"/>
      <c r="D474" s="31"/>
      <c r="E474" s="31"/>
      <c r="F474" s="31"/>
      <c r="G474" s="31"/>
      <c r="H474" s="31"/>
    </row>
    <row r="475" ht="15.75" customHeight="1">
      <c r="B475" s="31"/>
      <c r="C475" s="31"/>
      <c r="D475" s="31"/>
      <c r="E475" s="31"/>
      <c r="F475" s="31"/>
      <c r="G475" s="31"/>
      <c r="H475" s="31"/>
    </row>
    <row r="476" ht="15.75" customHeight="1">
      <c r="B476" s="31"/>
      <c r="C476" s="31"/>
      <c r="D476" s="31"/>
      <c r="E476" s="31"/>
      <c r="F476" s="31"/>
      <c r="G476" s="31"/>
      <c r="H476" s="31"/>
    </row>
    <row r="477" ht="15.75" customHeight="1">
      <c r="B477" s="31"/>
      <c r="C477" s="31"/>
      <c r="D477" s="31"/>
      <c r="E477" s="31"/>
      <c r="F477" s="31"/>
      <c r="G477" s="31"/>
      <c r="H477" s="31"/>
    </row>
    <row r="478" ht="15.75" customHeight="1">
      <c r="B478" s="31"/>
      <c r="C478" s="31"/>
      <c r="D478" s="31"/>
      <c r="E478" s="31"/>
      <c r="F478" s="31"/>
      <c r="G478" s="31"/>
      <c r="H478" s="31"/>
    </row>
    <row r="479" ht="15.75" customHeight="1">
      <c r="B479" s="31"/>
      <c r="C479" s="31"/>
      <c r="D479" s="31"/>
      <c r="E479" s="31"/>
      <c r="F479" s="31"/>
      <c r="G479" s="31"/>
      <c r="H479" s="31"/>
    </row>
    <row r="480" ht="15.75" customHeight="1">
      <c r="B480" s="31"/>
      <c r="C480" s="31"/>
      <c r="D480" s="31"/>
      <c r="E480" s="31"/>
      <c r="F480" s="31"/>
      <c r="G480" s="31"/>
      <c r="H480" s="31"/>
    </row>
    <row r="481" ht="15.75" customHeight="1">
      <c r="B481" s="31"/>
      <c r="C481" s="31"/>
      <c r="D481" s="31"/>
      <c r="E481" s="31"/>
      <c r="F481" s="31"/>
      <c r="G481" s="31"/>
      <c r="H481" s="31"/>
    </row>
    <row r="482" ht="15.75" customHeight="1">
      <c r="B482" s="31"/>
      <c r="C482" s="31"/>
      <c r="D482" s="31"/>
      <c r="E482" s="31"/>
      <c r="F482" s="31"/>
      <c r="G482" s="31"/>
      <c r="H482" s="31"/>
    </row>
    <row r="483" ht="15.75" customHeight="1">
      <c r="B483" s="31"/>
      <c r="C483" s="31"/>
      <c r="D483" s="31"/>
      <c r="E483" s="31"/>
      <c r="F483" s="31"/>
      <c r="G483" s="31"/>
      <c r="H483" s="31"/>
    </row>
    <row r="484" ht="15.75" customHeight="1">
      <c r="B484" s="31"/>
      <c r="C484" s="31"/>
      <c r="D484" s="31"/>
      <c r="E484" s="31"/>
      <c r="F484" s="31"/>
      <c r="G484" s="31"/>
      <c r="H484" s="31"/>
    </row>
    <row r="485" ht="15.75" customHeight="1">
      <c r="B485" s="31"/>
      <c r="C485" s="31"/>
      <c r="D485" s="31"/>
      <c r="E485" s="31"/>
      <c r="F485" s="31"/>
      <c r="G485" s="31"/>
      <c r="H485" s="31"/>
    </row>
    <row r="486" ht="15.75" customHeight="1">
      <c r="B486" s="31"/>
      <c r="C486" s="31"/>
      <c r="D486" s="31"/>
      <c r="E486" s="31"/>
      <c r="F486" s="31"/>
      <c r="G486" s="31"/>
      <c r="H486" s="31"/>
    </row>
    <row r="487" ht="15.75" customHeight="1">
      <c r="B487" s="31"/>
      <c r="C487" s="31"/>
      <c r="D487" s="31"/>
      <c r="E487" s="31"/>
      <c r="F487" s="31"/>
      <c r="G487" s="31"/>
      <c r="H487" s="31"/>
    </row>
    <row r="488" ht="15.75" customHeight="1">
      <c r="B488" s="31"/>
      <c r="C488" s="31"/>
      <c r="D488" s="31"/>
      <c r="E488" s="31"/>
      <c r="F488" s="31"/>
      <c r="G488" s="31"/>
      <c r="H488" s="31"/>
    </row>
    <row r="489" ht="15.75" customHeight="1">
      <c r="B489" s="31"/>
      <c r="C489" s="31"/>
      <c r="D489" s="31"/>
      <c r="E489" s="31"/>
      <c r="F489" s="31"/>
      <c r="G489" s="31"/>
      <c r="H489" s="31"/>
    </row>
    <row r="490" ht="15.75" customHeight="1">
      <c r="B490" s="31"/>
      <c r="C490" s="31"/>
      <c r="D490" s="31"/>
      <c r="E490" s="31"/>
      <c r="F490" s="31"/>
      <c r="G490" s="31"/>
      <c r="H490" s="31"/>
    </row>
    <row r="491" ht="15.75" customHeight="1">
      <c r="B491" s="31"/>
      <c r="C491" s="31"/>
      <c r="D491" s="31"/>
      <c r="E491" s="31"/>
      <c r="F491" s="31"/>
      <c r="G491" s="31"/>
      <c r="H491" s="31"/>
    </row>
    <row r="492" ht="15.75" customHeight="1">
      <c r="B492" s="31"/>
      <c r="C492" s="31"/>
      <c r="D492" s="31"/>
      <c r="E492" s="31"/>
      <c r="F492" s="31"/>
      <c r="G492" s="31"/>
      <c r="H492" s="31"/>
    </row>
    <row r="493" ht="15.75" customHeight="1">
      <c r="B493" s="31"/>
      <c r="C493" s="31"/>
      <c r="D493" s="31"/>
      <c r="E493" s="31"/>
      <c r="F493" s="31"/>
      <c r="G493" s="31"/>
      <c r="H493" s="31"/>
    </row>
    <row r="494" ht="15.75" customHeight="1">
      <c r="B494" s="31"/>
      <c r="C494" s="31"/>
      <c r="D494" s="31"/>
      <c r="E494" s="31"/>
      <c r="F494" s="31"/>
      <c r="G494" s="31"/>
      <c r="H494" s="31"/>
    </row>
    <row r="495" ht="15.75" customHeight="1">
      <c r="B495" s="31"/>
      <c r="C495" s="31"/>
      <c r="D495" s="31"/>
      <c r="E495" s="31"/>
      <c r="F495" s="31"/>
      <c r="G495" s="31"/>
      <c r="H495" s="31"/>
    </row>
    <row r="496" ht="15.75" customHeight="1">
      <c r="B496" s="31"/>
      <c r="C496" s="31"/>
      <c r="D496" s="31"/>
      <c r="E496" s="31"/>
      <c r="F496" s="31"/>
      <c r="G496" s="31"/>
      <c r="H496" s="31"/>
    </row>
    <row r="497" ht="15.75" customHeight="1">
      <c r="B497" s="31"/>
      <c r="C497" s="31"/>
      <c r="D497" s="31"/>
      <c r="E497" s="31"/>
      <c r="F497" s="31"/>
      <c r="G497" s="31"/>
      <c r="H497" s="31"/>
    </row>
    <row r="498" ht="15.75" customHeight="1">
      <c r="B498" s="31"/>
      <c r="C498" s="31"/>
      <c r="D498" s="31"/>
      <c r="E498" s="31"/>
      <c r="F498" s="31"/>
      <c r="G498" s="31"/>
      <c r="H498" s="31"/>
    </row>
    <row r="499" ht="15.75" customHeight="1">
      <c r="B499" s="31"/>
      <c r="C499" s="31"/>
      <c r="D499" s="31"/>
      <c r="E499" s="31"/>
      <c r="F499" s="31"/>
      <c r="G499" s="31"/>
      <c r="H499" s="31"/>
    </row>
    <row r="500" ht="15.75" customHeight="1">
      <c r="B500" s="31"/>
      <c r="C500" s="31"/>
      <c r="D500" s="31"/>
      <c r="E500" s="31"/>
      <c r="F500" s="31"/>
      <c r="G500" s="31"/>
      <c r="H500" s="31"/>
    </row>
    <row r="501" ht="15.75" customHeight="1">
      <c r="B501" s="31"/>
      <c r="C501" s="31"/>
      <c r="D501" s="31"/>
      <c r="E501" s="31"/>
      <c r="F501" s="31"/>
      <c r="G501" s="31"/>
      <c r="H501" s="31"/>
    </row>
    <row r="502" ht="15.75" customHeight="1">
      <c r="B502" s="31"/>
      <c r="C502" s="31"/>
      <c r="D502" s="31"/>
      <c r="E502" s="31"/>
      <c r="F502" s="31"/>
      <c r="G502" s="31"/>
      <c r="H502" s="31"/>
    </row>
    <row r="503" ht="15.75" customHeight="1">
      <c r="B503" s="31"/>
      <c r="C503" s="31"/>
      <c r="D503" s="31"/>
      <c r="E503" s="31"/>
      <c r="F503" s="31"/>
      <c r="G503" s="31"/>
      <c r="H503" s="31"/>
    </row>
    <row r="504" ht="15.75" customHeight="1">
      <c r="B504" s="31"/>
      <c r="C504" s="31"/>
      <c r="D504" s="31"/>
      <c r="E504" s="31"/>
      <c r="F504" s="31"/>
      <c r="G504" s="31"/>
      <c r="H504" s="31"/>
    </row>
    <row r="505" ht="15.75" customHeight="1">
      <c r="B505" s="31"/>
      <c r="C505" s="31"/>
      <c r="D505" s="31"/>
      <c r="E505" s="31"/>
      <c r="F505" s="31"/>
      <c r="G505" s="31"/>
      <c r="H505" s="31"/>
    </row>
    <row r="506" ht="15.75" customHeight="1">
      <c r="B506" s="31"/>
      <c r="C506" s="31"/>
      <c r="D506" s="31"/>
      <c r="E506" s="31"/>
      <c r="F506" s="31"/>
      <c r="G506" s="31"/>
      <c r="H506" s="31"/>
    </row>
    <row r="507" ht="15.75" customHeight="1">
      <c r="B507" s="31"/>
      <c r="C507" s="31"/>
      <c r="D507" s="31"/>
      <c r="E507" s="31"/>
      <c r="F507" s="31"/>
      <c r="G507" s="31"/>
      <c r="H507" s="31"/>
    </row>
    <row r="508" ht="15.75" customHeight="1">
      <c r="B508" s="31"/>
      <c r="C508" s="31"/>
      <c r="D508" s="31"/>
      <c r="E508" s="31"/>
      <c r="F508" s="31"/>
      <c r="G508" s="31"/>
      <c r="H508" s="31"/>
    </row>
    <row r="509" ht="15.75" customHeight="1">
      <c r="B509" s="31"/>
      <c r="C509" s="31"/>
      <c r="D509" s="31"/>
      <c r="E509" s="31"/>
      <c r="F509" s="31"/>
      <c r="G509" s="31"/>
      <c r="H509" s="31"/>
    </row>
    <row r="510" ht="15.75" customHeight="1">
      <c r="B510" s="31"/>
      <c r="C510" s="31"/>
      <c r="D510" s="31"/>
      <c r="E510" s="31"/>
      <c r="F510" s="31"/>
      <c r="G510" s="31"/>
      <c r="H510" s="31"/>
    </row>
    <row r="511" ht="15.75" customHeight="1">
      <c r="B511" s="31"/>
      <c r="C511" s="31"/>
      <c r="D511" s="31"/>
      <c r="E511" s="31"/>
      <c r="F511" s="31"/>
      <c r="G511" s="31"/>
      <c r="H511" s="31"/>
    </row>
    <row r="512" ht="15.75" customHeight="1">
      <c r="B512" s="31"/>
      <c r="C512" s="31"/>
      <c r="D512" s="31"/>
      <c r="E512" s="31"/>
      <c r="F512" s="31"/>
      <c r="G512" s="31"/>
      <c r="H512" s="31"/>
    </row>
    <row r="513" ht="15.75" customHeight="1">
      <c r="B513" s="31"/>
      <c r="C513" s="31"/>
      <c r="D513" s="31"/>
      <c r="E513" s="31"/>
      <c r="F513" s="31"/>
      <c r="G513" s="31"/>
      <c r="H513" s="31"/>
    </row>
    <row r="514" ht="15.75" customHeight="1">
      <c r="B514" s="31"/>
      <c r="C514" s="31"/>
      <c r="D514" s="31"/>
      <c r="E514" s="31"/>
      <c r="F514" s="31"/>
      <c r="G514" s="31"/>
      <c r="H514" s="31"/>
    </row>
    <row r="515" ht="15.75" customHeight="1">
      <c r="B515" s="31"/>
      <c r="C515" s="31"/>
      <c r="D515" s="31"/>
      <c r="E515" s="31"/>
      <c r="F515" s="31"/>
      <c r="G515" s="31"/>
      <c r="H515" s="31"/>
    </row>
    <row r="516" ht="15.75" customHeight="1">
      <c r="B516" s="31"/>
      <c r="C516" s="31"/>
      <c r="D516" s="31"/>
      <c r="E516" s="31"/>
      <c r="F516" s="31"/>
      <c r="G516" s="31"/>
      <c r="H516" s="31"/>
    </row>
    <row r="517" ht="15.75" customHeight="1">
      <c r="B517" s="31"/>
      <c r="C517" s="31"/>
      <c r="D517" s="31"/>
      <c r="E517" s="31"/>
      <c r="F517" s="31"/>
      <c r="G517" s="31"/>
      <c r="H517" s="31"/>
    </row>
    <row r="518" ht="15.75" customHeight="1">
      <c r="B518" s="31"/>
      <c r="C518" s="31"/>
      <c r="D518" s="31"/>
      <c r="E518" s="31"/>
      <c r="F518" s="31"/>
      <c r="G518" s="31"/>
      <c r="H518" s="31"/>
    </row>
    <row r="519" ht="15.75" customHeight="1">
      <c r="B519" s="31"/>
      <c r="C519" s="31"/>
      <c r="D519" s="31"/>
      <c r="E519" s="31"/>
      <c r="F519" s="31"/>
      <c r="G519" s="31"/>
      <c r="H519" s="31"/>
    </row>
    <row r="520" ht="15.75" customHeight="1">
      <c r="B520" s="31"/>
      <c r="C520" s="31"/>
      <c r="D520" s="31"/>
      <c r="E520" s="31"/>
      <c r="F520" s="31"/>
      <c r="G520" s="31"/>
      <c r="H520" s="31"/>
    </row>
    <row r="521" ht="15.75" customHeight="1">
      <c r="B521" s="31"/>
      <c r="C521" s="31"/>
      <c r="D521" s="31"/>
      <c r="E521" s="31"/>
      <c r="F521" s="31"/>
      <c r="G521" s="31"/>
      <c r="H521" s="31"/>
    </row>
    <row r="522" ht="15.75" customHeight="1">
      <c r="B522" s="31"/>
      <c r="C522" s="31"/>
      <c r="D522" s="31"/>
      <c r="E522" s="31"/>
      <c r="F522" s="31"/>
      <c r="G522" s="31"/>
      <c r="H522" s="31"/>
    </row>
    <row r="523" ht="15.75" customHeight="1">
      <c r="B523" s="31"/>
      <c r="C523" s="31"/>
      <c r="D523" s="31"/>
      <c r="E523" s="31"/>
      <c r="F523" s="31"/>
      <c r="G523" s="31"/>
      <c r="H523" s="31"/>
    </row>
    <row r="524" ht="15.75" customHeight="1">
      <c r="B524" s="31"/>
      <c r="C524" s="31"/>
      <c r="D524" s="31"/>
      <c r="E524" s="31"/>
      <c r="F524" s="31"/>
      <c r="G524" s="31"/>
      <c r="H524" s="31"/>
    </row>
    <row r="525" ht="15.75" customHeight="1">
      <c r="B525" s="31"/>
      <c r="C525" s="31"/>
      <c r="D525" s="31"/>
      <c r="E525" s="31"/>
      <c r="F525" s="31"/>
      <c r="G525" s="31"/>
      <c r="H525" s="31"/>
    </row>
    <row r="526" ht="15.75" customHeight="1">
      <c r="B526" s="31"/>
      <c r="C526" s="31"/>
      <c r="D526" s="31"/>
      <c r="E526" s="31"/>
      <c r="F526" s="31"/>
      <c r="G526" s="31"/>
      <c r="H526" s="31"/>
    </row>
    <row r="527" ht="15.75" customHeight="1">
      <c r="B527" s="31"/>
      <c r="C527" s="31"/>
      <c r="D527" s="31"/>
      <c r="E527" s="31"/>
      <c r="F527" s="31"/>
      <c r="G527" s="31"/>
      <c r="H527" s="31"/>
    </row>
    <row r="528" ht="15.75" customHeight="1">
      <c r="B528" s="31"/>
      <c r="C528" s="31"/>
      <c r="D528" s="31"/>
      <c r="E528" s="31"/>
      <c r="F528" s="31"/>
      <c r="G528" s="31"/>
      <c r="H528" s="31"/>
    </row>
    <row r="529" ht="15.75" customHeight="1">
      <c r="B529" s="31"/>
      <c r="C529" s="31"/>
      <c r="D529" s="31"/>
      <c r="E529" s="31"/>
      <c r="F529" s="31"/>
      <c r="G529" s="31"/>
      <c r="H529" s="31"/>
    </row>
    <row r="530" ht="15.75" customHeight="1">
      <c r="B530" s="31"/>
      <c r="C530" s="31"/>
      <c r="D530" s="31"/>
      <c r="E530" s="31"/>
      <c r="F530" s="31"/>
      <c r="G530" s="31"/>
      <c r="H530" s="31"/>
    </row>
    <row r="531" ht="15.75" customHeight="1">
      <c r="B531" s="31"/>
      <c r="C531" s="31"/>
      <c r="D531" s="31"/>
      <c r="E531" s="31"/>
      <c r="F531" s="31"/>
      <c r="G531" s="31"/>
      <c r="H531" s="31"/>
    </row>
    <row r="532" ht="15.75" customHeight="1">
      <c r="B532" s="31"/>
      <c r="C532" s="31"/>
      <c r="D532" s="31"/>
      <c r="E532" s="31"/>
      <c r="F532" s="31"/>
      <c r="G532" s="31"/>
      <c r="H532" s="31"/>
    </row>
    <row r="533" ht="15.75" customHeight="1">
      <c r="B533" s="31"/>
      <c r="C533" s="31"/>
      <c r="D533" s="31"/>
      <c r="E533" s="31"/>
      <c r="F533" s="31"/>
      <c r="G533" s="31"/>
      <c r="H533" s="31"/>
    </row>
    <row r="534" ht="15.75" customHeight="1">
      <c r="B534" s="31"/>
      <c r="C534" s="31"/>
      <c r="D534" s="31"/>
      <c r="E534" s="31"/>
      <c r="F534" s="31"/>
      <c r="G534" s="31"/>
      <c r="H534" s="31"/>
    </row>
    <row r="535" ht="15.75" customHeight="1">
      <c r="B535" s="31"/>
      <c r="C535" s="31"/>
      <c r="D535" s="31"/>
      <c r="E535" s="31"/>
      <c r="F535" s="31"/>
      <c r="G535" s="31"/>
      <c r="H535" s="31"/>
    </row>
    <row r="536" ht="15.75" customHeight="1">
      <c r="B536" s="31"/>
      <c r="C536" s="31"/>
      <c r="D536" s="31"/>
      <c r="E536" s="31"/>
      <c r="F536" s="31"/>
      <c r="G536" s="31"/>
      <c r="H536" s="31"/>
    </row>
    <row r="537" ht="15.75" customHeight="1">
      <c r="B537" s="31"/>
      <c r="C537" s="31"/>
      <c r="D537" s="31"/>
      <c r="E537" s="31"/>
      <c r="F537" s="31"/>
      <c r="G537" s="31"/>
      <c r="H537" s="31"/>
    </row>
    <row r="538" ht="15.75" customHeight="1">
      <c r="B538" s="31"/>
      <c r="C538" s="31"/>
      <c r="D538" s="31"/>
      <c r="E538" s="31"/>
      <c r="F538" s="31"/>
      <c r="G538" s="31"/>
      <c r="H538" s="31"/>
    </row>
    <row r="539" ht="15.75" customHeight="1">
      <c r="B539" s="31"/>
      <c r="C539" s="31"/>
      <c r="D539" s="31"/>
      <c r="E539" s="31"/>
      <c r="F539" s="31"/>
      <c r="G539" s="31"/>
      <c r="H539" s="31"/>
    </row>
    <row r="540" ht="15.75" customHeight="1">
      <c r="B540" s="31"/>
      <c r="C540" s="31"/>
      <c r="D540" s="31"/>
      <c r="E540" s="31"/>
      <c r="F540" s="31"/>
      <c r="G540" s="31"/>
      <c r="H540" s="31"/>
    </row>
    <row r="541" ht="15.75" customHeight="1">
      <c r="B541" s="31"/>
      <c r="C541" s="31"/>
      <c r="D541" s="31"/>
      <c r="E541" s="31"/>
      <c r="F541" s="31"/>
      <c r="G541" s="31"/>
      <c r="H541" s="31"/>
    </row>
    <row r="542" ht="15.75" customHeight="1">
      <c r="B542" s="31"/>
      <c r="C542" s="31"/>
      <c r="D542" s="31"/>
      <c r="E542" s="31"/>
      <c r="F542" s="31"/>
      <c r="G542" s="31"/>
      <c r="H542" s="31"/>
    </row>
    <row r="543" ht="15.75" customHeight="1">
      <c r="B543" s="31"/>
      <c r="C543" s="31"/>
      <c r="D543" s="31"/>
      <c r="E543" s="31"/>
      <c r="F543" s="31"/>
      <c r="G543" s="31"/>
      <c r="H543" s="31"/>
    </row>
    <row r="544" ht="15.75" customHeight="1">
      <c r="B544" s="31"/>
      <c r="C544" s="31"/>
      <c r="D544" s="31"/>
      <c r="E544" s="31"/>
      <c r="F544" s="31"/>
      <c r="G544" s="31"/>
      <c r="H544" s="31"/>
    </row>
    <row r="545" ht="15.75" customHeight="1">
      <c r="B545" s="31"/>
      <c r="C545" s="31"/>
      <c r="D545" s="31"/>
      <c r="E545" s="31"/>
      <c r="F545" s="31"/>
      <c r="G545" s="31"/>
      <c r="H545" s="31"/>
    </row>
    <row r="546" ht="15.75" customHeight="1">
      <c r="B546" s="31"/>
      <c r="C546" s="31"/>
      <c r="D546" s="31"/>
      <c r="E546" s="31"/>
      <c r="F546" s="31"/>
      <c r="G546" s="31"/>
      <c r="H546" s="31"/>
    </row>
    <row r="547" ht="15.75" customHeight="1">
      <c r="B547" s="31"/>
      <c r="C547" s="31"/>
      <c r="D547" s="31"/>
      <c r="E547" s="31"/>
      <c r="F547" s="31"/>
      <c r="G547" s="31"/>
      <c r="H547" s="31"/>
    </row>
    <row r="548" ht="15.75" customHeight="1">
      <c r="B548" s="31"/>
      <c r="C548" s="31"/>
      <c r="D548" s="31"/>
      <c r="E548" s="31"/>
      <c r="F548" s="31"/>
      <c r="G548" s="31"/>
      <c r="H548" s="31"/>
    </row>
    <row r="549" ht="15.75" customHeight="1">
      <c r="B549" s="31"/>
      <c r="C549" s="31"/>
      <c r="D549" s="31"/>
      <c r="E549" s="31"/>
      <c r="F549" s="31"/>
      <c r="G549" s="31"/>
      <c r="H549" s="31"/>
    </row>
    <row r="550" ht="15.75" customHeight="1">
      <c r="B550" s="31"/>
      <c r="C550" s="31"/>
      <c r="D550" s="31"/>
      <c r="E550" s="31"/>
      <c r="F550" s="31"/>
      <c r="G550" s="31"/>
      <c r="H550" s="31"/>
    </row>
    <row r="551" ht="15.75" customHeight="1">
      <c r="B551" s="31"/>
      <c r="C551" s="31"/>
      <c r="D551" s="31"/>
      <c r="E551" s="31"/>
      <c r="F551" s="31"/>
      <c r="G551" s="31"/>
      <c r="H551" s="31"/>
    </row>
    <row r="552" ht="15.75" customHeight="1">
      <c r="B552" s="31"/>
      <c r="C552" s="31"/>
      <c r="D552" s="31"/>
      <c r="E552" s="31"/>
      <c r="F552" s="31"/>
      <c r="G552" s="31"/>
      <c r="H552" s="31"/>
    </row>
    <row r="553" ht="15.75" customHeight="1">
      <c r="B553" s="31"/>
      <c r="C553" s="31"/>
      <c r="D553" s="31"/>
      <c r="E553" s="31"/>
      <c r="F553" s="31"/>
      <c r="G553" s="31"/>
      <c r="H553" s="31"/>
    </row>
    <row r="554" ht="15.75" customHeight="1">
      <c r="B554" s="31"/>
      <c r="C554" s="31"/>
      <c r="D554" s="31"/>
      <c r="E554" s="31"/>
      <c r="F554" s="31"/>
      <c r="G554" s="31"/>
      <c r="H554" s="31"/>
    </row>
    <row r="555" ht="15.75" customHeight="1">
      <c r="B555" s="31"/>
      <c r="C555" s="31"/>
      <c r="D555" s="31"/>
      <c r="E555" s="31"/>
      <c r="F555" s="31"/>
      <c r="G555" s="31"/>
      <c r="H555" s="31"/>
    </row>
    <row r="556" ht="15.75" customHeight="1">
      <c r="B556" s="31"/>
      <c r="C556" s="31"/>
      <c r="D556" s="31"/>
      <c r="E556" s="31"/>
      <c r="F556" s="31"/>
      <c r="G556" s="31"/>
      <c r="H556" s="31"/>
    </row>
    <row r="557" ht="15.75" customHeight="1">
      <c r="B557" s="31"/>
      <c r="C557" s="31"/>
      <c r="D557" s="31"/>
      <c r="E557" s="31"/>
      <c r="F557" s="31"/>
      <c r="G557" s="31"/>
      <c r="H557" s="31"/>
    </row>
    <row r="558" ht="15.75" customHeight="1">
      <c r="B558" s="31"/>
      <c r="C558" s="31"/>
      <c r="D558" s="31"/>
      <c r="E558" s="31"/>
      <c r="F558" s="31"/>
      <c r="G558" s="31"/>
      <c r="H558" s="31"/>
    </row>
    <row r="559" ht="15.75" customHeight="1">
      <c r="B559" s="31"/>
      <c r="C559" s="31"/>
      <c r="D559" s="31"/>
      <c r="E559" s="31"/>
      <c r="F559" s="31"/>
      <c r="G559" s="31"/>
      <c r="H559" s="31"/>
    </row>
    <row r="560" ht="15.75" customHeight="1">
      <c r="B560" s="31"/>
      <c r="C560" s="31"/>
      <c r="D560" s="31"/>
      <c r="E560" s="31"/>
      <c r="F560" s="31"/>
      <c r="G560" s="31"/>
      <c r="H560" s="31"/>
    </row>
    <row r="561" ht="15.75" customHeight="1">
      <c r="B561" s="31"/>
      <c r="C561" s="31"/>
      <c r="D561" s="31"/>
      <c r="E561" s="31"/>
      <c r="F561" s="31"/>
      <c r="G561" s="31"/>
      <c r="H561" s="31"/>
    </row>
    <row r="562" ht="15.75" customHeight="1">
      <c r="B562" s="31"/>
      <c r="C562" s="31"/>
      <c r="D562" s="31"/>
      <c r="E562" s="31"/>
      <c r="F562" s="31"/>
      <c r="G562" s="31"/>
      <c r="H562" s="31"/>
    </row>
    <row r="563" ht="15.75" customHeight="1">
      <c r="B563" s="31"/>
      <c r="C563" s="31"/>
      <c r="D563" s="31"/>
      <c r="E563" s="31"/>
      <c r="F563" s="31"/>
      <c r="G563" s="31"/>
      <c r="H563" s="31"/>
    </row>
    <row r="564" ht="15.75" customHeight="1">
      <c r="B564" s="31"/>
      <c r="C564" s="31"/>
      <c r="D564" s="31"/>
      <c r="E564" s="31"/>
      <c r="F564" s="31"/>
      <c r="G564" s="31"/>
      <c r="H564" s="31"/>
    </row>
    <row r="565" ht="15.75" customHeight="1">
      <c r="B565" s="31"/>
      <c r="C565" s="31"/>
      <c r="D565" s="31"/>
      <c r="E565" s="31"/>
      <c r="F565" s="31"/>
      <c r="G565" s="31"/>
      <c r="H565" s="31"/>
    </row>
    <row r="566" ht="15.75" customHeight="1">
      <c r="B566" s="31"/>
      <c r="C566" s="31"/>
      <c r="D566" s="31"/>
      <c r="E566" s="31"/>
      <c r="F566" s="31"/>
      <c r="G566" s="31"/>
      <c r="H566" s="31"/>
    </row>
    <row r="567" ht="15.75" customHeight="1">
      <c r="B567" s="31"/>
      <c r="C567" s="31"/>
      <c r="D567" s="31"/>
      <c r="E567" s="31"/>
      <c r="F567" s="31"/>
      <c r="G567" s="31"/>
      <c r="H567" s="31"/>
    </row>
    <row r="568" ht="15.75" customHeight="1">
      <c r="B568" s="31"/>
      <c r="C568" s="31"/>
      <c r="D568" s="31"/>
      <c r="E568" s="31"/>
      <c r="F568" s="31"/>
      <c r="G568" s="31"/>
      <c r="H568" s="31"/>
    </row>
    <row r="569" ht="15.75" customHeight="1">
      <c r="B569" s="31"/>
      <c r="C569" s="31"/>
      <c r="D569" s="31"/>
      <c r="E569" s="31"/>
      <c r="F569" s="31"/>
      <c r="G569" s="31"/>
      <c r="H569" s="31"/>
    </row>
    <row r="570" ht="15.75" customHeight="1">
      <c r="B570" s="31"/>
      <c r="C570" s="31"/>
      <c r="D570" s="31"/>
      <c r="E570" s="31"/>
      <c r="F570" s="31"/>
      <c r="G570" s="31"/>
      <c r="H570" s="31"/>
    </row>
    <row r="571" ht="15.75" customHeight="1">
      <c r="B571" s="31"/>
      <c r="C571" s="31"/>
      <c r="D571" s="31"/>
      <c r="E571" s="31"/>
      <c r="F571" s="31"/>
      <c r="G571" s="31"/>
      <c r="H571" s="31"/>
    </row>
    <row r="572" ht="15.75" customHeight="1">
      <c r="B572" s="31"/>
      <c r="C572" s="31"/>
      <c r="D572" s="31"/>
      <c r="E572" s="31"/>
      <c r="F572" s="31"/>
      <c r="G572" s="31"/>
      <c r="H572" s="31"/>
    </row>
    <row r="573" ht="15.75" customHeight="1">
      <c r="B573" s="31"/>
      <c r="C573" s="31"/>
      <c r="D573" s="31"/>
      <c r="E573" s="31"/>
      <c r="F573" s="31"/>
      <c r="G573" s="31"/>
      <c r="H573" s="31"/>
    </row>
    <row r="574" ht="15.75" customHeight="1">
      <c r="B574" s="31"/>
      <c r="C574" s="31"/>
      <c r="D574" s="31"/>
      <c r="E574" s="31"/>
      <c r="F574" s="31"/>
      <c r="G574" s="31"/>
      <c r="H574" s="31"/>
    </row>
    <row r="575" ht="15.75" customHeight="1">
      <c r="B575" s="31"/>
      <c r="C575" s="31"/>
      <c r="D575" s="31"/>
      <c r="E575" s="31"/>
      <c r="F575" s="31"/>
      <c r="G575" s="31"/>
      <c r="H575" s="31"/>
    </row>
    <row r="576" ht="15.75" customHeight="1">
      <c r="B576" s="31"/>
      <c r="C576" s="31"/>
      <c r="D576" s="31"/>
      <c r="E576" s="31"/>
      <c r="F576" s="31"/>
      <c r="G576" s="31"/>
      <c r="H576" s="31"/>
    </row>
    <row r="577" ht="15.75" customHeight="1">
      <c r="B577" s="31"/>
      <c r="C577" s="31"/>
      <c r="D577" s="31"/>
      <c r="E577" s="31"/>
      <c r="F577" s="31"/>
      <c r="G577" s="31"/>
      <c r="H577" s="31"/>
    </row>
    <row r="578" ht="15.75" customHeight="1">
      <c r="B578" s="31"/>
      <c r="C578" s="31"/>
      <c r="D578" s="31"/>
      <c r="E578" s="31"/>
      <c r="F578" s="31"/>
      <c r="G578" s="31"/>
      <c r="H578" s="31"/>
    </row>
    <row r="579" ht="15.75" customHeight="1">
      <c r="B579" s="31"/>
      <c r="C579" s="31"/>
      <c r="D579" s="31"/>
      <c r="E579" s="31"/>
      <c r="F579" s="31"/>
      <c r="G579" s="31"/>
      <c r="H579" s="31"/>
    </row>
    <row r="580" ht="15.75" customHeight="1">
      <c r="B580" s="31"/>
      <c r="C580" s="31"/>
      <c r="D580" s="31"/>
      <c r="E580" s="31"/>
      <c r="F580" s="31"/>
      <c r="G580" s="31"/>
      <c r="H580" s="31"/>
    </row>
    <row r="581" ht="15.75" customHeight="1">
      <c r="B581" s="31"/>
      <c r="C581" s="31"/>
      <c r="D581" s="31"/>
      <c r="E581" s="31"/>
      <c r="F581" s="31"/>
      <c r="G581" s="31"/>
      <c r="H581" s="31"/>
    </row>
    <row r="582" ht="15.75" customHeight="1">
      <c r="B582" s="31"/>
      <c r="C582" s="31"/>
      <c r="D582" s="31"/>
      <c r="E582" s="31"/>
      <c r="F582" s="31"/>
      <c r="G582" s="31"/>
      <c r="H582" s="31"/>
    </row>
    <row r="583" ht="15.75" customHeight="1">
      <c r="B583" s="31"/>
      <c r="C583" s="31"/>
      <c r="D583" s="31"/>
      <c r="E583" s="31"/>
      <c r="F583" s="31"/>
      <c r="G583" s="31"/>
      <c r="H583" s="31"/>
    </row>
    <row r="584" ht="15.75" customHeight="1">
      <c r="B584" s="31"/>
      <c r="C584" s="31"/>
      <c r="D584" s="31"/>
      <c r="E584" s="31"/>
      <c r="F584" s="31"/>
      <c r="G584" s="31"/>
      <c r="H584" s="31"/>
    </row>
    <row r="585" ht="15.75" customHeight="1">
      <c r="B585" s="31"/>
      <c r="C585" s="31"/>
      <c r="D585" s="31"/>
      <c r="E585" s="31"/>
      <c r="F585" s="31"/>
      <c r="G585" s="31"/>
      <c r="H585" s="31"/>
    </row>
    <row r="586" ht="15.75" customHeight="1">
      <c r="B586" s="31"/>
      <c r="C586" s="31"/>
      <c r="D586" s="31"/>
      <c r="E586" s="31"/>
      <c r="F586" s="31"/>
      <c r="G586" s="31"/>
      <c r="H586" s="31"/>
    </row>
    <row r="587" ht="15.75" customHeight="1">
      <c r="B587" s="31"/>
      <c r="C587" s="31"/>
      <c r="D587" s="31"/>
      <c r="E587" s="31"/>
      <c r="F587" s="31"/>
      <c r="G587" s="31"/>
      <c r="H587" s="31"/>
    </row>
    <row r="588" ht="15.75" customHeight="1">
      <c r="B588" s="31"/>
      <c r="C588" s="31"/>
      <c r="D588" s="31"/>
      <c r="E588" s="31"/>
      <c r="F588" s="31"/>
      <c r="G588" s="31"/>
      <c r="H588" s="31"/>
    </row>
    <row r="589" ht="15.75" customHeight="1">
      <c r="B589" s="31"/>
      <c r="C589" s="31"/>
      <c r="D589" s="31"/>
      <c r="E589" s="31"/>
      <c r="F589" s="31"/>
      <c r="G589" s="31"/>
      <c r="H589" s="31"/>
    </row>
    <row r="590" ht="15.75" customHeight="1">
      <c r="B590" s="31"/>
      <c r="C590" s="31"/>
      <c r="D590" s="31"/>
      <c r="E590" s="31"/>
      <c r="F590" s="31"/>
      <c r="G590" s="31"/>
      <c r="H590" s="31"/>
    </row>
    <row r="591" ht="15.75" customHeight="1">
      <c r="B591" s="31"/>
      <c r="C591" s="31"/>
      <c r="D591" s="31"/>
      <c r="E591" s="31"/>
      <c r="F591" s="31"/>
      <c r="G591" s="31"/>
      <c r="H591" s="31"/>
    </row>
    <row r="592" ht="15.75" customHeight="1">
      <c r="B592" s="31"/>
      <c r="C592" s="31"/>
      <c r="D592" s="31"/>
      <c r="E592" s="31"/>
      <c r="F592" s="31"/>
      <c r="G592" s="31"/>
      <c r="H592" s="31"/>
    </row>
    <row r="593" ht="15.75" customHeight="1">
      <c r="B593" s="31"/>
      <c r="C593" s="31"/>
      <c r="D593" s="31"/>
      <c r="E593" s="31"/>
      <c r="F593" s="31"/>
      <c r="G593" s="31"/>
      <c r="H593" s="31"/>
    </row>
    <row r="594" ht="15.75" customHeight="1">
      <c r="B594" s="31"/>
      <c r="C594" s="31"/>
      <c r="D594" s="31"/>
      <c r="E594" s="31"/>
      <c r="F594" s="31"/>
      <c r="G594" s="31"/>
      <c r="H594" s="31"/>
    </row>
    <row r="595" ht="15.75" customHeight="1">
      <c r="B595" s="31"/>
      <c r="C595" s="31"/>
      <c r="D595" s="31"/>
      <c r="E595" s="31"/>
      <c r="F595" s="31"/>
      <c r="G595" s="31"/>
      <c r="H595" s="31"/>
    </row>
    <row r="596" ht="15.75" customHeight="1">
      <c r="B596" s="31"/>
      <c r="C596" s="31"/>
      <c r="D596" s="31"/>
      <c r="E596" s="31"/>
      <c r="F596" s="31"/>
      <c r="G596" s="31"/>
      <c r="H596" s="31"/>
    </row>
    <row r="597" ht="15.75" customHeight="1">
      <c r="B597" s="31"/>
      <c r="C597" s="31"/>
      <c r="D597" s="31"/>
      <c r="E597" s="31"/>
      <c r="F597" s="31"/>
      <c r="G597" s="31"/>
      <c r="H597" s="31"/>
    </row>
    <row r="598" ht="15.75" customHeight="1">
      <c r="B598" s="31"/>
      <c r="C598" s="31"/>
      <c r="D598" s="31"/>
      <c r="E598" s="31"/>
      <c r="F598" s="31"/>
      <c r="G598" s="31"/>
      <c r="H598" s="31"/>
    </row>
    <row r="599" ht="15.75" customHeight="1">
      <c r="B599" s="31"/>
      <c r="C599" s="31"/>
      <c r="D599" s="31"/>
      <c r="E599" s="31"/>
      <c r="F599" s="31"/>
      <c r="G599" s="31"/>
      <c r="H599" s="31"/>
    </row>
    <row r="600" ht="15.75" customHeight="1">
      <c r="B600" s="31"/>
      <c r="C600" s="31"/>
      <c r="D600" s="31"/>
      <c r="E600" s="31"/>
      <c r="F600" s="31"/>
      <c r="G600" s="31"/>
      <c r="H600" s="31"/>
    </row>
    <row r="601" ht="15.75" customHeight="1">
      <c r="B601" s="31"/>
      <c r="C601" s="31"/>
      <c r="D601" s="31"/>
      <c r="E601" s="31"/>
      <c r="F601" s="31"/>
      <c r="G601" s="31"/>
      <c r="H601" s="31"/>
    </row>
    <row r="602" ht="15.75" customHeight="1">
      <c r="B602" s="31"/>
      <c r="C602" s="31"/>
      <c r="D602" s="31"/>
      <c r="E602" s="31"/>
      <c r="F602" s="31"/>
      <c r="G602" s="31"/>
      <c r="H602" s="31"/>
    </row>
    <row r="603" ht="15.75" customHeight="1">
      <c r="B603" s="31"/>
      <c r="C603" s="31"/>
      <c r="D603" s="31"/>
      <c r="E603" s="31"/>
      <c r="F603" s="31"/>
      <c r="G603" s="31"/>
      <c r="H603" s="31"/>
    </row>
    <row r="604" ht="15.75" customHeight="1">
      <c r="B604" s="31"/>
      <c r="C604" s="31"/>
      <c r="D604" s="31"/>
      <c r="E604" s="31"/>
      <c r="F604" s="31"/>
      <c r="G604" s="31"/>
      <c r="H604" s="31"/>
    </row>
    <row r="605" ht="15.75" customHeight="1">
      <c r="B605" s="31"/>
      <c r="C605" s="31"/>
      <c r="D605" s="31"/>
      <c r="E605" s="31"/>
      <c r="F605" s="31"/>
      <c r="G605" s="31"/>
      <c r="H605" s="31"/>
    </row>
    <row r="606" ht="15.75" customHeight="1">
      <c r="B606" s="31"/>
      <c r="C606" s="31"/>
      <c r="D606" s="31"/>
      <c r="E606" s="31"/>
      <c r="F606" s="31"/>
      <c r="G606" s="31"/>
      <c r="H606" s="31"/>
    </row>
    <row r="607" ht="15.75" customHeight="1">
      <c r="B607" s="31"/>
      <c r="C607" s="31"/>
      <c r="D607" s="31"/>
      <c r="E607" s="31"/>
      <c r="F607" s="31"/>
      <c r="G607" s="31"/>
      <c r="H607" s="31"/>
    </row>
    <row r="608" ht="15.75" customHeight="1">
      <c r="B608" s="31"/>
      <c r="C608" s="31"/>
      <c r="D608" s="31"/>
      <c r="E608" s="31"/>
      <c r="F608" s="31"/>
      <c r="G608" s="31"/>
      <c r="H608" s="31"/>
    </row>
    <row r="609" ht="15.75" customHeight="1">
      <c r="B609" s="31"/>
      <c r="C609" s="31"/>
      <c r="D609" s="31"/>
      <c r="E609" s="31"/>
      <c r="F609" s="31"/>
      <c r="G609" s="31"/>
      <c r="H609" s="31"/>
    </row>
    <row r="610" ht="15.75" customHeight="1">
      <c r="B610" s="31"/>
      <c r="C610" s="31"/>
      <c r="D610" s="31"/>
      <c r="E610" s="31"/>
      <c r="F610" s="31"/>
      <c r="G610" s="31"/>
      <c r="H610" s="31"/>
    </row>
    <row r="611" ht="15.75" customHeight="1">
      <c r="B611" s="31"/>
      <c r="C611" s="31"/>
      <c r="D611" s="31"/>
      <c r="E611" s="31"/>
      <c r="F611" s="31"/>
      <c r="G611" s="31"/>
      <c r="H611" s="31"/>
    </row>
    <row r="612" ht="15.75" customHeight="1">
      <c r="B612" s="31"/>
      <c r="C612" s="31"/>
      <c r="D612" s="31"/>
      <c r="E612" s="31"/>
      <c r="F612" s="31"/>
      <c r="G612" s="31"/>
      <c r="H612" s="31"/>
    </row>
    <row r="613" ht="15.75" customHeight="1">
      <c r="B613" s="31"/>
      <c r="C613" s="31"/>
      <c r="D613" s="31"/>
      <c r="E613" s="31"/>
      <c r="F613" s="31"/>
      <c r="G613" s="31"/>
      <c r="H613" s="31"/>
    </row>
    <row r="614" ht="15.75" customHeight="1">
      <c r="B614" s="31"/>
      <c r="C614" s="31"/>
      <c r="D614" s="31"/>
      <c r="E614" s="31"/>
      <c r="F614" s="31"/>
      <c r="G614" s="31"/>
      <c r="H614" s="31"/>
    </row>
    <row r="615" ht="15.75" customHeight="1">
      <c r="B615" s="31"/>
      <c r="C615" s="31"/>
      <c r="D615" s="31"/>
      <c r="E615" s="31"/>
      <c r="F615" s="31"/>
      <c r="G615" s="31"/>
      <c r="H615" s="31"/>
    </row>
    <row r="616" ht="15.75" customHeight="1">
      <c r="B616" s="31"/>
      <c r="C616" s="31"/>
      <c r="D616" s="31"/>
      <c r="E616" s="31"/>
      <c r="F616" s="31"/>
      <c r="G616" s="31"/>
      <c r="H616" s="31"/>
    </row>
    <row r="617" ht="15.75" customHeight="1">
      <c r="B617" s="31"/>
      <c r="C617" s="31"/>
      <c r="D617" s="31"/>
      <c r="E617" s="31"/>
      <c r="F617" s="31"/>
      <c r="G617" s="31"/>
      <c r="H617" s="31"/>
    </row>
    <row r="618" ht="15.75" customHeight="1">
      <c r="B618" s="31"/>
      <c r="C618" s="31"/>
      <c r="D618" s="31"/>
      <c r="E618" s="31"/>
      <c r="F618" s="31"/>
      <c r="G618" s="31"/>
      <c r="H618" s="31"/>
    </row>
    <row r="619" ht="15.75" customHeight="1">
      <c r="B619" s="31"/>
      <c r="C619" s="31"/>
      <c r="D619" s="31"/>
      <c r="E619" s="31"/>
      <c r="F619" s="31"/>
      <c r="G619" s="31"/>
      <c r="H619" s="31"/>
    </row>
    <row r="620" ht="15.75" customHeight="1">
      <c r="B620" s="31"/>
      <c r="C620" s="31"/>
      <c r="D620" s="31"/>
      <c r="E620" s="31"/>
      <c r="F620" s="31"/>
      <c r="G620" s="31"/>
      <c r="H620" s="31"/>
    </row>
    <row r="621" ht="15.75" customHeight="1">
      <c r="B621" s="31"/>
      <c r="C621" s="31"/>
      <c r="D621" s="31"/>
      <c r="E621" s="31"/>
      <c r="F621" s="31"/>
      <c r="G621" s="31"/>
      <c r="H621" s="31"/>
    </row>
    <row r="622" ht="15.75" customHeight="1">
      <c r="B622" s="31"/>
      <c r="C622" s="31"/>
      <c r="D622" s="31"/>
      <c r="E622" s="31"/>
      <c r="F622" s="31"/>
      <c r="G622" s="31"/>
      <c r="H622" s="31"/>
    </row>
    <row r="623" ht="15.75" customHeight="1">
      <c r="B623" s="31"/>
      <c r="C623" s="31"/>
      <c r="D623" s="31"/>
      <c r="E623" s="31"/>
      <c r="F623" s="31"/>
      <c r="G623" s="31"/>
      <c r="H623" s="31"/>
    </row>
    <row r="624" ht="15.75" customHeight="1">
      <c r="B624" s="31"/>
      <c r="C624" s="31"/>
      <c r="D624" s="31"/>
      <c r="E624" s="31"/>
      <c r="F624" s="31"/>
      <c r="G624" s="31"/>
      <c r="H624" s="31"/>
    </row>
    <row r="625" ht="15.75" customHeight="1">
      <c r="B625" s="31"/>
      <c r="C625" s="31"/>
      <c r="D625" s="31"/>
      <c r="E625" s="31"/>
      <c r="F625" s="31"/>
      <c r="G625" s="31"/>
      <c r="H625" s="31"/>
    </row>
    <row r="626" ht="15.75" customHeight="1">
      <c r="B626" s="31"/>
      <c r="C626" s="31"/>
      <c r="D626" s="31"/>
      <c r="E626" s="31"/>
      <c r="F626" s="31"/>
      <c r="G626" s="31"/>
      <c r="H626" s="31"/>
    </row>
    <row r="627" ht="15.75" customHeight="1">
      <c r="B627" s="31"/>
      <c r="C627" s="31"/>
      <c r="D627" s="31"/>
      <c r="E627" s="31"/>
      <c r="F627" s="31"/>
      <c r="G627" s="31"/>
      <c r="H627" s="31"/>
    </row>
    <row r="628" ht="15.75" customHeight="1">
      <c r="B628" s="31"/>
      <c r="C628" s="31"/>
      <c r="D628" s="31"/>
      <c r="E628" s="31"/>
      <c r="F628" s="31"/>
      <c r="G628" s="31"/>
      <c r="H628" s="31"/>
    </row>
    <row r="629" ht="15.75" customHeight="1">
      <c r="B629" s="31"/>
      <c r="C629" s="31"/>
      <c r="D629" s="31"/>
      <c r="E629" s="31"/>
      <c r="F629" s="31"/>
      <c r="G629" s="31"/>
      <c r="H629" s="31"/>
    </row>
    <row r="630" ht="15.75" customHeight="1">
      <c r="B630" s="31"/>
      <c r="C630" s="31"/>
      <c r="D630" s="31"/>
      <c r="E630" s="31"/>
      <c r="F630" s="31"/>
      <c r="G630" s="31"/>
      <c r="H630" s="31"/>
    </row>
    <row r="631" ht="15.75" customHeight="1">
      <c r="B631" s="31"/>
      <c r="C631" s="31"/>
      <c r="D631" s="31"/>
      <c r="E631" s="31"/>
      <c r="F631" s="31"/>
      <c r="G631" s="31"/>
      <c r="H631" s="31"/>
    </row>
    <row r="632" ht="15.75" customHeight="1">
      <c r="B632" s="31"/>
      <c r="C632" s="31"/>
      <c r="D632" s="31"/>
      <c r="E632" s="31"/>
      <c r="F632" s="31"/>
      <c r="G632" s="31"/>
      <c r="H632" s="31"/>
    </row>
    <row r="633" ht="15.75" customHeight="1">
      <c r="B633" s="31"/>
      <c r="C633" s="31"/>
      <c r="D633" s="31"/>
      <c r="E633" s="31"/>
      <c r="F633" s="31"/>
      <c r="G633" s="31"/>
      <c r="H633" s="31"/>
    </row>
    <row r="634" ht="15.75" customHeight="1">
      <c r="B634" s="31"/>
      <c r="C634" s="31"/>
      <c r="D634" s="31"/>
      <c r="E634" s="31"/>
      <c r="F634" s="31"/>
      <c r="G634" s="31"/>
      <c r="H634" s="31"/>
    </row>
    <row r="635" ht="15.75" customHeight="1">
      <c r="B635" s="31"/>
      <c r="C635" s="31"/>
      <c r="D635" s="31"/>
      <c r="E635" s="31"/>
      <c r="F635" s="31"/>
      <c r="G635" s="31"/>
      <c r="H635" s="31"/>
    </row>
    <row r="636" ht="15.75" customHeight="1">
      <c r="B636" s="31"/>
      <c r="C636" s="31"/>
      <c r="D636" s="31"/>
      <c r="E636" s="31"/>
      <c r="F636" s="31"/>
      <c r="G636" s="31"/>
      <c r="H636" s="31"/>
    </row>
    <row r="637" ht="15.75" customHeight="1">
      <c r="B637" s="31"/>
      <c r="C637" s="31"/>
      <c r="D637" s="31"/>
      <c r="E637" s="31"/>
      <c r="F637" s="31"/>
      <c r="G637" s="31"/>
      <c r="H637" s="31"/>
    </row>
    <row r="638" ht="15.75" customHeight="1">
      <c r="B638" s="31"/>
      <c r="C638" s="31"/>
      <c r="D638" s="31"/>
      <c r="E638" s="31"/>
      <c r="F638" s="31"/>
      <c r="G638" s="31"/>
      <c r="H638" s="31"/>
    </row>
    <row r="639" ht="15.75" customHeight="1">
      <c r="B639" s="31"/>
      <c r="C639" s="31"/>
      <c r="D639" s="31"/>
      <c r="E639" s="31"/>
      <c r="F639" s="31"/>
      <c r="G639" s="31"/>
      <c r="H639" s="31"/>
    </row>
    <row r="640" ht="15.75" customHeight="1">
      <c r="B640" s="31"/>
      <c r="C640" s="31"/>
      <c r="D640" s="31"/>
      <c r="E640" s="31"/>
      <c r="F640" s="31"/>
      <c r="G640" s="31"/>
      <c r="H640" s="31"/>
    </row>
    <row r="641" ht="15.75" customHeight="1">
      <c r="B641" s="31"/>
      <c r="C641" s="31"/>
      <c r="D641" s="31"/>
      <c r="E641" s="31"/>
      <c r="F641" s="31"/>
      <c r="G641" s="31"/>
      <c r="H641" s="31"/>
    </row>
    <row r="642" ht="15.75" customHeight="1">
      <c r="B642" s="31"/>
      <c r="C642" s="31"/>
      <c r="D642" s="31"/>
      <c r="E642" s="31"/>
      <c r="F642" s="31"/>
      <c r="G642" s="31"/>
      <c r="H642" s="31"/>
    </row>
    <row r="643" ht="15.75" customHeight="1">
      <c r="B643" s="31"/>
      <c r="C643" s="31"/>
      <c r="D643" s="31"/>
      <c r="E643" s="31"/>
      <c r="F643" s="31"/>
      <c r="G643" s="31"/>
      <c r="H643" s="31"/>
    </row>
    <row r="644" ht="15.75" customHeight="1">
      <c r="B644" s="31"/>
      <c r="C644" s="31"/>
      <c r="D644" s="31"/>
      <c r="E644" s="31"/>
      <c r="F644" s="31"/>
      <c r="G644" s="31"/>
      <c r="H644" s="31"/>
    </row>
    <row r="645" ht="15.75" customHeight="1">
      <c r="B645" s="31"/>
      <c r="C645" s="31"/>
      <c r="D645" s="31"/>
      <c r="E645" s="31"/>
      <c r="F645" s="31"/>
      <c r="G645" s="31"/>
      <c r="H645" s="31"/>
    </row>
    <row r="646" ht="15.75" customHeight="1">
      <c r="B646" s="31"/>
      <c r="C646" s="31"/>
      <c r="D646" s="31"/>
      <c r="E646" s="31"/>
      <c r="F646" s="31"/>
      <c r="G646" s="31"/>
      <c r="H646" s="31"/>
    </row>
    <row r="647" ht="15.75" customHeight="1">
      <c r="B647" s="31"/>
      <c r="C647" s="31"/>
      <c r="D647" s="31"/>
      <c r="E647" s="31"/>
      <c r="F647" s="31"/>
      <c r="G647" s="31"/>
      <c r="H647" s="31"/>
    </row>
    <row r="648" ht="15.75" customHeight="1">
      <c r="B648" s="31"/>
      <c r="C648" s="31"/>
      <c r="D648" s="31"/>
      <c r="E648" s="31"/>
      <c r="F648" s="31"/>
      <c r="G648" s="31"/>
      <c r="H648" s="31"/>
    </row>
    <row r="649" ht="15.75" customHeight="1">
      <c r="B649" s="31"/>
      <c r="C649" s="31"/>
      <c r="D649" s="31"/>
      <c r="E649" s="31"/>
      <c r="F649" s="31"/>
      <c r="G649" s="31"/>
      <c r="H649" s="31"/>
    </row>
    <row r="650" ht="15.75" customHeight="1">
      <c r="B650" s="31"/>
      <c r="C650" s="31"/>
      <c r="D650" s="31"/>
      <c r="E650" s="31"/>
      <c r="F650" s="31"/>
      <c r="G650" s="31"/>
      <c r="H650" s="31"/>
    </row>
    <row r="651" ht="15.75" customHeight="1">
      <c r="B651" s="31"/>
      <c r="C651" s="31"/>
      <c r="D651" s="31"/>
      <c r="E651" s="31"/>
      <c r="F651" s="31"/>
      <c r="G651" s="31"/>
      <c r="H651" s="31"/>
    </row>
    <row r="652" ht="15.75" customHeight="1">
      <c r="B652" s="31"/>
      <c r="C652" s="31"/>
      <c r="D652" s="31"/>
      <c r="E652" s="31"/>
      <c r="F652" s="31"/>
      <c r="G652" s="31"/>
      <c r="H652" s="31"/>
    </row>
    <row r="653" ht="15.75" customHeight="1">
      <c r="B653" s="31"/>
      <c r="C653" s="31"/>
      <c r="D653" s="31"/>
      <c r="E653" s="31"/>
      <c r="F653" s="31"/>
      <c r="G653" s="31"/>
      <c r="H653" s="31"/>
    </row>
    <row r="654" ht="15.75" customHeight="1">
      <c r="B654" s="31"/>
      <c r="C654" s="31"/>
      <c r="D654" s="31"/>
      <c r="E654" s="31"/>
      <c r="F654" s="31"/>
      <c r="G654" s="31"/>
      <c r="H654" s="31"/>
    </row>
    <row r="655" ht="15.75" customHeight="1">
      <c r="B655" s="31"/>
      <c r="C655" s="31"/>
      <c r="D655" s="31"/>
      <c r="E655" s="31"/>
      <c r="F655" s="31"/>
      <c r="G655" s="31"/>
      <c r="H655" s="31"/>
    </row>
    <row r="656" ht="15.75" customHeight="1">
      <c r="B656" s="31"/>
      <c r="C656" s="31"/>
      <c r="D656" s="31"/>
      <c r="E656" s="31"/>
      <c r="F656" s="31"/>
      <c r="G656" s="31"/>
      <c r="H656" s="31"/>
    </row>
    <row r="657" ht="15.75" customHeight="1">
      <c r="B657" s="31"/>
      <c r="C657" s="31"/>
      <c r="D657" s="31"/>
      <c r="E657" s="31"/>
      <c r="F657" s="31"/>
      <c r="G657" s="31"/>
      <c r="H657" s="31"/>
    </row>
    <row r="658" ht="15.75" customHeight="1">
      <c r="B658" s="31"/>
      <c r="C658" s="31"/>
      <c r="D658" s="31"/>
      <c r="E658" s="31"/>
      <c r="F658" s="31"/>
      <c r="G658" s="31"/>
      <c r="H658" s="31"/>
    </row>
    <row r="659" ht="15.75" customHeight="1">
      <c r="B659" s="31"/>
      <c r="C659" s="31"/>
      <c r="D659" s="31"/>
      <c r="E659" s="31"/>
      <c r="F659" s="31"/>
      <c r="G659" s="31"/>
      <c r="H659" s="31"/>
    </row>
    <row r="660" ht="15.75" customHeight="1">
      <c r="B660" s="31"/>
      <c r="C660" s="31"/>
      <c r="D660" s="31"/>
      <c r="E660" s="31"/>
      <c r="F660" s="31"/>
      <c r="G660" s="31"/>
      <c r="H660" s="31"/>
    </row>
    <row r="661" ht="15.75" customHeight="1">
      <c r="B661" s="31"/>
      <c r="C661" s="31"/>
      <c r="D661" s="31"/>
      <c r="E661" s="31"/>
      <c r="F661" s="31"/>
      <c r="G661" s="31"/>
      <c r="H661" s="31"/>
    </row>
    <row r="662" ht="15.75" customHeight="1">
      <c r="B662" s="31"/>
      <c r="C662" s="31"/>
      <c r="D662" s="31"/>
      <c r="E662" s="31"/>
      <c r="F662" s="31"/>
      <c r="G662" s="31"/>
      <c r="H662" s="31"/>
    </row>
    <row r="663" ht="15.75" customHeight="1">
      <c r="B663" s="31"/>
      <c r="C663" s="31"/>
      <c r="D663" s="31"/>
      <c r="E663" s="31"/>
      <c r="F663" s="31"/>
      <c r="G663" s="31"/>
      <c r="H663" s="31"/>
    </row>
    <row r="664" ht="15.75" customHeight="1">
      <c r="B664" s="31"/>
      <c r="C664" s="31"/>
      <c r="D664" s="31"/>
      <c r="E664" s="31"/>
      <c r="F664" s="31"/>
      <c r="G664" s="31"/>
      <c r="H664" s="31"/>
    </row>
    <row r="665" ht="15.75" customHeight="1">
      <c r="B665" s="31"/>
      <c r="C665" s="31"/>
      <c r="D665" s="31"/>
      <c r="E665" s="31"/>
      <c r="F665" s="31"/>
      <c r="G665" s="31"/>
      <c r="H665" s="31"/>
    </row>
    <row r="666" ht="15.75" customHeight="1">
      <c r="B666" s="31"/>
      <c r="C666" s="31"/>
      <c r="D666" s="31"/>
      <c r="E666" s="31"/>
      <c r="F666" s="31"/>
      <c r="G666" s="31"/>
      <c r="H666" s="31"/>
    </row>
    <row r="667" ht="15.75" customHeight="1">
      <c r="B667" s="31"/>
      <c r="C667" s="31"/>
      <c r="D667" s="31"/>
      <c r="E667" s="31"/>
      <c r="F667" s="31"/>
      <c r="G667" s="31"/>
      <c r="H667" s="31"/>
    </row>
    <row r="668" ht="15.75" customHeight="1">
      <c r="B668" s="31"/>
      <c r="C668" s="31"/>
      <c r="D668" s="31"/>
      <c r="E668" s="31"/>
      <c r="F668" s="31"/>
      <c r="G668" s="31"/>
      <c r="H668" s="31"/>
    </row>
    <row r="669" ht="15.75" customHeight="1">
      <c r="B669" s="31"/>
      <c r="C669" s="31"/>
      <c r="D669" s="31"/>
      <c r="E669" s="31"/>
      <c r="F669" s="31"/>
      <c r="G669" s="31"/>
      <c r="H669" s="31"/>
    </row>
    <row r="670" ht="15.75" customHeight="1">
      <c r="B670" s="31"/>
      <c r="C670" s="31"/>
      <c r="D670" s="31"/>
      <c r="E670" s="31"/>
      <c r="F670" s="31"/>
      <c r="G670" s="31"/>
      <c r="H670" s="31"/>
    </row>
    <row r="671" ht="15.75" customHeight="1">
      <c r="B671" s="31"/>
      <c r="C671" s="31"/>
      <c r="D671" s="31"/>
      <c r="E671" s="31"/>
      <c r="F671" s="31"/>
      <c r="G671" s="31"/>
      <c r="H671" s="31"/>
    </row>
    <row r="672" ht="15.75" customHeight="1">
      <c r="B672" s="31"/>
      <c r="C672" s="31"/>
      <c r="D672" s="31"/>
      <c r="E672" s="31"/>
      <c r="F672" s="31"/>
      <c r="G672" s="31"/>
      <c r="H672" s="31"/>
    </row>
    <row r="673" ht="15.75" customHeight="1">
      <c r="B673" s="31"/>
      <c r="C673" s="31"/>
      <c r="D673" s="31"/>
      <c r="E673" s="31"/>
      <c r="F673" s="31"/>
      <c r="G673" s="31"/>
      <c r="H673" s="31"/>
    </row>
    <row r="674" ht="15.75" customHeight="1">
      <c r="B674" s="31"/>
      <c r="C674" s="31"/>
      <c r="D674" s="31"/>
      <c r="E674" s="31"/>
      <c r="F674" s="31"/>
      <c r="G674" s="31"/>
      <c r="H674" s="31"/>
    </row>
    <row r="675" ht="15.75" customHeight="1">
      <c r="B675" s="31"/>
      <c r="C675" s="31"/>
      <c r="D675" s="31"/>
      <c r="E675" s="31"/>
      <c r="F675" s="31"/>
      <c r="G675" s="31"/>
      <c r="H675" s="31"/>
    </row>
    <row r="676" ht="15.75" customHeight="1">
      <c r="B676" s="31"/>
      <c r="C676" s="31"/>
      <c r="D676" s="31"/>
      <c r="E676" s="31"/>
      <c r="F676" s="31"/>
      <c r="G676" s="31"/>
      <c r="H676" s="31"/>
    </row>
    <row r="677" ht="15.75" customHeight="1">
      <c r="B677" s="31"/>
      <c r="C677" s="31"/>
      <c r="D677" s="31"/>
      <c r="E677" s="31"/>
      <c r="F677" s="31"/>
      <c r="G677" s="31"/>
      <c r="H677" s="31"/>
    </row>
    <row r="678" ht="15.75" customHeight="1">
      <c r="B678" s="31"/>
      <c r="C678" s="31"/>
      <c r="D678" s="31"/>
      <c r="E678" s="31"/>
      <c r="F678" s="31"/>
      <c r="G678" s="31"/>
      <c r="H678" s="31"/>
    </row>
    <row r="679" ht="15.75" customHeight="1">
      <c r="B679" s="31"/>
      <c r="C679" s="31"/>
      <c r="D679" s="31"/>
      <c r="E679" s="31"/>
      <c r="F679" s="31"/>
      <c r="G679" s="31"/>
      <c r="H679" s="31"/>
    </row>
    <row r="680" ht="15.75" customHeight="1">
      <c r="B680" s="31"/>
      <c r="C680" s="31"/>
      <c r="D680" s="31"/>
      <c r="E680" s="31"/>
      <c r="F680" s="31"/>
      <c r="G680" s="31"/>
      <c r="H680" s="31"/>
    </row>
    <row r="681" ht="15.75" customHeight="1">
      <c r="B681" s="31"/>
      <c r="C681" s="31"/>
      <c r="D681" s="31"/>
      <c r="E681" s="31"/>
      <c r="F681" s="31"/>
      <c r="G681" s="31"/>
      <c r="H681" s="31"/>
    </row>
    <row r="682" ht="15.75" customHeight="1">
      <c r="B682" s="31"/>
      <c r="C682" s="31"/>
      <c r="D682" s="31"/>
      <c r="E682" s="31"/>
      <c r="F682" s="31"/>
      <c r="G682" s="31"/>
      <c r="H682" s="31"/>
    </row>
    <row r="683" ht="15.75" customHeight="1">
      <c r="B683" s="31"/>
      <c r="C683" s="31"/>
      <c r="D683" s="31"/>
      <c r="E683" s="31"/>
      <c r="F683" s="31"/>
      <c r="G683" s="31"/>
      <c r="H683" s="31"/>
    </row>
    <row r="684" ht="15.75" customHeight="1">
      <c r="B684" s="31"/>
      <c r="C684" s="31"/>
      <c r="D684" s="31"/>
      <c r="E684" s="31"/>
      <c r="F684" s="31"/>
      <c r="G684" s="31"/>
      <c r="H684" s="31"/>
    </row>
    <row r="685" ht="15.75" customHeight="1">
      <c r="B685" s="31"/>
      <c r="C685" s="31"/>
      <c r="D685" s="31"/>
      <c r="E685" s="31"/>
      <c r="F685" s="31"/>
      <c r="G685" s="31"/>
      <c r="H685" s="31"/>
    </row>
    <row r="686" ht="15.75" customHeight="1">
      <c r="B686" s="31"/>
      <c r="C686" s="31"/>
      <c r="D686" s="31"/>
      <c r="E686" s="31"/>
      <c r="F686" s="31"/>
      <c r="G686" s="31"/>
      <c r="H686" s="31"/>
    </row>
    <row r="687" ht="15.75" customHeight="1">
      <c r="B687" s="31"/>
      <c r="C687" s="31"/>
      <c r="D687" s="31"/>
      <c r="E687" s="31"/>
      <c r="F687" s="31"/>
      <c r="G687" s="31"/>
      <c r="H687" s="31"/>
    </row>
    <row r="688" ht="15.75" customHeight="1">
      <c r="B688" s="31"/>
      <c r="C688" s="31"/>
      <c r="D688" s="31"/>
      <c r="E688" s="31"/>
      <c r="F688" s="31"/>
      <c r="G688" s="31"/>
      <c r="H688" s="31"/>
    </row>
    <row r="689" ht="15.75" customHeight="1">
      <c r="B689" s="31"/>
      <c r="C689" s="31"/>
      <c r="D689" s="31"/>
      <c r="E689" s="31"/>
      <c r="F689" s="31"/>
      <c r="G689" s="31"/>
      <c r="H689" s="31"/>
    </row>
    <row r="690" ht="15.75" customHeight="1">
      <c r="B690" s="31"/>
      <c r="C690" s="31"/>
      <c r="D690" s="31"/>
      <c r="E690" s="31"/>
      <c r="F690" s="31"/>
      <c r="G690" s="31"/>
      <c r="H690" s="31"/>
    </row>
    <row r="691" ht="15.75" customHeight="1">
      <c r="B691" s="31"/>
      <c r="C691" s="31"/>
      <c r="D691" s="31"/>
      <c r="E691" s="31"/>
      <c r="F691" s="31"/>
      <c r="G691" s="31"/>
      <c r="H691" s="31"/>
    </row>
    <row r="692" ht="15.75" customHeight="1">
      <c r="B692" s="31"/>
      <c r="C692" s="31"/>
      <c r="D692" s="31"/>
      <c r="E692" s="31"/>
      <c r="F692" s="31"/>
      <c r="G692" s="31"/>
      <c r="H692" s="31"/>
    </row>
    <row r="693" ht="15.75" customHeight="1">
      <c r="B693" s="31"/>
      <c r="C693" s="31"/>
      <c r="D693" s="31"/>
      <c r="E693" s="31"/>
      <c r="F693" s="31"/>
      <c r="G693" s="31"/>
      <c r="H693" s="31"/>
    </row>
    <row r="694" ht="15.75" customHeight="1">
      <c r="B694" s="31"/>
      <c r="C694" s="31"/>
      <c r="D694" s="31"/>
      <c r="E694" s="31"/>
      <c r="F694" s="31"/>
      <c r="G694" s="31"/>
      <c r="H694" s="31"/>
    </row>
    <row r="695" ht="15.75" customHeight="1">
      <c r="B695" s="31"/>
      <c r="C695" s="31"/>
      <c r="D695" s="31"/>
      <c r="E695" s="31"/>
      <c r="F695" s="31"/>
      <c r="G695" s="31"/>
      <c r="H695" s="31"/>
    </row>
    <row r="696" ht="15.75" customHeight="1">
      <c r="B696" s="31"/>
      <c r="C696" s="31"/>
      <c r="D696" s="31"/>
      <c r="E696" s="31"/>
      <c r="F696" s="31"/>
      <c r="G696" s="31"/>
      <c r="H696" s="31"/>
    </row>
    <row r="697" ht="15.75" customHeight="1">
      <c r="B697" s="31"/>
      <c r="C697" s="31"/>
      <c r="D697" s="31"/>
      <c r="E697" s="31"/>
      <c r="F697" s="31"/>
      <c r="G697" s="31"/>
      <c r="H697" s="31"/>
    </row>
    <row r="698" ht="15.75" customHeight="1">
      <c r="B698" s="31"/>
      <c r="C698" s="31"/>
      <c r="D698" s="31"/>
      <c r="E698" s="31"/>
      <c r="F698" s="31"/>
      <c r="G698" s="31"/>
      <c r="H698" s="31"/>
    </row>
    <row r="699" ht="15.75" customHeight="1">
      <c r="B699" s="31"/>
      <c r="C699" s="31"/>
      <c r="D699" s="31"/>
      <c r="E699" s="31"/>
      <c r="F699" s="31"/>
      <c r="G699" s="31"/>
      <c r="H699" s="31"/>
    </row>
    <row r="700" ht="15.75" customHeight="1">
      <c r="B700" s="31"/>
      <c r="C700" s="31"/>
      <c r="D700" s="31"/>
      <c r="E700" s="31"/>
      <c r="F700" s="31"/>
      <c r="G700" s="31"/>
      <c r="H700" s="31"/>
    </row>
    <row r="701" ht="15.75" customHeight="1">
      <c r="B701" s="31"/>
      <c r="C701" s="31"/>
      <c r="D701" s="31"/>
      <c r="E701" s="31"/>
      <c r="F701" s="31"/>
      <c r="G701" s="31"/>
      <c r="H701" s="31"/>
    </row>
    <row r="702" ht="15.75" customHeight="1">
      <c r="B702" s="31"/>
      <c r="C702" s="31"/>
      <c r="D702" s="31"/>
      <c r="E702" s="31"/>
      <c r="F702" s="31"/>
      <c r="G702" s="31"/>
      <c r="H702" s="31"/>
    </row>
    <row r="703" ht="15.75" customHeight="1">
      <c r="B703" s="31"/>
      <c r="C703" s="31"/>
      <c r="D703" s="31"/>
      <c r="E703" s="31"/>
      <c r="F703" s="31"/>
      <c r="G703" s="31"/>
      <c r="H703" s="31"/>
    </row>
    <row r="704" ht="15.75" customHeight="1">
      <c r="B704" s="31"/>
      <c r="C704" s="31"/>
      <c r="D704" s="31"/>
      <c r="E704" s="31"/>
      <c r="F704" s="31"/>
      <c r="G704" s="31"/>
      <c r="H704" s="31"/>
    </row>
    <row r="705" ht="15.75" customHeight="1">
      <c r="B705" s="31"/>
      <c r="C705" s="31"/>
      <c r="D705" s="31"/>
      <c r="E705" s="31"/>
      <c r="F705" s="31"/>
      <c r="G705" s="31"/>
      <c r="H705" s="31"/>
    </row>
    <row r="706" ht="15.75" customHeight="1">
      <c r="B706" s="31"/>
      <c r="C706" s="31"/>
      <c r="D706" s="31"/>
      <c r="E706" s="31"/>
      <c r="F706" s="31"/>
      <c r="G706" s="31"/>
      <c r="H706" s="31"/>
    </row>
    <row r="707" ht="15.75" customHeight="1">
      <c r="B707" s="31"/>
      <c r="C707" s="31"/>
      <c r="D707" s="31"/>
      <c r="E707" s="31"/>
      <c r="F707" s="31"/>
      <c r="G707" s="31"/>
      <c r="H707" s="31"/>
    </row>
    <row r="708" ht="15.75" customHeight="1">
      <c r="B708" s="31"/>
      <c r="C708" s="31"/>
      <c r="D708" s="31"/>
      <c r="E708" s="31"/>
      <c r="F708" s="31"/>
      <c r="G708" s="31"/>
      <c r="H708" s="31"/>
    </row>
    <row r="709" ht="15.75" customHeight="1">
      <c r="B709" s="31"/>
      <c r="C709" s="31"/>
      <c r="D709" s="31"/>
      <c r="E709" s="31"/>
      <c r="F709" s="31"/>
      <c r="G709" s="31"/>
      <c r="H709" s="31"/>
    </row>
    <row r="710" ht="15.75" customHeight="1">
      <c r="B710" s="31"/>
      <c r="C710" s="31"/>
      <c r="D710" s="31"/>
      <c r="E710" s="31"/>
      <c r="F710" s="31"/>
      <c r="G710" s="31"/>
      <c r="H710" s="31"/>
    </row>
    <row r="711" ht="15.75" customHeight="1">
      <c r="B711" s="31"/>
      <c r="C711" s="31"/>
      <c r="D711" s="31"/>
      <c r="E711" s="31"/>
      <c r="F711" s="31"/>
      <c r="G711" s="31"/>
      <c r="H711" s="31"/>
    </row>
    <row r="712" ht="15.75" customHeight="1">
      <c r="B712" s="31"/>
      <c r="C712" s="31"/>
      <c r="D712" s="31"/>
      <c r="E712" s="31"/>
      <c r="F712" s="31"/>
      <c r="G712" s="31"/>
      <c r="H712" s="31"/>
    </row>
    <row r="713" ht="15.75" customHeight="1">
      <c r="B713" s="31"/>
      <c r="C713" s="31"/>
      <c r="D713" s="31"/>
      <c r="E713" s="31"/>
      <c r="F713" s="31"/>
      <c r="G713" s="31"/>
      <c r="H713" s="31"/>
    </row>
    <row r="714" ht="15.75" customHeight="1">
      <c r="B714" s="31"/>
      <c r="C714" s="31"/>
      <c r="D714" s="31"/>
      <c r="E714" s="31"/>
      <c r="F714" s="31"/>
      <c r="G714" s="31"/>
      <c r="H714" s="31"/>
    </row>
    <row r="715" ht="15.75" customHeight="1">
      <c r="B715" s="31"/>
      <c r="C715" s="31"/>
      <c r="D715" s="31"/>
      <c r="E715" s="31"/>
      <c r="F715" s="31"/>
      <c r="G715" s="31"/>
      <c r="H715" s="31"/>
    </row>
    <row r="716" ht="15.75" customHeight="1">
      <c r="B716" s="31"/>
      <c r="C716" s="31"/>
      <c r="D716" s="31"/>
      <c r="E716" s="31"/>
      <c r="F716" s="31"/>
      <c r="G716" s="31"/>
      <c r="H716" s="31"/>
    </row>
    <row r="717" ht="15.75" customHeight="1">
      <c r="B717" s="31"/>
      <c r="C717" s="31"/>
      <c r="D717" s="31"/>
      <c r="E717" s="31"/>
      <c r="F717" s="31"/>
      <c r="G717" s="31"/>
      <c r="H717" s="31"/>
    </row>
    <row r="718" ht="15.75" customHeight="1">
      <c r="B718" s="31"/>
      <c r="C718" s="31"/>
      <c r="D718" s="31"/>
      <c r="E718" s="31"/>
      <c r="F718" s="31"/>
      <c r="G718" s="31"/>
      <c r="H718" s="31"/>
    </row>
    <row r="719" ht="15.75" customHeight="1">
      <c r="B719" s="31"/>
      <c r="C719" s="31"/>
      <c r="D719" s="31"/>
      <c r="E719" s="31"/>
      <c r="F719" s="31"/>
      <c r="G719" s="31"/>
      <c r="H719" s="31"/>
    </row>
    <row r="720" ht="15.75" customHeight="1">
      <c r="B720" s="31"/>
      <c r="C720" s="31"/>
      <c r="D720" s="31"/>
      <c r="E720" s="31"/>
      <c r="F720" s="31"/>
      <c r="G720" s="31"/>
      <c r="H720" s="31"/>
    </row>
    <row r="721" ht="15.75" customHeight="1">
      <c r="B721" s="31"/>
      <c r="C721" s="31"/>
      <c r="D721" s="31"/>
      <c r="E721" s="31"/>
      <c r="F721" s="31"/>
      <c r="G721" s="31"/>
      <c r="H721" s="31"/>
    </row>
    <row r="722" ht="15.75" customHeight="1">
      <c r="B722" s="31"/>
      <c r="C722" s="31"/>
      <c r="D722" s="31"/>
      <c r="E722" s="31"/>
      <c r="F722" s="31"/>
      <c r="G722" s="31"/>
      <c r="H722" s="31"/>
    </row>
    <row r="723" ht="15.75" customHeight="1">
      <c r="B723" s="31"/>
      <c r="C723" s="31"/>
      <c r="D723" s="31"/>
      <c r="E723" s="31"/>
      <c r="F723" s="31"/>
      <c r="G723" s="31"/>
      <c r="H723" s="31"/>
    </row>
    <row r="724" ht="15.75" customHeight="1">
      <c r="B724" s="31"/>
      <c r="C724" s="31"/>
      <c r="D724" s="31"/>
      <c r="E724" s="31"/>
      <c r="F724" s="31"/>
      <c r="G724" s="31"/>
      <c r="H724" s="31"/>
    </row>
    <row r="725" ht="15.75" customHeight="1">
      <c r="B725" s="31"/>
      <c r="C725" s="31"/>
      <c r="D725" s="31"/>
      <c r="E725" s="31"/>
      <c r="F725" s="31"/>
      <c r="G725" s="31"/>
      <c r="H725" s="31"/>
    </row>
    <row r="726" ht="15.75" customHeight="1">
      <c r="B726" s="31"/>
      <c r="C726" s="31"/>
      <c r="D726" s="31"/>
      <c r="E726" s="31"/>
      <c r="F726" s="31"/>
      <c r="G726" s="31"/>
      <c r="H726" s="31"/>
    </row>
    <row r="727" ht="15.75" customHeight="1">
      <c r="B727" s="31"/>
      <c r="C727" s="31"/>
      <c r="D727" s="31"/>
      <c r="E727" s="31"/>
      <c r="F727" s="31"/>
      <c r="G727" s="31"/>
      <c r="H727" s="31"/>
    </row>
    <row r="728" ht="15.75" customHeight="1">
      <c r="B728" s="31"/>
      <c r="C728" s="31"/>
      <c r="D728" s="31"/>
      <c r="E728" s="31"/>
      <c r="F728" s="31"/>
      <c r="G728" s="31"/>
      <c r="H728" s="31"/>
    </row>
    <row r="729" ht="15.75" customHeight="1">
      <c r="B729" s="31"/>
      <c r="C729" s="31"/>
      <c r="D729" s="31"/>
      <c r="E729" s="31"/>
      <c r="F729" s="31"/>
      <c r="G729" s="31"/>
      <c r="H729" s="31"/>
    </row>
    <row r="730" ht="15.75" customHeight="1">
      <c r="B730" s="31"/>
      <c r="C730" s="31"/>
      <c r="D730" s="31"/>
      <c r="E730" s="31"/>
      <c r="F730" s="31"/>
      <c r="G730" s="31"/>
      <c r="H730" s="31"/>
    </row>
    <row r="731" ht="15.75" customHeight="1">
      <c r="B731" s="31"/>
      <c r="C731" s="31"/>
      <c r="D731" s="31"/>
      <c r="E731" s="31"/>
      <c r="F731" s="31"/>
      <c r="G731" s="31"/>
      <c r="H731" s="31"/>
    </row>
    <row r="732" ht="15.75" customHeight="1">
      <c r="B732" s="31"/>
      <c r="C732" s="31"/>
      <c r="D732" s="31"/>
      <c r="E732" s="31"/>
      <c r="F732" s="31"/>
      <c r="G732" s="31"/>
      <c r="H732" s="31"/>
    </row>
    <row r="733" ht="15.75" customHeight="1">
      <c r="B733" s="31"/>
      <c r="C733" s="31"/>
      <c r="D733" s="31"/>
      <c r="E733" s="31"/>
      <c r="F733" s="31"/>
      <c r="G733" s="31"/>
      <c r="H733" s="31"/>
    </row>
    <row r="734" ht="15.75" customHeight="1">
      <c r="B734" s="31"/>
      <c r="C734" s="31"/>
      <c r="D734" s="31"/>
      <c r="E734" s="31"/>
      <c r="F734" s="31"/>
      <c r="G734" s="31"/>
      <c r="H734" s="31"/>
    </row>
    <row r="735" ht="15.75" customHeight="1">
      <c r="B735" s="31"/>
      <c r="C735" s="31"/>
      <c r="D735" s="31"/>
      <c r="E735" s="31"/>
      <c r="F735" s="31"/>
      <c r="G735" s="31"/>
      <c r="H735" s="31"/>
    </row>
    <row r="736" ht="15.75" customHeight="1">
      <c r="B736" s="31"/>
      <c r="C736" s="31"/>
      <c r="D736" s="31"/>
      <c r="E736" s="31"/>
      <c r="F736" s="31"/>
      <c r="G736" s="31"/>
      <c r="H736" s="31"/>
    </row>
    <row r="737" ht="15.75" customHeight="1">
      <c r="B737" s="31"/>
      <c r="C737" s="31"/>
      <c r="D737" s="31"/>
      <c r="E737" s="31"/>
      <c r="F737" s="31"/>
      <c r="G737" s="31"/>
      <c r="H737" s="31"/>
    </row>
    <row r="738" ht="15.75" customHeight="1">
      <c r="B738" s="31"/>
      <c r="C738" s="31"/>
      <c r="D738" s="31"/>
      <c r="E738" s="31"/>
      <c r="F738" s="31"/>
      <c r="G738" s="31"/>
      <c r="H738" s="31"/>
    </row>
    <row r="739" ht="15.75" customHeight="1">
      <c r="B739" s="31"/>
      <c r="C739" s="31"/>
      <c r="D739" s="31"/>
      <c r="E739" s="31"/>
      <c r="F739" s="31"/>
      <c r="G739" s="31"/>
      <c r="H739" s="31"/>
    </row>
    <row r="740" ht="15.75" customHeight="1">
      <c r="B740" s="31"/>
      <c r="C740" s="31"/>
      <c r="D740" s="31"/>
      <c r="E740" s="31"/>
      <c r="F740" s="31"/>
      <c r="G740" s="31"/>
      <c r="H740" s="31"/>
    </row>
    <row r="741" ht="15.75" customHeight="1">
      <c r="B741" s="31"/>
      <c r="C741" s="31"/>
      <c r="D741" s="31"/>
      <c r="E741" s="31"/>
      <c r="F741" s="31"/>
      <c r="G741" s="31"/>
      <c r="H741" s="31"/>
    </row>
    <row r="742" ht="15.75" customHeight="1">
      <c r="B742" s="31"/>
      <c r="C742" s="31"/>
      <c r="D742" s="31"/>
      <c r="E742" s="31"/>
      <c r="F742" s="31"/>
      <c r="G742" s="31"/>
      <c r="H742" s="31"/>
    </row>
    <row r="743" ht="15.75" customHeight="1">
      <c r="B743" s="31"/>
      <c r="C743" s="31"/>
      <c r="D743" s="31"/>
      <c r="E743" s="31"/>
      <c r="F743" s="31"/>
      <c r="G743" s="31"/>
      <c r="H743" s="31"/>
    </row>
    <row r="744" ht="15.75" customHeight="1">
      <c r="B744" s="31"/>
      <c r="C744" s="31"/>
      <c r="D744" s="31"/>
      <c r="E744" s="31"/>
      <c r="F744" s="31"/>
      <c r="G744" s="31"/>
      <c r="H744" s="31"/>
    </row>
    <row r="745" ht="15.75" customHeight="1">
      <c r="B745" s="31"/>
      <c r="C745" s="31"/>
      <c r="D745" s="31"/>
      <c r="E745" s="31"/>
      <c r="F745" s="31"/>
      <c r="G745" s="31"/>
      <c r="H745" s="31"/>
    </row>
    <row r="746" ht="15.75" customHeight="1">
      <c r="B746" s="31"/>
      <c r="C746" s="31"/>
      <c r="D746" s="31"/>
      <c r="E746" s="31"/>
      <c r="F746" s="31"/>
      <c r="G746" s="31"/>
      <c r="H746" s="31"/>
    </row>
    <row r="747" ht="15.75" customHeight="1">
      <c r="B747" s="31"/>
      <c r="C747" s="31"/>
      <c r="D747" s="31"/>
      <c r="E747" s="31"/>
      <c r="F747" s="31"/>
      <c r="G747" s="31"/>
      <c r="H747" s="31"/>
    </row>
    <row r="748" ht="15.75" customHeight="1">
      <c r="B748" s="31"/>
      <c r="C748" s="31"/>
      <c r="D748" s="31"/>
      <c r="E748" s="31"/>
      <c r="F748" s="31"/>
      <c r="G748" s="31"/>
      <c r="H748" s="31"/>
    </row>
    <row r="749" ht="15.75" customHeight="1">
      <c r="B749" s="31"/>
      <c r="C749" s="31"/>
      <c r="D749" s="31"/>
      <c r="E749" s="31"/>
      <c r="F749" s="31"/>
      <c r="G749" s="31"/>
      <c r="H749" s="31"/>
    </row>
    <row r="750" ht="15.75" customHeight="1">
      <c r="B750" s="31"/>
      <c r="C750" s="31"/>
      <c r="D750" s="31"/>
      <c r="E750" s="31"/>
      <c r="F750" s="31"/>
      <c r="G750" s="31"/>
      <c r="H750" s="31"/>
    </row>
    <row r="751" ht="15.75" customHeight="1">
      <c r="B751" s="31"/>
      <c r="C751" s="31"/>
      <c r="D751" s="31"/>
      <c r="E751" s="31"/>
      <c r="F751" s="31"/>
      <c r="G751" s="31"/>
      <c r="H751" s="31"/>
    </row>
    <row r="752" ht="15.75" customHeight="1">
      <c r="B752" s="31"/>
      <c r="C752" s="31"/>
      <c r="D752" s="31"/>
      <c r="E752" s="31"/>
      <c r="F752" s="31"/>
      <c r="G752" s="31"/>
      <c r="H752" s="31"/>
    </row>
    <row r="753" ht="15.75" customHeight="1">
      <c r="B753" s="31"/>
      <c r="C753" s="31"/>
      <c r="D753" s="31"/>
      <c r="E753" s="31"/>
      <c r="F753" s="31"/>
      <c r="G753" s="31"/>
      <c r="H753" s="31"/>
    </row>
    <row r="754" ht="15.75" customHeight="1">
      <c r="B754" s="31"/>
      <c r="C754" s="31"/>
      <c r="D754" s="31"/>
      <c r="E754" s="31"/>
      <c r="F754" s="31"/>
      <c r="G754" s="31"/>
      <c r="H754" s="31"/>
    </row>
    <row r="755" ht="15.75" customHeight="1">
      <c r="B755" s="31"/>
      <c r="C755" s="31"/>
      <c r="D755" s="31"/>
      <c r="E755" s="31"/>
      <c r="F755" s="31"/>
      <c r="G755" s="31"/>
      <c r="H755" s="31"/>
    </row>
    <row r="756" ht="15.75" customHeight="1">
      <c r="B756" s="31"/>
      <c r="C756" s="31"/>
      <c r="D756" s="31"/>
      <c r="E756" s="31"/>
      <c r="F756" s="31"/>
      <c r="G756" s="31"/>
      <c r="H756" s="31"/>
    </row>
    <row r="757" ht="15.75" customHeight="1">
      <c r="B757" s="31"/>
      <c r="C757" s="31"/>
      <c r="D757" s="31"/>
      <c r="E757" s="31"/>
      <c r="F757" s="31"/>
      <c r="G757" s="31"/>
      <c r="H757" s="31"/>
    </row>
    <row r="758" ht="15.75" customHeight="1">
      <c r="B758" s="31"/>
      <c r="C758" s="31"/>
      <c r="D758" s="31"/>
      <c r="E758" s="31"/>
      <c r="F758" s="31"/>
      <c r="G758" s="31"/>
      <c r="H758" s="31"/>
    </row>
    <row r="759" ht="15.75" customHeight="1">
      <c r="B759" s="31"/>
      <c r="C759" s="31"/>
      <c r="D759" s="31"/>
      <c r="E759" s="31"/>
      <c r="F759" s="31"/>
      <c r="G759" s="31"/>
      <c r="H759" s="31"/>
    </row>
    <row r="760" ht="15.75" customHeight="1">
      <c r="B760" s="31"/>
      <c r="C760" s="31"/>
      <c r="D760" s="31"/>
      <c r="E760" s="31"/>
      <c r="F760" s="31"/>
      <c r="G760" s="31"/>
      <c r="H760" s="31"/>
    </row>
    <row r="761" ht="15.75" customHeight="1">
      <c r="B761" s="31"/>
      <c r="C761" s="31"/>
      <c r="D761" s="31"/>
      <c r="E761" s="31"/>
      <c r="F761" s="31"/>
      <c r="G761" s="31"/>
      <c r="H761" s="31"/>
    </row>
    <row r="762" ht="15.75" customHeight="1">
      <c r="B762" s="31"/>
      <c r="C762" s="31"/>
      <c r="D762" s="31"/>
      <c r="E762" s="31"/>
      <c r="F762" s="31"/>
      <c r="G762" s="31"/>
      <c r="H762" s="31"/>
    </row>
    <row r="763" ht="15.75" customHeight="1">
      <c r="B763" s="31"/>
      <c r="C763" s="31"/>
      <c r="D763" s="31"/>
      <c r="E763" s="31"/>
      <c r="F763" s="31"/>
      <c r="G763" s="31"/>
      <c r="H763" s="31"/>
    </row>
    <row r="764" ht="15.75" customHeight="1">
      <c r="B764" s="31"/>
      <c r="C764" s="31"/>
      <c r="D764" s="31"/>
      <c r="E764" s="31"/>
      <c r="F764" s="31"/>
      <c r="G764" s="31"/>
      <c r="H764" s="31"/>
    </row>
    <row r="765" ht="15.75" customHeight="1">
      <c r="B765" s="31"/>
      <c r="C765" s="31"/>
      <c r="D765" s="31"/>
      <c r="E765" s="31"/>
      <c r="F765" s="31"/>
      <c r="G765" s="31"/>
      <c r="H765" s="31"/>
    </row>
    <row r="766" ht="15.75" customHeight="1">
      <c r="B766" s="31"/>
      <c r="C766" s="31"/>
      <c r="D766" s="31"/>
      <c r="E766" s="31"/>
      <c r="F766" s="31"/>
      <c r="G766" s="31"/>
      <c r="H766" s="31"/>
    </row>
    <row r="767" ht="15.75" customHeight="1">
      <c r="B767" s="31"/>
      <c r="C767" s="31"/>
      <c r="D767" s="31"/>
      <c r="E767" s="31"/>
      <c r="F767" s="31"/>
      <c r="G767" s="31"/>
      <c r="H767" s="31"/>
    </row>
    <row r="768" ht="15.75" customHeight="1">
      <c r="B768" s="31"/>
      <c r="C768" s="31"/>
      <c r="D768" s="31"/>
      <c r="E768" s="31"/>
      <c r="F768" s="31"/>
      <c r="G768" s="31"/>
      <c r="H768" s="31"/>
    </row>
    <row r="769" ht="15.75" customHeight="1">
      <c r="B769" s="31"/>
      <c r="C769" s="31"/>
      <c r="D769" s="31"/>
      <c r="E769" s="31"/>
      <c r="F769" s="31"/>
      <c r="G769" s="31"/>
      <c r="H769" s="31"/>
    </row>
    <row r="770" ht="15.75" customHeight="1">
      <c r="B770" s="31"/>
      <c r="C770" s="31"/>
      <c r="D770" s="31"/>
      <c r="E770" s="31"/>
      <c r="F770" s="31"/>
      <c r="G770" s="31"/>
      <c r="H770" s="31"/>
    </row>
    <row r="771" ht="15.75" customHeight="1">
      <c r="B771" s="31"/>
      <c r="C771" s="31"/>
      <c r="D771" s="31"/>
      <c r="E771" s="31"/>
      <c r="F771" s="31"/>
      <c r="G771" s="31"/>
      <c r="H771" s="31"/>
    </row>
    <row r="772" ht="15.75" customHeight="1">
      <c r="B772" s="31"/>
      <c r="C772" s="31"/>
      <c r="D772" s="31"/>
      <c r="E772" s="31"/>
      <c r="F772" s="31"/>
      <c r="G772" s="31"/>
      <c r="H772" s="31"/>
    </row>
    <row r="773" ht="15.75" customHeight="1">
      <c r="B773" s="31"/>
      <c r="C773" s="31"/>
      <c r="D773" s="31"/>
      <c r="E773" s="31"/>
      <c r="F773" s="31"/>
      <c r="G773" s="31"/>
      <c r="H773" s="31"/>
    </row>
    <row r="774" ht="15.75" customHeight="1">
      <c r="B774" s="31"/>
      <c r="C774" s="31"/>
      <c r="D774" s="31"/>
      <c r="E774" s="31"/>
      <c r="F774" s="31"/>
      <c r="G774" s="31"/>
      <c r="H774" s="31"/>
    </row>
    <row r="775" ht="15.75" customHeight="1">
      <c r="B775" s="31"/>
      <c r="C775" s="31"/>
      <c r="D775" s="31"/>
      <c r="E775" s="31"/>
      <c r="F775" s="31"/>
      <c r="G775" s="31"/>
      <c r="H775" s="31"/>
    </row>
    <row r="776" ht="15.75" customHeight="1">
      <c r="B776" s="31"/>
      <c r="C776" s="31"/>
      <c r="D776" s="31"/>
      <c r="E776" s="31"/>
      <c r="F776" s="31"/>
      <c r="G776" s="31"/>
      <c r="H776" s="31"/>
    </row>
    <row r="777" ht="15.75" customHeight="1">
      <c r="B777" s="31"/>
      <c r="C777" s="31"/>
      <c r="D777" s="31"/>
      <c r="E777" s="31"/>
      <c r="F777" s="31"/>
      <c r="G777" s="31"/>
      <c r="H777" s="31"/>
    </row>
    <row r="778" ht="15.75" customHeight="1">
      <c r="B778" s="31"/>
      <c r="C778" s="31"/>
      <c r="D778" s="31"/>
      <c r="E778" s="31"/>
      <c r="F778" s="31"/>
      <c r="G778" s="31"/>
      <c r="H778" s="31"/>
    </row>
    <row r="779" ht="15.75" customHeight="1">
      <c r="B779" s="31"/>
      <c r="C779" s="31"/>
      <c r="D779" s="31"/>
      <c r="E779" s="31"/>
      <c r="F779" s="31"/>
      <c r="G779" s="31"/>
      <c r="H779" s="31"/>
    </row>
    <row r="780" ht="15.75" customHeight="1">
      <c r="B780" s="31"/>
      <c r="C780" s="31"/>
      <c r="D780" s="31"/>
      <c r="E780" s="31"/>
      <c r="F780" s="31"/>
      <c r="G780" s="31"/>
      <c r="H780" s="31"/>
    </row>
    <row r="781" ht="15.75" customHeight="1">
      <c r="B781" s="31"/>
      <c r="C781" s="31"/>
      <c r="D781" s="31"/>
      <c r="E781" s="31"/>
      <c r="F781" s="31"/>
      <c r="G781" s="31"/>
      <c r="H781" s="31"/>
    </row>
    <row r="782" ht="15.75" customHeight="1">
      <c r="B782" s="31"/>
      <c r="C782" s="31"/>
      <c r="D782" s="31"/>
      <c r="E782" s="31"/>
      <c r="F782" s="31"/>
      <c r="G782" s="31"/>
      <c r="H782" s="31"/>
    </row>
    <row r="783" ht="15.75" customHeight="1">
      <c r="B783" s="31"/>
      <c r="C783" s="31"/>
      <c r="D783" s="31"/>
      <c r="E783" s="31"/>
      <c r="F783" s="31"/>
      <c r="G783" s="31"/>
      <c r="H783" s="31"/>
    </row>
    <row r="784" ht="15.75" customHeight="1">
      <c r="B784" s="31"/>
      <c r="C784" s="31"/>
      <c r="D784" s="31"/>
      <c r="E784" s="31"/>
      <c r="F784" s="31"/>
      <c r="G784" s="31"/>
      <c r="H784" s="31"/>
    </row>
    <row r="785" ht="15.75" customHeight="1">
      <c r="B785" s="31"/>
      <c r="C785" s="31"/>
      <c r="D785" s="31"/>
      <c r="E785" s="31"/>
      <c r="F785" s="31"/>
      <c r="G785" s="31"/>
      <c r="H785" s="31"/>
    </row>
    <row r="786" ht="15.75" customHeight="1">
      <c r="B786" s="31"/>
      <c r="C786" s="31"/>
      <c r="D786" s="31"/>
      <c r="E786" s="31"/>
      <c r="F786" s="31"/>
      <c r="G786" s="31"/>
      <c r="H786" s="31"/>
    </row>
    <row r="787" ht="15.75" customHeight="1">
      <c r="B787" s="31"/>
      <c r="C787" s="31"/>
      <c r="D787" s="31"/>
      <c r="E787" s="31"/>
      <c r="F787" s="31"/>
      <c r="G787" s="31"/>
      <c r="H787" s="31"/>
    </row>
    <row r="788" ht="15.75" customHeight="1">
      <c r="B788" s="31"/>
      <c r="C788" s="31"/>
      <c r="D788" s="31"/>
      <c r="E788" s="31"/>
      <c r="F788" s="31"/>
      <c r="G788" s="31"/>
      <c r="H788" s="31"/>
    </row>
    <row r="789" ht="15.75" customHeight="1">
      <c r="B789" s="31"/>
      <c r="C789" s="31"/>
      <c r="D789" s="31"/>
      <c r="E789" s="31"/>
      <c r="F789" s="31"/>
      <c r="G789" s="31"/>
      <c r="H789" s="31"/>
    </row>
    <row r="790" ht="15.75" customHeight="1">
      <c r="B790" s="31"/>
      <c r="C790" s="31"/>
      <c r="D790" s="31"/>
      <c r="E790" s="31"/>
      <c r="F790" s="31"/>
      <c r="G790" s="31"/>
      <c r="H790" s="31"/>
    </row>
    <row r="791" ht="15.75" customHeight="1">
      <c r="B791" s="31"/>
      <c r="C791" s="31"/>
      <c r="D791" s="31"/>
      <c r="E791" s="31"/>
      <c r="F791" s="31"/>
      <c r="G791" s="31"/>
      <c r="H791" s="31"/>
    </row>
    <row r="792" ht="15.75" customHeight="1">
      <c r="B792" s="31"/>
      <c r="C792" s="31"/>
      <c r="D792" s="31"/>
      <c r="E792" s="31"/>
      <c r="F792" s="31"/>
      <c r="G792" s="31"/>
      <c r="H792" s="31"/>
    </row>
    <row r="793" ht="15.75" customHeight="1">
      <c r="B793" s="31"/>
      <c r="C793" s="31"/>
      <c r="D793" s="31"/>
      <c r="E793" s="31"/>
      <c r="F793" s="31"/>
      <c r="G793" s="31"/>
      <c r="H793" s="31"/>
    </row>
    <row r="794" ht="15.75" customHeight="1">
      <c r="B794" s="31"/>
      <c r="C794" s="31"/>
      <c r="D794" s="31"/>
      <c r="E794" s="31"/>
      <c r="F794" s="31"/>
      <c r="G794" s="31"/>
      <c r="H794" s="31"/>
    </row>
    <row r="795" ht="15.75" customHeight="1">
      <c r="B795" s="31"/>
      <c r="C795" s="31"/>
      <c r="D795" s="31"/>
      <c r="E795" s="31"/>
      <c r="F795" s="31"/>
      <c r="G795" s="31"/>
      <c r="H795" s="31"/>
    </row>
    <row r="796" ht="15.75" customHeight="1">
      <c r="B796" s="31"/>
      <c r="C796" s="31"/>
      <c r="D796" s="31"/>
      <c r="E796" s="31"/>
      <c r="F796" s="31"/>
      <c r="G796" s="31"/>
      <c r="H796" s="31"/>
    </row>
    <row r="797" ht="15.75" customHeight="1">
      <c r="B797" s="31"/>
      <c r="C797" s="31"/>
      <c r="D797" s="31"/>
      <c r="E797" s="31"/>
      <c r="F797" s="31"/>
      <c r="G797" s="31"/>
      <c r="H797" s="31"/>
    </row>
    <row r="798" ht="15.75" customHeight="1">
      <c r="B798" s="31"/>
      <c r="C798" s="31"/>
      <c r="D798" s="31"/>
      <c r="E798" s="31"/>
      <c r="F798" s="31"/>
      <c r="G798" s="31"/>
      <c r="H798" s="31"/>
    </row>
    <row r="799" ht="15.75" customHeight="1">
      <c r="B799" s="31"/>
      <c r="C799" s="31"/>
      <c r="D799" s="31"/>
      <c r="E799" s="31"/>
      <c r="F799" s="31"/>
      <c r="G799" s="31"/>
      <c r="H799" s="31"/>
    </row>
    <row r="800" ht="15.75" customHeight="1">
      <c r="B800" s="31"/>
      <c r="C800" s="31"/>
      <c r="D800" s="31"/>
      <c r="E800" s="31"/>
      <c r="F800" s="31"/>
      <c r="G800" s="31"/>
      <c r="H800" s="31"/>
    </row>
    <row r="801" ht="15.75" customHeight="1">
      <c r="B801" s="31"/>
      <c r="C801" s="31"/>
      <c r="D801" s="31"/>
      <c r="E801" s="31"/>
      <c r="F801" s="31"/>
      <c r="G801" s="31"/>
      <c r="H801" s="31"/>
    </row>
    <row r="802" ht="15.75" customHeight="1">
      <c r="B802" s="31"/>
      <c r="C802" s="31"/>
      <c r="D802" s="31"/>
      <c r="E802" s="31"/>
      <c r="F802" s="31"/>
      <c r="G802" s="31"/>
      <c r="H802" s="31"/>
    </row>
    <row r="803" ht="15.75" customHeight="1">
      <c r="B803" s="31"/>
      <c r="C803" s="31"/>
      <c r="D803" s="31"/>
      <c r="E803" s="31"/>
      <c r="F803" s="31"/>
      <c r="G803" s="31"/>
      <c r="H803" s="31"/>
    </row>
    <row r="804" ht="15.75" customHeight="1">
      <c r="B804" s="31"/>
      <c r="C804" s="31"/>
      <c r="D804" s="31"/>
      <c r="E804" s="31"/>
      <c r="F804" s="31"/>
      <c r="G804" s="31"/>
      <c r="H804" s="31"/>
    </row>
    <row r="805" ht="15.75" customHeight="1">
      <c r="B805" s="31"/>
      <c r="C805" s="31"/>
      <c r="D805" s="31"/>
      <c r="E805" s="31"/>
      <c r="F805" s="31"/>
      <c r="G805" s="31"/>
      <c r="H805" s="31"/>
    </row>
    <row r="806" ht="15.75" customHeight="1">
      <c r="B806" s="31"/>
      <c r="C806" s="31"/>
      <c r="D806" s="31"/>
      <c r="E806" s="31"/>
      <c r="F806" s="31"/>
      <c r="G806" s="31"/>
      <c r="H806" s="31"/>
    </row>
    <row r="807" ht="15.75" customHeight="1">
      <c r="B807" s="31"/>
      <c r="C807" s="31"/>
      <c r="D807" s="31"/>
      <c r="E807" s="31"/>
      <c r="F807" s="31"/>
      <c r="G807" s="31"/>
      <c r="H807" s="31"/>
    </row>
    <row r="808" ht="15.75" customHeight="1">
      <c r="B808" s="31"/>
      <c r="C808" s="31"/>
      <c r="D808" s="31"/>
      <c r="E808" s="31"/>
      <c r="F808" s="31"/>
      <c r="G808" s="31"/>
      <c r="H808" s="31"/>
    </row>
    <row r="809" ht="15.75" customHeight="1">
      <c r="B809" s="31"/>
      <c r="C809" s="31"/>
      <c r="D809" s="31"/>
      <c r="E809" s="31"/>
      <c r="F809" s="31"/>
      <c r="G809" s="31"/>
      <c r="H809" s="31"/>
    </row>
    <row r="810" ht="15.75" customHeight="1">
      <c r="B810" s="31"/>
      <c r="C810" s="31"/>
      <c r="D810" s="31"/>
      <c r="E810" s="31"/>
      <c r="F810" s="31"/>
      <c r="G810" s="31"/>
      <c r="H810" s="31"/>
    </row>
    <row r="811" ht="15.75" customHeight="1">
      <c r="B811" s="31"/>
      <c r="C811" s="31"/>
      <c r="D811" s="31"/>
      <c r="E811" s="31"/>
      <c r="F811" s="31"/>
      <c r="G811" s="31"/>
      <c r="H811" s="31"/>
    </row>
    <row r="812" ht="15.75" customHeight="1">
      <c r="B812" s="31"/>
      <c r="C812" s="31"/>
      <c r="D812" s="31"/>
      <c r="E812" s="31"/>
      <c r="F812" s="31"/>
      <c r="G812" s="31"/>
      <c r="H812" s="31"/>
    </row>
    <row r="813" ht="15.75" customHeight="1">
      <c r="B813" s="31"/>
      <c r="C813" s="31"/>
      <c r="D813" s="31"/>
      <c r="E813" s="31"/>
      <c r="F813" s="31"/>
      <c r="G813" s="31"/>
      <c r="H813" s="31"/>
    </row>
    <row r="814" ht="15.75" customHeight="1">
      <c r="B814" s="31"/>
      <c r="C814" s="31"/>
      <c r="D814" s="31"/>
      <c r="E814" s="31"/>
      <c r="F814" s="31"/>
      <c r="G814" s="31"/>
      <c r="H814" s="31"/>
    </row>
    <row r="815" ht="15.75" customHeight="1">
      <c r="B815" s="31"/>
      <c r="C815" s="31"/>
      <c r="D815" s="31"/>
      <c r="E815" s="31"/>
      <c r="F815" s="31"/>
      <c r="G815" s="31"/>
      <c r="H815" s="31"/>
    </row>
    <row r="816" ht="15.75" customHeight="1">
      <c r="B816" s="31"/>
      <c r="C816" s="31"/>
      <c r="D816" s="31"/>
      <c r="E816" s="31"/>
      <c r="F816" s="31"/>
      <c r="G816" s="31"/>
      <c r="H816" s="31"/>
    </row>
    <row r="817" ht="15.75" customHeight="1">
      <c r="B817" s="31"/>
      <c r="C817" s="31"/>
      <c r="D817" s="31"/>
      <c r="E817" s="31"/>
      <c r="F817" s="31"/>
      <c r="G817" s="31"/>
      <c r="H817" s="31"/>
    </row>
    <row r="818" ht="15.75" customHeight="1">
      <c r="B818" s="31"/>
      <c r="C818" s="31"/>
      <c r="D818" s="31"/>
      <c r="E818" s="31"/>
      <c r="F818" s="31"/>
      <c r="G818" s="31"/>
      <c r="H818" s="31"/>
    </row>
    <row r="819" ht="15.75" customHeight="1">
      <c r="B819" s="31"/>
      <c r="C819" s="31"/>
      <c r="D819" s="31"/>
      <c r="E819" s="31"/>
      <c r="F819" s="31"/>
      <c r="G819" s="31"/>
      <c r="H819" s="31"/>
    </row>
    <row r="820" ht="15.75" customHeight="1">
      <c r="B820" s="31"/>
      <c r="C820" s="31"/>
      <c r="D820" s="31"/>
      <c r="E820" s="31"/>
      <c r="F820" s="31"/>
      <c r="G820" s="31"/>
      <c r="H820" s="31"/>
    </row>
    <row r="821" ht="15.75" customHeight="1">
      <c r="B821" s="31"/>
      <c r="C821" s="31"/>
      <c r="D821" s="31"/>
      <c r="E821" s="31"/>
      <c r="F821" s="31"/>
      <c r="G821" s="31"/>
      <c r="H821" s="31"/>
    </row>
    <row r="822" ht="15.75" customHeight="1">
      <c r="B822" s="31"/>
      <c r="C822" s="31"/>
      <c r="D822" s="31"/>
      <c r="E822" s="31"/>
      <c r="F822" s="31"/>
      <c r="G822" s="31"/>
      <c r="H822" s="31"/>
    </row>
    <row r="823" ht="15.75" customHeight="1">
      <c r="B823" s="31"/>
      <c r="C823" s="31"/>
      <c r="D823" s="31"/>
      <c r="E823" s="31"/>
      <c r="F823" s="31"/>
      <c r="G823" s="31"/>
      <c r="H823" s="31"/>
    </row>
    <row r="824" ht="15.75" customHeight="1">
      <c r="B824" s="31"/>
      <c r="C824" s="31"/>
      <c r="D824" s="31"/>
      <c r="E824" s="31"/>
      <c r="F824" s="31"/>
      <c r="G824" s="31"/>
      <c r="H824" s="31"/>
    </row>
    <row r="825" ht="15.75" customHeight="1">
      <c r="B825" s="31"/>
      <c r="C825" s="31"/>
      <c r="D825" s="31"/>
      <c r="E825" s="31"/>
      <c r="F825" s="31"/>
      <c r="G825" s="31"/>
      <c r="H825" s="31"/>
    </row>
    <row r="826" ht="15.75" customHeight="1">
      <c r="B826" s="31"/>
      <c r="C826" s="31"/>
      <c r="D826" s="31"/>
      <c r="E826" s="31"/>
      <c r="F826" s="31"/>
      <c r="G826" s="31"/>
      <c r="H826" s="31"/>
    </row>
    <row r="827" ht="15.75" customHeight="1">
      <c r="B827" s="31"/>
      <c r="C827" s="31"/>
      <c r="D827" s="31"/>
      <c r="E827" s="31"/>
      <c r="F827" s="31"/>
      <c r="G827" s="31"/>
      <c r="H827" s="31"/>
    </row>
    <row r="828" ht="15.75" customHeight="1">
      <c r="B828" s="31"/>
      <c r="C828" s="31"/>
      <c r="D828" s="31"/>
      <c r="E828" s="31"/>
      <c r="F828" s="31"/>
      <c r="G828" s="31"/>
      <c r="H828" s="31"/>
    </row>
    <row r="829" ht="15.75" customHeight="1">
      <c r="B829" s="31"/>
      <c r="C829" s="31"/>
      <c r="D829" s="31"/>
      <c r="E829" s="31"/>
      <c r="F829" s="31"/>
      <c r="G829" s="31"/>
      <c r="H829" s="31"/>
    </row>
    <row r="830" ht="15.75" customHeight="1">
      <c r="B830" s="31"/>
      <c r="C830" s="31"/>
      <c r="D830" s="31"/>
      <c r="E830" s="31"/>
      <c r="F830" s="31"/>
      <c r="G830" s="31"/>
      <c r="H830" s="31"/>
    </row>
    <row r="831" ht="15.75" customHeight="1">
      <c r="B831" s="31"/>
      <c r="C831" s="31"/>
      <c r="D831" s="31"/>
      <c r="E831" s="31"/>
      <c r="F831" s="31"/>
      <c r="G831" s="31"/>
      <c r="H831" s="31"/>
    </row>
    <row r="832" ht="15.75" customHeight="1">
      <c r="B832" s="31"/>
      <c r="C832" s="31"/>
      <c r="D832" s="31"/>
      <c r="E832" s="31"/>
      <c r="F832" s="31"/>
      <c r="G832" s="31"/>
      <c r="H832" s="31"/>
    </row>
    <row r="833" ht="15.75" customHeight="1">
      <c r="B833" s="31"/>
      <c r="C833" s="31"/>
      <c r="D833" s="31"/>
      <c r="E833" s="31"/>
      <c r="F833" s="31"/>
      <c r="G833" s="31"/>
      <c r="H833" s="31"/>
    </row>
    <row r="834" ht="15.75" customHeight="1">
      <c r="B834" s="31"/>
      <c r="C834" s="31"/>
      <c r="D834" s="31"/>
      <c r="E834" s="31"/>
      <c r="F834" s="31"/>
      <c r="G834" s="31"/>
      <c r="H834" s="31"/>
    </row>
    <row r="835" ht="15.75" customHeight="1">
      <c r="B835" s="31"/>
      <c r="C835" s="31"/>
      <c r="D835" s="31"/>
      <c r="E835" s="31"/>
      <c r="F835" s="31"/>
      <c r="G835" s="31"/>
      <c r="H835" s="31"/>
    </row>
    <row r="836" ht="15.75" customHeight="1">
      <c r="B836" s="31"/>
      <c r="C836" s="31"/>
      <c r="D836" s="31"/>
      <c r="E836" s="31"/>
      <c r="F836" s="31"/>
      <c r="G836" s="31"/>
      <c r="H836" s="31"/>
    </row>
    <row r="837" ht="15.75" customHeight="1">
      <c r="B837" s="31"/>
      <c r="C837" s="31"/>
      <c r="D837" s="31"/>
      <c r="E837" s="31"/>
      <c r="F837" s="31"/>
      <c r="G837" s="31"/>
      <c r="H837" s="31"/>
    </row>
    <row r="838" ht="15.75" customHeight="1">
      <c r="B838" s="31"/>
      <c r="C838" s="31"/>
      <c r="D838" s="31"/>
      <c r="E838" s="31"/>
      <c r="F838" s="31"/>
      <c r="G838" s="31"/>
      <c r="H838" s="31"/>
    </row>
    <row r="839" ht="15.75" customHeight="1">
      <c r="B839" s="31"/>
      <c r="C839" s="31"/>
      <c r="D839" s="31"/>
      <c r="E839" s="31"/>
      <c r="F839" s="31"/>
      <c r="G839" s="31"/>
      <c r="H839" s="31"/>
    </row>
    <row r="840" ht="15.75" customHeight="1">
      <c r="B840" s="31"/>
      <c r="C840" s="31"/>
      <c r="D840" s="31"/>
      <c r="E840" s="31"/>
      <c r="F840" s="31"/>
      <c r="G840" s="31"/>
      <c r="H840" s="31"/>
    </row>
    <row r="841" ht="15.75" customHeight="1">
      <c r="B841" s="31"/>
      <c r="C841" s="31"/>
      <c r="D841" s="31"/>
      <c r="E841" s="31"/>
      <c r="F841" s="31"/>
      <c r="G841" s="31"/>
      <c r="H841" s="31"/>
    </row>
    <row r="842" ht="15.75" customHeight="1">
      <c r="B842" s="31"/>
      <c r="C842" s="31"/>
      <c r="D842" s="31"/>
      <c r="E842" s="31"/>
      <c r="F842" s="31"/>
      <c r="G842" s="31"/>
      <c r="H842" s="31"/>
    </row>
    <row r="843" ht="15.75" customHeight="1">
      <c r="B843" s="31"/>
      <c r="C843" s="31"/>
      <c r="D843" s="31"/>
      <c r="E843" s="31"/>
      <c r="F843" s="31"/>
      <c r="G843" s="31"/>
      <c r="H843" s="31"/>
    </row>
    <row r="844" ht="15.75" customHeight="1">
      <c r="B844" s="31"/>
      <c r="C844" s="31"/>
      <c r="D844" s="31"/>
      <c r="E844" s="31"/>
      <c r="F844" s="31"/>
      <c r="G844" s="31"/>
      <c r="H844" s="31"/>
    </row>
    <row r="845" ht="15.75" customHeight="1">
      <c r="B845" s="31"/>
      <c r="C845" s="31"/>
      <c r="D845" s="31"/>
      <c r="E845" s="31"/>
      <c r="F845" s="31"/>
      <c r="G845" s="31"/>
      <c r="H845" s="31"/>
    </row>
    <row r="846" ht="15.75" customHeight="1">
      <c r="B846" s="31"/>
      <c r="C846" s="31"/>
      <c r="D846" s="31"/>
      <c r="E846" s="31"/>
      <c r="F846" s="31"/>
      <c r="G846" s="31"/>
      <c r="H846" s="31"/>
    </row>
    <row r="847" ht="15.75" customHeight="1">
      <c r="B847" s="31"/>
      <c r="C847" s="31"/>
      <c r="D847" s="31"/>
      <c r="E847" s="31"/>
      <c r="F847" s="31"/>
      <c r="G847" s="31"/>
      <c r="H847" s="31"/>
    </row>
    <row r="848" ht="15.75" customHeight="1">
      <c r="B848" s="31"/>
      <c r="C848" s="31"/>
      <c r="D848" s="31"/>
      <c r="E848" s="31"/>
      <c r="F848" s="31"/>
      <c r="G848" s="31"/>
      <c r="H848" s="31"/>
    </row>
    <row r="849" ht="15.75" customHeight="1">
      <c r="B849" s="31"/>
      <c r="C849" s="31"/>
      <c r="D849" s="31"/>
      <c r="E849" s="31"/>
      <c r="F849" s="31"/>
      <c r="G849" s="31"/>
      <c r="H849" s="31"/>
    </row>
    <row r="850" ht="15.75" customHeight="1">
      <c r="B850" s="31"/>
      <c r="C850" s="31"/>
      <c r="D850" s="31"/>
      <c r="E850" s="31"/>
      <c r="F850" s="31"/>
      <c r="G850" s="31"/>
      <c r="H850" s="31"/>
    </row>
    <row r="851" ht="15.75" customHeight="1">
      <c r="B851" s="31"/>
      <c r="C851" s="31"/>
      <c r="D851" s="31"/>
      <c r="E851" s="31"/>
      <c r="F851" s="31"/>
      <c r="G851" s="31"/>
      <c r="H851" s="31"/>
    </row>
    <row r="852" ht="15.75" customHeight="1">
      <c r="B852" s="31"/>
      <c r="C852" s="31"/>
      <c r="D852" s="31"/>
      <c r="E852" s="31"/>
      <c r="F852" s="31"/>
      <c r="G852" s="31"/>
      <c r="H852" s="31"/>
    </row>
    <row r="853" ht="15.75" customHeight="1">
      <c r="B853" s="31"/>
      <c r="C853" s="31"/>
      <c r="D853" s="31"/>
      <c r="E853" s="31"/>
      <c r="F853" s="31"/>
      <c r="G853" s="31"/>
      <c r="H853" s="31"/>
    </row>
    <row r="854" ht="15.75" customHeight="1">
      <c r="B854" s="31"/>
      <c r="C854" s="31"/>
      <c r="D854" s="31"/>
      <c r="E854" s="31"/>
      <c r="F854" s="31"/>
      <c r="G854" s="31"/>
      <c r="H854" s="31"/>
    </row>
    <row r="855" ht="15.75" customHeight="1">
      <c r="B855" s="31"/>
      <c r="C855" s="31"/>
      <c r="D855" s="31"/>
      <c r="E855" s="31"/>
      <c r="F855" s="31"/>
      <c r="G855" s="31"/>
      <c r="H855" s="31"/>
    </row>
    <row r="856" ht="15.75" customHeight="1">
      <c r="B856" s="31"/>
      <c r="C856" s="31"/>
      <c r="D856" s="31"/>
      <c r="E856" s="31"/>
      <c r="F856" s="31"/>
      <c r="G856" s="31"/>
      <c r="H856" s="31"/>
    </row>
    <row r="857" ht="15.75" customHeight="1">
      <c r="B857" s="31"/>
      <c r="C857" s="31"/>
      <c r="D857" s="31"/>
      <c r="E857" s="31"/>
      <c r="F857" s="31"/>
      <c r="G857" s="31"/>
      <c r="H857" s="31"/>
    </row>
    <row r="858" ht="15.75" customHeight="1">
      <c r="B858" s="31"/>
      <c r="C858" s="31"/>
      <c r="D858" s="31"/>
      <c r="E858" s="31"/>
      <c r="F858" s="31"/>
      <c r="G858" s="31"/>
      <c r="H858" s="31"/>
    </row>
    <row r="859" ht="15.75" customHeight="1">
      <c r="B859" s="31"/>
      <c r="C859" s="31"/>
      <c r="D859" s="31"/>
      <c r="E859" s="31"/>
      <c r="F859" s="31"/>
      <c r="G859" s="31"/>
      <c r="H859" s="31"/>
    </row>
    <row r="860" ht="15.75" customHeight="1">
      <c r="B860" s="31"/>
      <c r="C860" s="31"/>
      <c r="D860" s="31"/>
      <c r="E860" s="31"/>
      <c r="F860" s="31"/>
      <c r="G860" s="31"/>
      <c r="H860" s="31"/>
    </row>
    <row r="861" ht="15.75" customHeight="1">
      <c r="B861" s="31"/>
      <c r="C861" s="31"/>
      <c r="D861" s="31"/>
      <c r="E861" s="31"/>
      <c r="F861" s="31"/>
      <c r="G861" s="31"/>
      <c r="H861" s="31"/>
    </row>
    <row r="862" ht="15.75" customHeight="1">
      <c r="B862" s="31"/>
      <c r="C862" s="31"/>
      <c r="D862" s="31"/>
      <c r="E862" s="31"/>
      <c r="F862" s="31"/>
      <c r="G862" s="31"/>
      <c r="H862" s="31"/>
    </row>
    <row r="863" ht="15.75" customHeight="1">
      <c r="B863" s="31"/>
      <c r="C863" s="31"/>
      <c r="D863" s="31"/>
      <c r="E863" s="31"/>
      <c r="F863" s="31"/>
      <c r="G863" s="31"/>
      <c r="H863" s="31"/>
    </row>
    <row r="864" ht="15.75" customHeight="1">
      <c r="B864" s="31"/>
      <c r="C864" s="31"/>
      <c r="D864" s="31"/>
      <c r="E864" s="31"/>
      <c r="F864" s="31"/>
      <c r="G864" s="31"/>
      <c r="H864" s="31"/>
    </row>
    <row r="865" ht="15.75" customHeight="1">
      <c r="B865" s="31"/>
      <c r="C865" s="31"/>
      <c r="D865" s="31"/>
      <c r="E865" s="31"/>
      <c r="F865" s="31"/>
      <c r="G865" s="31"/>
      <c r="H865" s="31"/>
    </row>
    <row r="866" ht="15.75" customHeight="1">
      <c r="B866" s="31"/>
      <c r="C866" s="31"/>
      <c r="D866" s="31"/>
      <c r="E866" s="31"/>
      <c r="F866" s="31"/>
      <c r="G866" s="31"/>
      <c r="H866" s="31"/>
    </row>
    <row r="867" ht="15.75" customHeight="1">
      <c r="B867" s="31"/>
      <c r="C867" s="31"/>
      <c r="D867" s="31"/>
      <c r="E867" s="31"/>
      <c r="F867" s="31"/>
      <c r="G867" s="31"/>
      <c r="H867" s="31"/>
    </row>
    <row r="868" ht="15.75" customHeight="1">
      <c r="B868" s="31"/>
      <c r="C868" s="31"/>
      <c r="D868" s="31"/>
      <c r="E868" s="31"/>
      <c r="F868" s="31"/>
      <c r="G868" s="31"/>
      <c r="H868" s="31"/>
    </row>
    <row r="869" ht="15.75" customHeight="1">
      <c r="B869" s="31"/>
      <c r="C869" s="31"/>
      <c r="D869" s="31"/>
      <c r="E869" s="31"/>
      <c r="F869" s="31"/>
      <c r="G869" s="31"/>
      <c r="H869" s="31"/>
    </row>
    <row r="870" ht="15.75" customHeight="1">
      <c r="B870" s="31"/>
      <c r="C870" s="31"/>
      <c r="D870" s="31"/>
      <c r="E870" s="31"/>
      <c r="F870" s="31"/>
      <c r="G870" s="31"/>
      <c r="H870" s="31"/>
    </row>
    <row r="871" ht="15.75" customHeight="1">
      <c r="B871" s="31"/>
      <c r="C871" s="31"/>
      <c r="D871" s="31"/>
      <c r="E871" s="31"/>
      <c r="F871" s="31"/>
      <c r="G871" s="31"/>
      <c r="H871" s="31"/>
    </row>
    <row r="872" ht="15.75" customHeight="1">
      <c r="B872" s="31"/>
      <c r="C872" s="31"/>
      <c r="D872" s="31"/>
      <c r="E872" s="31"/>
      <c r="F872" s="31"/>
      <c r="G872" s="31"/>
      <c r="H872" s="31"/>
    </row>
    <row r="873" ht="15.75" customHeight="1">
      <c r="B873" s="31"/>
      <c r="C873" s="31"/>
      <c r="D873" s="31"/>
      <c r="E873" s="31"/>
      <c r="F873" s="31"/>
      <c r="G873" s="31"/>
      <c r="H873" s="31"/>
    </row>
    <row r="874" ht="15.75" customHeight="1">
      <c r="B874" s="31"/>
      <c r="C874" s="31"/>
      <c r="D874" s="31"/>
      <c r="E874" s="31"/>
      <c r="F874" s="31"/>
      <c r="G874" s="31"/>
      <c r="H874" s="31"/>
    </row>
    <row r="875" ht="15.75" customHeight="1">
      <c r="B875" s="31"/>
      <c r="C875" s="31"/>
      <c r="D875" s="31"/>
      <c r="E875" s="31"/>
      <c r="F875" s="31"/>
      <c r="G875" s="31"/>
      <c r="H875" s="31"/>
    </row>
    <row r="876" ht="15.75" customHeight="1">
      <c r="B876" s="31"/>
      <c r="C876" s="31"/>
      <c r="D876" s="31"/>
      <c r="E876" s="31"/>
      <c r="F876" s="31"/>
      <c r="G876" s="31"/>
      <c r="H876" s="31"/>
    </row>
    <row r="877" ht="15.75" customHeight="1">
      <c r="B877" s="31"/>
      <c r="C877" s="31"/>
      <c r="D877" s="31"/>
      <c r="E877" s="31"/>
      <c r="F877" s="31"/>
      <c r="G877" s="31"/>
      <c r="H877" s="31"/>
    </row>
    <row r="878" ht="15.75" customHeight="1">
      <c r="B878" s="31"/>
      <c r="C878" s="31"/>
      <c r="D878" s="31"/>
      <c r="E878" s="31"/>
      <c r="F878" s="31"/>
      <c r="G878" s="31"/>
      <c r="H878" s="31"/>
    </row>
    <row r="879" ht="15.75" customHeight="1">
      <c r="B879" s="31"/>
      <c r="C879" s="31"/>
      <c r="D879" s="31"/>
      <c r="E879" s="31"/>
      <c r="F879" s="31"/>
      <c r="G879" s="31"/>
      <c r="H879" s="31"/>
    </row>
    <row r="880" ht="15.75" customHeight="1">
      <c r="B880" s="31"/>
      <c r="C880" s="31"/>
      <c r="D880" s="31"/>
      <c r="E880" s="31"/>
      <c r="F880" s="31"/>
      <c r="G880" s="31"/>
      <c r="H880" s="31"/>
    </row>
    <row r="881" ht="15.75" customHeight="1">
      <c r="B881" s="31"/>
      <c r="C881" s="31"/>
      <c r="D881" s="31"/>
      <c r="E881" s="31"/>
      <c r="F881" s="31"/>
      <c r="G881" s="31"/>
      <c r="H881" s="31"/>
    </row>
    <row r="882" ht="15.75" customHeight="1">
      <c r="B882" s="31"/>
      <c r="C882" s="31"/>
      <c r="D882" s="31"/>
      <c r="E882" s="31"/>
      <c r="F882" s="31"/>
      <c r="G882" s="31"/>
      <c r="H882" s="31"/>
    </row>
    <row r="883" ht="15.75" customHeight="1">
      <c r="B883" s="31"/>
      <c r="C883" s="31"/>
      <c r="D883" s="31"/>
      <c r="E883" s="31"/>
      <c r="F883" s="31"/>
      <c r="G883" s="31"/>
      <c r="H883" s="31"/>
    </row>
    <row r="884" ht="15.75" customHeight="1">
      <c r="B884" s="31"/>
      <c r="C884" s="31"/>
      <c r="D884" s="31"/>
      <c r="E884" s="31"/>
      <c r="F884" s="31"/>
      <c r="G884" s="31"/>
      <c r="H884" s="31"/>
    </row>
    <row r="885" ht="15.75" customHeight="1">
      <c r="B885" s="31"/>
      <c r="C885" s="31"/>
      <c r="D885" s="31"/>
      <c r="E885" s="31"/>
      <c r="F885" s="31"/>
      <c r="G885" s="31"/>
      <c r="H885" s="31"/>
    </row>
    <row r="886" ht="15.75" customHeight="1">
      <c r="B886" s="31"/>
      <c r="C886" s="31"/>
      <c r="D886" s="31"/>
      <c r="E886" s="31"/>
      <c r="F886" s="31"/>
      <c r="G886" s="31"/>
      <c r="H886" s="31"/>
    </row>
    <row r="887" ht="15.75" customHeight="1">
      <c r="B887" s="31"/>
      <c r="C887" s="31"/>
      <c r="D887" s="31"/>
      <c r="E887" s="31"/>
      <c r="F887" s="31"/>
      <c r="G887" s="31"/>
      <c r="H887" s="31"/>
    </row>
    <row r="888" ht="15.75" customHeight="1">
      <c r="B888" s="31"/>
      <c r="C888" s="31"/>
      <c r="D888" s="31"/>
      <c r="E888" s="31"/>
      <c r="F888" s="31"/>
      <c r="G888" s="31"/>
      <c r="H888" s="31"/>
    </row>
    <row r="889" ht="15.75" customHeight="1">
      <c r="B889" s="31"/>
      <c r="C889" s="31"/>
      <c r="D889" s="31"/>
      <c r="E889" s="31"/>
      <c r="F889" s="31"/>
      <c r="G889" s="31"/>
      <c r="H889" s="31"/>
    </row>
    <row r="890" ht="15.75" customHeight="1">
      <c r="B890" s="31"/>
      <c r="C890" s="31"/>
      <c r="D890" s="31"/>
      <c r="E890" s="31"/>
      <c r="F890" s="31"/>
      <c r="G890" s="31"/>
      <c r="H890" s="31"/>
    </row>
    <row r="891" ht="15.75" customHeight="1">
      <c r="B891" s="31"/>
      <c r="C891" s="31"/>
      <c r="D891" s="31"/>
      <c r="E891" s="31"/>
      <c r="F891" s="31"/>
      <c r="G891" s="31"/>
      <c r="H891" s="31"/>
    </row>
    <row r="892" ht="15.75" customHeight="1">
      <c r="B892" s="31"/>
      <c r="C892" s="31"/>
      <c r="D892" s="31"/>
      <c r="E892" s="31"/>
      <c r="F892" s="31"/>
      <c r="G892" s="31"/>
      <c r="H892" s="31"/>
    </row>
    <row r="893" ht="15.75" customHeight="1">
      <c r="B893" s="31"/>
      <c r="C893" s="31"/>
      <c r="D893" s="31"/>
      <c r="E893" s="31"/>
      <c r="F893" s="31"/>
      <c r="G893" s="31"/>
      <c r="H893" s="31"/>
    </row>
    <row r="894" ht="15.75" customHeight="1">
      <c r="B894" s="31"/>
      <c r="C894" s="31"/>
      <c r="D894" s="31"/>
      <c r="E894" s="31"/>
      <c r="F894" s="31"/>
      <c r="G894" s="31"/>
      <c r="H894" s="31"/>
    </row>
    <row r="895" ht="15.75" customHeight="1">
      <c r="B895" s="31"/>
      <c r="C895" s="31"/>
      <c r="D895" s="31"/>
      <c r="E895" s="31"/>
      <c r="F895" s="31"/>
      <c r="G895" s="31"/>
      <c r="H895" s="31"/>
    </row>
    <row r="896" ht="15.75" customHeight="1">
      <c r="B896" s="31"/>
      <c r="C896" s="31"/>
      <c r="D896" s="31"/>
      <c r="E896" s="31"/>
      <c r="F896" s="31"/>
      <c r="G896" s="31"/>
      <c r="H896" s="31"/>
    </row>
    <row r="897" ht="15.75" customHeight="1">
      <c r="B897" s="31"/>
      <c r="C897" s="31"/>
      <c r="D897" s="31"/>
      <c r="E897" s="31"/>
      <c r="F897" s="31"/>
      <c r="G897" s="31"/>
      <c r="H897" s="31"/>
    </row>
    <row r="898" ht="15.75" customHeight="1">
      <c r="B898" s="31"/>
      <c r="C898" s="31"/>
      <c r="D898" s="31"/>
      <c r="E898" s="31"/>
      <c r="F898" s="31"/>
      <c r="G898" s="31"/>
      <c r="H898" s="31"/>
    </row>
    <row r="899" ht="15.75" customHeight="1">
      <c r="B899" s="31"/>
      <c r="C899" s="31"/>
      <c r="D899" s="31"/>
      <c r="E899" s="31"/>
      <c r="F899" s="31"/>
      <c r="G899" s="31"/>
      <c r="H899" s="31"/>
    </row>
    <row r="900" ht="15.75" customHeight="1">
      <c r="B900" s="31"/>
      <c r="C900" s="31"/>
      <c r="D900" s="31"/>
      <c r="E900" s="31"/>
      <c r="F900" s="31"/>
      <c r="G900" s="31"/>
      <c r="H900" s="31"/>
    </row>
    <row r="901" ht="15.75" customHeight="1">
      <c r="B901" s="31"/>
      <c r="C901" s="31"/>
      <c r="D901" s="31"/>
      <c r="E901" s="31"/>
      <c r="F901" s="31"/>
      <c r="G901" s="31"/>
      <c r="H901" s="31"/>
    </row>
    <row r="902" ht="15.75" customHeight="1">
      <c r="B902" s="31"/>
      <c r="C902" s="31"/>
      <c r="D902" s="31"/>
      <c r="E902" s="31"/>
      <c r="F902" s="31"/>
      <c r="G902" s="31"/>
      <c r="H902" s="31"/>
    </row>
    <row r="903" ht="15.75" customHeight="1">
      <c r="B903" s="31"/>
      <c r="C903" s="31"/>
      <c r="D903" s="31"/>
      <c r="E903" s="31"/>
      <c r="F903" s="31"/>
      <c r="G903" s="31"/>
      <c r="H903" s="31"/>
    </row>
    <row r="904" ht="15.75" customHeight="1">
      <c r="B904" s="31"/>
      <c r="C904" s="31"/>
      <c r="D904" s="31"/>
      <c r="E904" s="31"/>
      <c r="F904" s="31"/>
      <c r="G904" s="31"/>
      <c r="H904" s="31"/>
    </row>
    <row r="905" ht="15.75" customHeight="1">
      <c r="B905" s="31"/>
      <c r="C905" s="31"/>
      <c r="D905" s="31"/>
      <c r="E905" s="31"/>
      <c r="F905" s="31"/>
      <c r="G905" s="31"/>
      <c r="H905" s="31"/>
    </row>
    <row r="906" ht="15.75" customHeight="1">
      <c r="B906" s="31"/>
      <c r="C906" s="31"/>
      <c r="D906" s="31"/>
      <c r="E906" s="31"/>
      <c r="F906" s="31"/>
      <c r="G906" s="31"/>
      <c r="H906" s="31"/>
    </row>
    <row r="907" ht="15.75" customHeight="1">
      <c r="B907" s="31"/>
      <c r="C907" s="31"/>
      <c r="D907" s="31"/>
      <c r="E907" s="31"/>
      <c r="F907" s="31"/>
      <c r="G907" s="31"/>
      <c r="H907" s="31"/>
    </row>
    <row r="908" ht="15.75" customHeight="1">
      <c r="B908" s="31"/>
      <c r="C908" s="31"/>
      <c r="D908" s="31"/>
      <c r="E908" s="31"/>
      <c r="F908" s="31"/>
      <c r="G908" s="31"/>
      <c r="H908" s="31"/>
    </row>
    <row r="909" ht="15.75" customHeight="1">
      <c r="B909" s="31"/>
      <c r="C909" s="31"/>
      <c r="D909" s="31"/>
      <c r="E909" s="31"/>
      <c r="F909" s="31"/>
      <c r="G909" s="31"/>
      <c r="H909" s="31"/>
    </row>
    <row r="910" ht="15.75" customHeight="1">
      <c r="B910" s="31"/>
      <c r="C910" s="31"/>
      <c r="D910" s="31"/>
      <c r="E910" s="31"/>
      <c r="F910" s="31"/>
      <c r="G910" s="31"/>
      <c r="H910" s="31"/>
    </row>
    <row r="911" ht="15.75" customHeight="1">
      <c r="B911" s="31"/>
      <c r="C911" s="31"/>
      <c r="D911" s="31"/>
      <c r="E911" s="31"/>
      <c r="F911" s="31"/>
      <c r="G911" s="31"/>
      <c r="H911" s="31"/>
    </row>
    <row r="912" ht="15.75" customHeight="1">
      <c r="B912" s="31"/>
      <c r="C912" s="31"/>
      <c r="D912" s="31"/>
      <c r="E912" s="31"/>
      <c r="F912" s="31"/>
      <c r="G912" s="31"/>
      <c r="H912" s="31"/>
    </row>
    <row r="913" ht="15.75" customHeight="1">
      <c r="B913" s="31"/>
      <c r="C913" s="31"/>
      <c r="D913" s="31"/>
      <c r="E913" s="31"/>
      <c r="F913" s="31"/>
      <c r="G913" s="31"/>
      <c r="H913" s="31"/>
    </row>
    <row r="914" ht="15.75" customHeight="1">
      <c r="B914" s="31"/>
      <c r="C914" s="31"/>
      <c r="D914" s="31"/>
      <c r="E914" s="31"/>
      <c r="F914" s="31"/>
      <c r="G914" s="31"/>
      <c r="H914" s="31"/>
    </row>
    <row r="915" ht="15.75" customHeight="1">
      <c r="B915" s="31"/>
      <c r="C915" s="31"/>
      <c r="D915" s="31"/>
      <c r="E915" s="31"/>
      <c r="F915" s="31"/>
      <c r="G915" s="31"/>
      <c r="H915" s="31"/>
    </row>
    <row r="916" ht="15.75" customHeight="1">
      <c r="B916" s="31"/>
      <c r="C916" s="31"/>
      <c r="D916" s="31"/>
      <c r="E916" s="31"/>
      <c r="F916" s="31"/>
      <c r="G916" s="31"/>
      <c r="H916" s="31"/>
    </row>
    <row r="917" ht="15.75" customHeight="1">
      <c r="B917" s="31"/>
      <c r="C917" s="31"/>
      <c r="D917" s="31"/>
      <c r="E917" s="31"/>
      <c r="F917" s="31"/>
      <c r="G917" s="31"/>
      <c r="H917" s="31"/>
    </row>
    <row r="918" ht="15.75" customHeight="1">
      <c r="B918" s="31"/>
      <c r="C918" s="31"/>
      <c r="D918" s="31"/>
      <c r="E918" s="31"/>
      <c r="F918" s="31"/>
      <c r="G918" s="31"/>
      <c r="H918" s="31"/>
    </row>
    <row r="919" ht="15.75" customHeight="1">
      <c r="B919" s="31"/>
      <c r="C919" s="31"/>
      <c r="D919" s="31"/>
      <c r="E919" s="31"/>
      <c r="F919" s="31"/>
      <c r="G919" s="31"/>
      <c r="H919" s="31"/>
    </row>
    <row r="920" ht="15.75" customHeight="1">
      <c r="B920" s="31"/>
      <c r="C920" s="31"/>
      <c r="D920" s="31"/>
      <c r="E920" s="31"/>
      <c r="F920" s="31"/>
      <c r="G920" s="31"/>
      <c r="H920" s="31"/>
    </row>
    <row r="921" ht="15.75" customHeight="1">
      <c r="B921" s="31"/>
      <c r="C921" s="31"/>
      <c r="D921" s="31"/>
      <c r="E921" s="31"/>
      <c r="F921" s="31"/>
      <c r="G921" s="31"/>
      <c r="H921" s="31"/>
    </row>
    <row r="922" ht="15.75" customHeight="1">
      <c r="B922" s="31"/>
      <c r="C922" s="31"/>
      <c r="D922" s="31"/>
      <c r="E922" s="31"/>
      <c r="F922" s="31"/>
      <c r="G922" s="31"/>
      <c r="H922" s="31"/>
    </row>
    <row r="923" ht="15.75" customHeight="1">
      <c r="B923" s="31"/>
      <c r="C923" s="31"/>
      <c r="D923" s="31"/>
      <c r="E923" s="31"/>
      <c r="F923" s="31"/>
      <c r="G923" s="31"/>
      <c r="H923" s="31"/>
    </row>
    <row r="924" ht="15.75" customHeight="1">
      <c r="B924" s="31"/>
      <c r="C924" s="31"/>
      <c r="D924" s="31"/>
      <c r="E924" s="31"/>
      <c r="F924" s="31"/>
      <c r="G924" s="31"/>
      <c r="H924" s="31"/>
    </row>
    <row r="925" ht="15.75" customHeight="1">
      <c r="B925" s="31"/>
      <c r="C925" s="31"/>
      <c r="D925" s="31"/>
      <c r="E925" s="31"/>
      <c r="F925" s="31"/>
      <c r="G925" s="31"/>
      <c r="H925" s="31"/>
    </row>
    <row r="926" ht="15.75" customHeight="1">
      <c r="B926" s="31"/>
      <c r="C926" s="31"/>
      <c r="D926" s="31"/>
      <c r="E926" s="31"/>
      <c r="F926" s="31"/>
      <c r="G926" s="31"/>
      <c r="H926" s="31"/>
    </row>
    <row r="927" ht="15.75" customHeight="1">
      <c r="B927" s="31"/>
      <c r="C927" s="31"/>
      <c r="D927" s="31"/>
      <c r="E927" s="31"/>
      <c r="F927" s="31"/>
      <c r="G927" s="31"/>
      <c r="H927" s="31"/>
    </row>
    <row r="928" ht="15.75" customHeight="1">
      <c r="B928" s="31"/>
      <c r="C928" s="31"/>
      <c r="D928" s="31"/>
      <c r="E928" s="31"/>
      <c r="F928" s="31"/>
      <c r="G928" s="31"/>
      <c r="H928" s="31"/>
    </row>
    <row r="929" ht="15.75" customHeight="1">
      <c r="B929" s="31"/>
      <c r="C929" s="31"/>
      <c r="D929" s="31"/>
      <c r="E929" s="31"/>
      <c r="F929" s="31"/>
      <c r="G929" s="31"/>
      <c r="H929" s="31"/>
    </row>
    <row r="930" ht="15.75" customHeight="1">
      <c r="B930" s="31"/>
      <c r="C930" s="31"/>
      <c r="D930" s="31"/>
      <c r="E930" s="31"/>
      <c r="F930" s="31"/>
      <c r="G930" s="31"/>
      <c r="H930" s="31"/>
    </row>
    <row r="931" ht="15.75" customHeight="1">
      <c r="B931" s="31"/>
      <c r="C931" s="31"/>
      <c r="D931" s="31"/>
      <c r="E931" s="31"/>
      <c r="F931" s="31"/>
      <c r="G931" s="31"/>
      <c r="H931" s="31"/>
    </row>
    <row r="932" ht="15.75" customHeight="1">
      <c r="B932" s="31"/>
      <c r="C932" s="31"/>
      <c r="D932" s="31"/>
      <c r="E932" s="31"/>
      <c r="F932" s="31"/>
      <c r="G932" s="31"/>
      <c r="H932" s="31"/>
    </row>
    <row r="933" ht="15.75" customHeight="1">
      <c r="B933" s="31"/>
      <c r="C933" s="31"/>
      <c r="D933" s="31"/>
      <c r="E933" s="31"/>
      <c r="F933" s="31"/>
      <c r="G933" s="31"/>
      <c r="H933" s="31"/>
    </row>
    <row r="934" ht="15.75" customHeight="1">
      <c r="B934" s="31"/>
      <c r="C934" s="31"/>
      <c r="D934" s="31"/>
      <c r="E934" s="31"/>
      <c r="F934" s="31"/>
      <c r="G934" s="31"/>
      <c r="H934" s="31"/>
    </row>
    <row r="935" ht="15.75" customHeight="1">
      <c r="B935" s="31"/>
      <c r="C935" s="31"/>
      <c r="D935" s="31"/>
      <c r="E935" s="31"/>
      <c r="F935" s="31"/>
      <c r="G935" s="31"/>
      <c r="H935" s="31"/>
    </row>
    <row r="936" ht="15.75" customHeight="1">
      <c r="B936" s="31"/>
      <c r="C936" s="31"/>
      <c r="D936" s="31"/>
      <c r="E936" s="31"/>
      <c r="F936" s="31"/>
      <c r="G936" s="31"/>
      <c r="H936" s="31"/>
    </row>
    <row r="937" ht="15.75" customHeight="1">
      <c r="B937" s="31"/>
      <c r="C937" s="31"/>
      <c r="D937" s="31"/>
      <c r="E937" s="31"/>
      <c r="F937" s="31"/>
      <c r="G937" s="31"/>
      <c r="H937" s="31"/>
    </row>
    <row r="938" ht="15.75" customHeight="1">
      <c r="B938" s="31"/>
      <c r="C938" s="31"/>
      <c r="D938" s="31"/>
      <c r="E938" s="31"/>
      <c r="F938" s="31"/>
      <c r="G938" s="31"/>
      <c r="H938" s="31"/>
    </row>
    <row r="939" ht="15.75" customHeight="1">
      <c r="B939" s="31"/>
      <c r="C939" s="31"/>
      <c r="D939" s="31"/>
      <c r="E939" s="31"/>
      <c r="F939" s="31"/>
      <c r="G939" s="31"/>
      <c r="H939" s="31"/>
    </row>
    <row r="940" ht="15.75" customHeight="1">
      <c r="B940" s="31"/>
      <c r="C940" s="31"/>
      <c r="D940" s="31"/>
      <c r="E940" s="31"/>
      <c r="F940" s="31"/>
      <c r="G940" s="31"/>
      <c r="H940" s="31"/>
    </row>
    <row r="941" ht="15.75" customHeight="1">
      <c r="B941" s="31"/>
      <c r="C941" s="31"/>
      <c r="D941" s="31"/>
      <c r="E941" s="31"/>
      <c r="F941" s="31"/>
      <c r="G941" s="31"/>
      <c r="H941" s="31"/>
    </row>
    <row r="942" ht="15.75" customHeight="1">
      <c r="B942" s="31"/>
      <c r="C942" s="31"/>
      <c r="D942" s="31"/>
      <c r="E942" s="31"/>
      <c r="F942" s="31"/>
      <c r="G942" s="31"/>
      <c r="H942" s="31"/>
    </row>
    <row r="943" ht="15.75" customHeight="1">
      <c r="B943" s="31"/>
      <c r="C943" s="31"/>
      <c r="D943" s="31"/>
      <c r="E943" s="31"/>
      <c r="F943" s="31"/>
      <c r="G943" s="31"/>
      <c r="H943" s="31"/>
    </row>
    <row r="944" ht="15.75" customHeight="1">
      <c r="B944" s="31"/>
      <c r="C944" s="31"/>
      <c r="D944" s="31"/>
      <c r="E944" s="31"/>
      <c r="F944" s="31"/>
      <c r="G944" s="31"/>
      <c r="H944" s="31"/>
    </row>
    <row r="945" ht="15.75" customHeight="1">
      <c r="B945" s="31"/>
      <c r="C945" s="31"/>
      <c r="D945" s="31"/>
      <c r="E945" s="31"/>
      <c r="F945" s="31"/>
      <c r="G945" s="31"/>
      <c r="H945" s="31"/>
    </row>
    <row r="946" ht="15.75" customHeight="1">
      <c r="B946" s="31"/>
      <c r="C946" s="31"/>
      <c r="D946" s="31"/>
      <c r="E946" s="31"/>
      <c r="F946" s="31"/>
      <c r="G946" s="31"/>
      <c r="H946" s="31"/>
    </row>
    <row r="947" ht="15.75" customHeight="1">
      <c r="B947" s="31"/>
      <c r="C947" s="31"/>
      <c r="D947" s="31"/>
      <c r="E947" s="31"/>
      <c r="F947" s="31"/>
      <c r="G947" s="31"/>
      <c r="H947" s="31"/>
    </row>
    <row r="948" ht="15.75" customHeight="1">
      <c r="B948" s="31"/>
      <c r="C948" s="31"/>
      <c r="D948" s="31"/>
      <c r="E948" s="31"/>
      <c r="F948" s="31"/>
      <c r="G948" s="31"/>
      <c r="H948" s="31"/>
    </row>
    <row r="949" ht="15.75" customHeight="1">
      <c r="B949" s="31"/>
      <c r="C949" s="31"/>
      <c r="D949" s="31"/>
      <c r="E949" s="31"/>
      <c r="F949" s="31"/>
      <c r="G949" s="31"/>
      <c r="H949" s="31"/>
    </row>
    <row r="950" ht="15.75" customHeight="1">
      <c r="B950" s="31"/>
      <c r="C950" s="31"/>
      <c r="D950" s="31"/>
      <c r="E950" s="31"/>
      <c r="F950" s="31"/>
      <c r="G950" s="31"/>
      <c r="H950" s="31"/>
    </row>
    <row r="951" ht="15.75" customHeight="1">
      <c r="B951" s="31"/>
      <c r="C951" s="31"/>
      <c r="D951" s="31"/>
      <c r="E951" s="31"/>
      <c r="F951" s="31"/>
      <c r="G951" s="31"/>
      <c r="H951" s="31"/>
    </row>
    <row r="952" ht="15.75" customHeight="1">
      <c r="B952" s="31"/>
      <c r="C952" s="31"/>
      <c r="D952" s="31"/>
      <c r="E952" s="31"/>
      <c r="F952" s="31"/>
      <c r="G952" s="31"/>
      <c r="H952" s="31"/>
    </row>
    <row r="953" ht="15.75" customHeight="1">
      <c r="B953" s="31"/>
      <c r="C953" s="31"/>
      <c r="D953" s="31"/>
      <c r="E953" s="31"/>
      <c r="F953" s="31"/>
      <c r="G953" s="31"/>
      <c r="H953" s="31"/>
    </row>
    <row r="954" ht="15.75" customHeight="1">
      <c r="B954" s="31"/>
      <c r="C954" s="31"/>
      <c r="D954" s="31"/>
      <c r="E954" s="31"/>
      <c r="F954" s="31"/>
      <c r="G954" s="31"/>
      <c r="H954" s="31"/>
    </row>
    <row r="955" ht="15.75" customHeight="1">
      <c r="B955" s="31"/>
      <c r="C955" s="31"/>
      <c r="D955" s="31"/>
      <c r="E955" s="31"/>
      <c r="F955" s="31"/>
      <c r="G955" s="31"/>
      <c r="H955" s="31"/>
    </row>
    <row r="956" ht="15.75" customHeight="1">
      <c r="B956" s="31"/>
      <c r="C956" s="31"/>
      <c r="D956" s="31"/>
      <c r="E956" s="31"/>
      <c r="F956" s="31"/>
      <c r="G956" s="31"/>
      <c r="H956" s="31"/>
    </row>
    <row r="957" ht="15.75" customHeight="1">
      <c r="B957" s="31"/>
      <c r="C957" s="31"/>
      <c r="D957" s="31"/>
      <c r="E957" s="31"/>
      <c r="F957" s="31"/>
      <c r="G957" s="31"/>
      <c r="H957" s="31"/>
    </row>
    <row r="958" ht="15.75" customHeight="1">
      <c r="B958" s="31"/>
      <c r="C958" s="31"/>
      <c r="D958" s="31"/>
      <c r="E958" s="31"/>
      <c r="F958" s="31"/>
      <c r="G958" s="31"/>
      <c r="H958" s="31"/>
    </row>
    <row r="959" ht="15.75" customHeight="1">
      <c r="B959" s="31"/>
      <c r="C959" s="31"/>
      <c r="D959" s="31"/>
      <c r="E959" s="31"/>
      <c r="F959" s="31"/>
      <c r="G959" s="31"/>
      <c r="H959" s="31"/>
    </row>
    <row r="960" ht="15.75" customHeight="1">
      <c r="B960" s="31"/>
      <c r="C960" s="31"/>
      <c r="D960" s="31"/>
      <c r="E960" s="31"/>
      <c r="F960" s="31"/>
      <c r="G960" s="31"/>
      <c r="H960" s="31"/>
    </row>
    <row r="961" ht="15.75" customHeight="1">
      <c r="B961" s="31"/>
      <c r="C961" s="31"/>
      <c r="D961" s="31"/>
      <c r="E961" s="31"/>
      <c r="F961" s="31"/>
      <c r="G961" s="31"/>
      <c r="H961" s="31"/>
    </row>
    <row r="962" ht="15.75" customHeight="1">
      <c r="B962" s="31"/>
      <c r="C962" s="31"/>
      <c r="D962" s="31"/>
      <c r="E962" s="31"/>
      <c r="F962" s="31"/>
      <c r="G962" s="31"/>
      <c r="H962" s="31"/>
    </row>
    <row r="963" ht="15.75" customHeight="1">
      <c r="B963" s="31"/>
      <c r="C963" s="31"/>
      <c r="D963" s="31"/>
      <c r="E963" s="31"/>
      <c r="F963" s="31"/>
      <c r="G963" s="31"/>
      <c r="H963" s="31"/>
    </row>
    <row r="964" ht="15.75" customHeight="1">
      <c r="B964" s="31"/>
      <c r="C964" s="31"/>
      <c r="D964" s="31"/>
      <c r="E964" s="31"/>
      <c r="F964" s="31"/>
      <c r="G964" s="31"/>
      <c r="H964" s="31"/>
    </row>
    <row r="965" ht="15.75" customHeight="1">
      <c r="B965" s="31"/>
      <c r="C965" s="31"/>
      <c r="D965" s="31"/>
      <c r="E965" s="31"/>
      <c r="F965" s="31"/>
      <c r="G965" s="31"/>
      <c r="H965" s="31"/>
    </row>
    <row r="966" ht="15.75" customHeight="1">
      <c r="B966" s="31"/>
      <c r="C966" s="31"/>
      <c r="D966" s="31"/>
      <c r="E966" s="31"/>
      <c r="F966" s="31"/>
      <c r="G966" s="31"/>
      <c r="H966" s="31"/>
    </row>
    <row r="967" ht="15.75" customHeight="1">
      <c r="B967" s="31"/>
      <c r="C967" s="31"/>
      <c r="D967" s="31"/>
      <c r="E967" s="31"/>
      <c r="F967" s="31"/>
      <c r="G967" s="31"/>
      <c r="H967" s="31"/>
    </row>
    <row r="968" ht="15.75" customHeight="1">
      <c r="B968" s="31"/>
      <c r="C968" s="31"/>
      <c r="D968" s="31"/>
      <c r="E968" s="31"/>
      <c r="F968" s="31"/>
      <c r="G968" s="31"/>
      <c r="H968" s="31"/>
    </row>
    <row r="969" ht="15.75" customHeight="1">
      <c r="B969" s="31"/>
      <c r="C969" s="31"/>
      <c r="D969" s="31"/>
      <c r="E969" s="31"/>
      <c r="F969" s="31"/>
      <c r="G969" s="31"/>
      <c r="H969" s="31"/>
    </row>
    <row r="970" ht="15.75" customHeight="1">
      <c r="B970" s="31"/>
      <c r="C970" s="31"/>
      <c r="D970" s="31"/>
      <c r="E970" s="31"/>
      <c r="F970" s="31"/>
      <c r="G970" s="31"/>
      <c r="H970" s="31"/>
    </row>
    <row r="971" ht="15.75" customHeight="1">
      <c r="B971" s="31"/>
      <c r="C971" s="31"/>
      <c r="D971" s="31"/>
      <c r="E971" s="31"/>
      <c r="F971" s="31"/>
      <c r="G971" s="31"/>
      <c r="H971" s="31"/>
    </row>
    <row r="972" ht="15.75" customHeight="1">
      <c r="B972" s="31"/>
      <c r="C972" s="31"/>
      <c r="D972" s="31"/>
      <c r="E972" s="31"/>
      <c r="F972" s="31"/>
      <c r="G972" s="31"/>
      <c r="H972" s="31"/>
    </row>
    <row r="973" ht="15.75" customHeight="1">
      <c r="B973" s="31"/>
      <c r="C973" s="31"/>
      <c r="D973" s="31"/>
      <c r="E973" s="31"/>
      <c r="F973" s="31"/>
      <c r="G973" s="31"/>
      <c r="H973" s="31"/>
    </row>
    <row r="974" ht="15.75" customHeight="1">
      <c r="B974" s="31"/>
      <c r="C974" s="31"/>
      <c r="D974" s="31"/>
      <c r="E974" s="31"/>
      <c r="F974" s="31"/>
      <c r="G974" s="31"/>
      <c r="H974" s="31"/>
    </row>
    <row r="975" ht="15.75" customHeight="1">
      <c r="B975" s="31"/>
      <c r="C975" s="31"/>
      <c r="D975" s="31"/>
      <c r="E975" s="31"/>
      <c r="F975" s="31"/>
      <c r="G975" s="31"/>
      <c r="H975" s="31"/>
    </row>
    <row r="976" ht="15.75" customHeight="1">
      <c r="B976" s="31"/>
      <c r="C976" s="31"/>
      <c r="D976" s="31"/>
      <c r="E976" s="31"/>
      <c r="F976" s="31"/>
      <c r="G976" s="31"/>
      <c r="H976" s="31"/>
    </row>
    <row r="977" ht="15.75" customHeight="1">
      <c r="B977" s="31"/>
      <c r="C977" s="31"/>
      <c r="D977" s="31"/>
      <c r="E977" s="31"/>
      <c r="F977" s="31"/>
      <c r="G977" s="31"/>
      <c r="H977" s="31"/>
    </row>
    <row r="978" ht="15.75" customHeight="1">
      <c r="B978" s="31"/>
      <c r="C978" s="31"/>
      <c r="D978" s="31"/>
      <c r="E978" s="31"/>
      <c r="F978" s="31"/>
      <c r="G978" s="31"/>
      <c r="H978" s="31"/>
    </row>
    <row r="979" ht="15.75" customHeight="1">
      <c r="B979" s="31"/>
      <c r="C979" s="31"/>
      <c r="D979" s="31"/>
      <c r="E979" s="31"/>
      <c r="F979" s="31"/>
      <c r="G979" s="31"/>
      <c r="H979" s="31"/>
    </row>
    <row r="980" ht="15.75" customHeight="1">
      <c r="B980" s="31"/>
      <c r="C980" s="31"/>
      <c r="D980" s="31"/>
      <c r="E980" s="31"/>
      <c r="F980" s="31"/>
      <c r="G980" s="31"/>
      <c r="H980" s="31"/>
    </row>
    <row r="981" ht="15.75" customHeight="1">
      <c r="B981" s="31"/>
      <c r="C981" s="31"/>
      <c r="D981" s="31"/>
      <c r="E981" s="31"/>
      <c r="F981" s="31"/>
      <c r="G981" s="31"/>
      <c r="H981" s="31"/>
    </row>
    <row r="982" ht="15.75" customHeight="1">
      <c r="B982" s="31"/>
      <c r="C982" s="31"/>
      <c r="D982" s="31"/>
      <c r="E982" s="31"/>
      <c r="F982" s="31"/>
      <c r="G982" s="31"/>
      <c r="H982" s="31"/>
    </row>
    <row r="983" ht="15.75" customHeight="1">
      <c r="B983" s="31"/>
      <c r="C983" s="31"/>
      <c r="D983" s="31"/>
      <c r="E983" s="31"/>
      <c r="F983" s="31"/>
      <c r="G983" s="31"/>
      <c r="H983" s="31"/>
    </row>
    <row r="984" ht="15.75" customHeight="1">
      <c r="B984" s="31"/>
      <c r="C984" s="31"/>
      <c r="D984" s="31"/>
      <c r="E984" s="31"/>
      <c r="F984" s="31"/>
      <c r="G984" s="31"/>
      <c r="H984" s="31"/>
    </row>
    <row r="985" ht="15.75" customHeight="1">
      <c r="B985" s="31"/>
      <c r="C985" s="31"/>
      <c r="D985" s="31"/>
      <c r="E985" s="31"/>
      <c r="F985" s="31"/>
      <c r="G985" s="31"/>
      <c r="H985" s="31"/>
    </row>
    <row r="986" ht="15.75" customHeight="1">
      <c r="B986" s="31"/>
      <c r="C986" s="31"/>
      <c r="D986" s="31"/>
      <c r="E986" s="31"/>
      <c r="F986" s="31"/>
      <c r="G986" s="31"/>
      <c r="H986" s="31"/>
    </row>
    <row r="987" ht="15.75" customHeight="1">
      <c r="B987" s="31"/>
      <c r="C987" s="31"/>
      <c r="D987" s="31"/>
      <c r="E987" s="31"/>
      <c r="F987" s="31"/>
      <c r="G987" s="31"/>
      <c r="H987" s="31"/>
    </row>
    <row r="988" ht="15.75" customHeight="1">
      <c r="B988" s="31"/>
      <c r="C988" s="31"/>
      <c r="D988" s="31"/>
      <c r="E988" s="31"/>
      <c r="F988" s="31"/>
      <c r="G988" s="31"/>
      <c r="H988" s="31"/>
    </row>
    <row r="989" ht="15.75" customHeight="1">
      <c r="B989" s="31"/>
      <c r="C989" s="31"/>
      <c r="D989" s="31"/>
      <c r="E989" s="31"/>
      <c r="F989" s="31"/>
      <c r="G989" s="31"/>
      <c r="H989" s="31"/>
    </row>
    <row r="990" ht="15.75" customHeight="1">
      <c r="B990" s="31"/>
      <c r="C990" s="31"/>
      <c r="D990" s="31"/>
      <c r="E990" s="31"/>
      <c r="F990" s="31"/>
      <c r="G990" s="31"/>
      <c r="H990" s="31"/>
    </row>
    <row r="991" ht="15.75" customHeight="1">
      <c r="B991" s="31"/>
      <c r="C991" s="31"/>
      <c r="D991" s="31"/>
      <c r="E991" s="31"/>
      <c r="F991" s="31"/>
      <c r="G991" s="31"/>
      <c r="H991" s="31"/>
    </row>
    <row r="992" ht="15.75" customHeight="1">
      <c r="B992" s="31"/>
      <c r="C992" s="31"/>
      <c r="D992" s="31"/>
      <c r="E992" s="31"/>
      <c r="F992" s="31"/>
      <c r="G992" s="31"/>
      <c r="H992" s="31"/>
    </row>
    <row r="993" ht="15.75" customHeight="1">
      <c r="B993" s="31"/>
      <c r="C993" s="31"/>
      <c r="D993" s="31"/>
      <c r="E993" s="31"/>
      <c r="F993" s="31"/>
      <c r="G993" s="31"/>
      <c r="H993" s="31"/>
    </row>
    <row r="994" ht="15.75" customHeight="1">
      <c r="B994" s="31"/>
      <c r="C994" s="31"/>
      <c r="D994" s="31"/>
      <c r="E994" s="31"/>
      <c r="F994" s="31"/>
      <c r="G994" s="31"/>
      <c r="H994" s="31"/>
    </row>
    <row r="995" ht="15.75" customHeight="1">
      <c r="B995" s="31"/>
      <c r="C995" s="31"/>
      <c r="D995" s="31"/>
      <c r="E995" s="31"/>
      <c r="F995" s="31"/>
      <c r="G995" s="31"/>
      <c r="H995" s="31"/>
    </row>
    <row r="996" ht="15.75" customHeight="1">
      <c r="B996" s="31"/>
      <c r="C996" s="31"/>
      <c r="D996" s="31"/>
      <c r="E996" s="31"/>
      <c r="F996" s="31"/>
      <c r="G996" s="31"/>
      <c r="H996" s="31"/>
    </row>
    <row r="997" ht="15.75" customHeight="1">
      <c r="B997" s="31"/>
      <c r="C997" s="31"/>
      <c r="D997" s="31"/>
      <c r="E997" s="31"/>
      <c r="F997" s="31"/>
      <c r="G997" s="31"/>
      <c r="H997" s="31"/>
    </row>
    <row r="998" ht="15.75" customHeight="1">
      <c r="B998" s="31"/>
      <c r="C998" s="31"/>
      <c r="D998" s="31"/>
      <c r="E998" s="31"/>
      <c r="F998" s="31"/>
      <c r="G998" s="31"/>
      <c r="H998" s="31"/>
    </row>
    <row r="999" ht="15.75" customHeight="1">
      <c r="B999" s="31"/>
      <c r="C999" s="31"/>
      <c r="D999" s="31"/>
      <c r="E999" s="31"/>
      <c r="F999" s="31"/>
      <c r="G999" s="31"/>
      <c r="H999" s="31"/>
    </row>
    <row r="1000" ht="15.75" customHeight="1">
      <c r="B1000" s="31"/>
      <c r="C1000" s="31"/>
      <c r="D1000" s="31"/>
      <c r="E1000" s="31"/>
      <c r="F1000" s="31"/>
      <c r="G1000" s="31"/>
      <c r="H1000" s="31"/>
    </row>
  </sheetData>
  <autoFilter ref="$A$1:$H$34"/>
  <mergeCells count="8">
    <mergeCell ref="F2:F10"/>
    <mergeCell ref="H2:H10"/>
    <mergeCell ref="F11:F19"/>
    <mergeCell ref="H11:H19"/>
    <mergeCell ref="F20:F27"/>
    <mergeCell ref="H20:H28"/>
    <mergeCell ref="F29:F34"/>
    <mergeCell ref="H29:H34"/>
  </mergeCells>
  <conditionalFormatting sqref="C2:C34">
    <cfRule type="cellIs" dxfId="5" priority="1" operator="equal">
      <formula>"Retest Required"</formula>
    </cfRule>
  </conditionalFormatting>
  <conditionalFormatting sqref="C2:C34">
    <cfRule type="cellIs" dxfId="5" priority="2" operator="equal">
      <formula>"Blocked"</formula>
    </cfRule>
  </conditionalFormatting>
  <conditionalFormatting sqref="C2:C34">
    <cfRule type="cellIs" dxfId="7" priority="3" operator="equal">
      <formula>"Fail"</formula>
    </cfRule>
  </conditionalFormatting>
  <conditionalFormatting sqref="C2:C34">
    <cfRule type="cellIs" dxfId="6" priority="4" operator="equal">
      <formula>"Pass"</formula>
    </cfRule>
  </conditionalFormatting>
  <dataValidations>
    <dataValidation type="list" allowBlank="1" showErrorMessage="1" sqref="C2:C34">
      <formula1>"Not Executed,Pass,Fail,Blocked,Retest Required"</formula1>
    </dataValidation>
    <dataValidation type="list" allowBlank="1" showErrorMessage="1" sqref="E2:E34">
      <formula1>"None,Verbal Prompt,Hands-on Assistance"</formula1>
    </dataValidation>
  </dataValidations>
  <printOptions/>
  <pageMargins bottom="1.0" footer="0.0" header="0.0" left="0.75" right="0.75" top="1.0"/>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57"/>
    <col customWidth="1" min="2" max="2" width="13.29"/>
    <col customWidth="1" min="3" max="3" width="17.57"/>
    <col customWidth="1" min="4" max="6" width="28.86"/>
    <col customWidth="1" min="7" max="8" width="31.43"/>
    <col customWidth="1" min="9" max="9" width="28.86"/>
    <col customWidth="1" min="10" max="10" width="31.43"/>
    <col customWidth="1" min="11" max="11" width="28.86"/>
    <col customWidth="1" min="12" max="12" width="31.43"/>
    <col customWidth="1" min="13" max="13" width="28.86"/>
    <col customWidth="1" min="14" max="14" width="13.29"/>
    <col customWidth="1" min="15" max="15" width="32.57"/>
    <col customWidth="1" min="16" max="26" width="12.57"/>
  </cols>
  <sheetData>
    <row r="1" ht="25.5" customHeight="1">
      <c r="A1" s="5" t="s">
        <v>1505</v>
      </c>
      <c r="B1" s="7"/>
      <c r="C1" s="7"/>
      <c r="D1" s="7"/>
      <c r="E1" s="7"/>
      <c r="F1" s="7"/>
      <c r="G1" s="7"/>
      <c r="H1" s="7"/>
      <c r="I1" s="7"/>
      <c r="J1" s="7"/>
      <c r="K1" s="7"/>
      <c r="L1" s="7"/>
      <c r="M1" s="7"/>
      <c r="N1" s="7"/>
      <c r="O1" s="9"/>
    </row>
    <row r="2" ht="15.0" customHeight="1">
      <c r="A2" s="55" t="s">
        <v>1506</v>
      </c>
      <c r="B2" s="7"/>
      <c r="C2" s="7"/>
      <c r="D2" s="7"/>
      <c r="E2" s="7"/>
      <c r="F2" s="7"/>
      <c r="G2" s="7"/>
      <c r="H2" s="7"/>
      <c r="I2" s="7"/>
      <c r="J2" s="7"/>
      <c r="K2" s="7"/>
      <c r="L2" s="7"/>
      <c r="M2" s="7"/>
      <c r="N2" s="7"/>
      <c r="O2" s="9"/>
    </row>
    <row r="3" ht="15.0" customHeight="1">
      <c r="A3" s="55" t="s">
        <v>1507</v>
      </c>
      <c r="B3" s="7"/>
      <c r="C3" s="7"/>
      <c r="D3" s="7"/>
      <c r="E3" s="7"/>
      <c r="F3" s="7"/>
      <c r="G3" s="7"/>
      <c r="H3" s="7"/>
      <c r="I3" s="7"/>
      <c r="J3" s="7"/>
      <c r="K3" s="7"/>
      <c r="L3" s="7"/>
      <c r="M3" s="7"/>
      <c r="N3" s="7"/>
      <c r="O3" s="9"/>
    </row>
    <row r="4" ht="39.0" customHeight="1">
      <c r="A4" s="18" t="s">
        <v>1341</v>
      </c>
      <c r="B4" s="18" t="s">
        <v>1508</v>
      </c>
      <c r="C4" s="18" t="s">
        <v>1382</v>
      </c>
      <c r="D4" s="18" t="s">
        <v>1509</v>
      </c>
      <c r="E4" s="75" t="s">
        <v>1510</v>
      </c>
      <c r="F4" s="18" t="s">
        <v>1511</v>
      </c>
      <c r="G4" s="75" t="s">
        <v>1512</v>
      </c>
      <c r="H4" s="18" t="s">
        <v>1514</v>
      </c>
      <c r="I4" s="75" t="s">
        <v>1515</v>
      </c>
      <c r="J4" s="18" t="s">
        <v>1516</v>
      </c>
      <c r="K4" s="75" t="s">
        <v>1517</v>
      </c>
      <c r="L4" s="18" t="s">
        <v>1518</v>
      </c>
      <c r="M4" s="75" t="s">
        <v>1519</v>
      </c>
      <c r="N4" s="18" t="s">
        <v>1520</v>
      </c>
      <c r="O4" s="18" t="s">
        <v>1521</v>
      </c>
    </row>
    <row r="5" ht="15.0" customHeight="1">
      <c r="A5" s="57" t="s">
        <v>1348</v>
      </c>
      <c r="B5" s="60"/>
      <c r="C5" s="57"/>
      <c r="D5" s="57">
        <v>5.0</v>
      </c>
      <c r="E5" s="57">
        <v>3.0</v>
      </c>
      <c r="F5" s="57">
        <v>5.0</v>
      </c>
      <c r="G5" s="57">
        <v>5.0</v>
      </c>
      <c r="H5" s="57">
        <v>5.0</v>
      </c>
      <c r="I5" s="57">
        <v>1.0</v>
      </c>
      <c r="J5" s="57">
        <v>5.0</v>
      </c>
      <c r="K5" s="57">
        <v>1.0</v>
      </c>
      <c r="L5" s="57">
        <v>5.0</v>
      </c>
      <c r="M5" s="57">
        <v>1.0</v>
      </c>
      <c r="N5" s="61">
        <f t="shared" ref="N5:N8" si="1">IF(COUNTA(D5:M5)&lt;10,"",((D5-1)+(5-E5)+(F5-1)+(5-G5)+(H5-1)+(5-I5)+(J5-1)+(5-K5)+(L5-1)+(5-M5))*2.5)</f>
        <v>85</v>
      </c>
      <c r="O5" s="57"/>
    </row>
    <row r="6" ht="15.0" customHeight="1">
      <c r="A6" s="17" t="s">
        <v>1355</v>
      </c>
      <c r="B6" s="62"/>
      <c r="C6" s="17"/>
      <c r="D6" s="17">
        <v>5.0</v>
      </c>
      <c r="E6" s="17">
        <v>1.0</v>
      </c>
      <c r="F6" s="17">
        <v>4.0</v>
      </c>
      <c r="G6" s="17">
        <v>1.0</v>
      </c>
      <c r="H6" s="17">
        <v>5.0</v>
      </c>
      <c r="I6" s="17">
        <v>1.0</v>
      </c>
      <c r="J6" s="17">
        <v>5.0</v>
      </c>
      <c r="K6" s="17">
        <v>2.0</v>
      </c>
      <c r="L6" s="17">
        <v>5.0</v>
      </c>
      <c r="M6" s="17">
        <v>1.0</v>
      </c>
      <c r="N6" s="63">
        <f t="shared" si="1"/>
        <v>95</v>
      </c>
      <c r="O6" s="17"/>
    </row>
    <row r="7" ht="15.0" customHeight="1">
      <c r="A7" s="17" t="s">
        <v>1358</v>
      </c>
      <c r="B7" s="62"/>
      <c r="C7" s="17"/>
      <c r="D7" s="17">
        <v>5.0</v>
      </c>
      <c r="E7" s="17">
        <v>2.0</v>
      </c>
      <c r="F7" s="17">
        <v>5.0</v>
      </c>
      <c r="G7" s="17">
        <v>3.0</v>
      </c>
      <c r="H7" s="17">
        <v>4.0</v>
      </c>
      <c r="I7" s="17">
        <v>2.0</v>
      </c>
      <c r="J7" s="17">
        <v>4.0</v>
      </c>
      <c r="K7" s="17">
        <v>2.0</v>
      </c>
      <c r="L7" s="17">
        <v>5.0</v>
      </c>
      <c r="M7" s="17">
        <v>3.0</v>
      </c>
      <c r="N7" s="63">
        <f t="shared" si="1"/>
        <v>77.5</v>
      </c>
      <c r="O7" s="17"/>
    </row>
    <row r="8" ht="15.0" customHeight="1">
      <c r="A8" s="57" t="s">
        <v>1362</v>
      </c>
      <c r="B8" s="60"/>
      <c r="C8" s="57"/>
      <c r="D8" s="57">
        <v>5.0</v>
      </c>
      <c r="E8" s="57">
        <v>1.0</v>
      </c>
      <c r="F8" s="57">
        <v>5.0</v>
      </c>
      <c r="G8" s="57">
        <v>1.0</v>
      </c>
      <c r="H8" s="57">
        <v>5.0</v>
      </c>
      <c r="I8" s="57">
        <v>1.0</v>
      </c>
      <c r="J8" s="57">
        <v>5.0</v>
      </c>
      <c r="K8" s="57">
        <v>1.0</v>
      </c>
      <c r="L8" s="57">
        <v>5.0</v>
      </c>
      <c r="M8" s="57">
        <v>1.0</v>
      </c>
      <c r="N8" s="61">
        <f t="shared" si="1"/>
        <v>100</v>
      </c>
      <c r="O8" s="57"/>
    </row>
    <row r="9" ht="15.0" customHeight="1">
      <c r="A9" s="17"/>
      <c r="B9" s="17"/>
      <c r="C9" s="17"/>
      <c r="D9" s="17"/>
      <c r="E9" s="17"/>
      <c r="F9" s="17"/>
      <c r="G9" s="17"/>
      <c r="H9" s="17"/>
      <c r="I9" s="17"/>
      <c r="J9" s="17"/>
      <c r="K9" s="17"/>
      <c r="L9" s="17"/>
      <c r="M9" s="17"/>
      <c r="N9" s="17"/>
      <c r="O9" s="17"/>
    </row>
    <row r="10" ht="15.0" customHeight="1">
      <c r="A10" s="17" t="s">
        <v>1522</v>
      </c>
      <c r="B10" s="17" t="s">
        <v>1315</v>
      </c>
      <c r="C10" s="17"/>
      <c r="D10" s="17"/>
      <c r="E10" s="17"/>
      <c r="F10" s="17"/>
      <c r="G10" s="17"/>
      <c r="H10" s="17"/>
      <c r="I10" s="17"/>
      <c r="J10" s="17"/>
      <c r="K10" s="17"/>
      <c r="L10" s="17"/>
      <c r="M10" s="17"/>
      <c r="N10" s="17"/>
      <c r="O10" s="17"/>
    </row>
    <row r="11" ht="26.25" customHeight="1">
      <c r="A11" s="18" t="s">
        <v>1523</v>
      </c>
      <c r="B11" s="18">
        <f>COUNT(N5:N8)</f>
        <v>4</v>
      </c>
      <c r="C11" s="17"/>
      <c r="D11" s="17"/>
      <c r="E11" s="17"/>
      <c r="F11" s="17"/>
      <c r="G11" s="17"/>
      <c r="H11" s="17"/>
      <c r="I11" s="17"/>
      <c r="J11" s="17"/>
      <c r="K11" s="17"/>
      <c r="L11" s="17"/>
      <c r="M11" s="17"/>
      <c r="N11" s="17"/>
      <c r="O11" s="17"/>
    </row>
    <row r="12" ht="15.0" customHeight="1">
      <c r="A12" s="17" t="s">
        <v>1524</v>
      </c>
      <c r="B12" s="63">
        <f>IFERROR(AVERAGE(N5:N8),"")</f>
        <v>89.375</v>
      </c>
      <c r="C12" s="17"/>
      <c r="D12" s="17"/>
      <c r="E12" s="17"/>
      <c r="F12" s="17"/>
      <c r="G12" s="17"/>
      <c r="H12" s="17"/>
      <c r="I12" s="17"/>
      <c r="J12" s="17"/>
      <c r="K12" s="17"/>
      <c r="L12" s="17"/>
      <c r="M12" s="17"/>
      <c r="N12" s="17"/>
      <c r="O12" s="17"/>
    </row>
    <row r="13" ht="23.25" customHeight="1">
      <c r="A13" s="17" t="s">
        <v>1525</v>
      </c>
      <c r="B13" s="63">
        <f>IFERROR(AVERAGE(N5:N7),"")</f>
        <v>85.83333333</v>
      </c>
      <c r="C13" s="17"/>
      <c r="D13" s="17"/>
      <c r="E13" s="17"/>
      <c r="F13" s="17"/>
      <c r="G13" s="17"/>
      <c r="H13" s="17"/>
      <c r="I13" s="17"/>
      <c r="J13" s="17"/>
      <c r="K13" s="17"/>
      <c r="L13" s="17"/>
      <c r="M13" s="17"/>
      <c r="N13" s="17"/>
      <c r="O13" s="17"/>
    </row>
    <row r="14" ht="23.25" customHeight="1">
      <c r="A14" s="17" t="s">
        <v>1526</v>
      </c>
      <c r="B14" s="63">
        <f>IFERROR(AVERAGE(N8),"")</f>
        <v>100</v>
      </c>
      <c r="C14" s="17"/>
      <c r="D14" s="17"/>
      <c r="E14" s="17"/>
      <c r="F14" s="17"/>
      <c r="G14" s="17"/>
      <c r="H14" s="17"/>
      <c r="I14" s="17"/>
      <c r="J14" s="17"/>
      <c r="K14" s="17"/>
      <c r="L14" s="17"/>
      <c r="M14" s="17"/>
      <c r="N14" s="17"/>
      <c r="O14" s="17"/>
    </row>
    <row r="15" ht="15.0" customHeight="1">
      <c r="A15" s="17" t="s">
        <v>1527</v>
      </c>
      <c r="B15" s="63">
        <f>IFERROR(MEDIAN(N5:N8),"")</f>
        <v>90</v>
      </c>
      <c r="C15" s="17"/>
      <c r="D15" s="17"/>
      <c r="E15" s="17"/>
      <c r="F15" s="17"/>
      <c r="G15" s="17"/>
      <c r="H15" s="17"/>
      <c r="I15" s="17"/>
      <c r="J15" s="17"/>
      <c r="K15" s="17"/>
      <c r="L15" s="17"/>
      <c r="M15" s="17"/>
      <c r="N15" s="17"/>
      <c r="O15" s="17"/>
    </row>
    <row r="16" ht="15.0" customHeight="1">
      <c r="A16" s="17" t="s">
        <v>1528</v>
      </c>
      <c r="B16" s="63">
        <f>IFERROR(MIN(N5:N8),"")</f>
        <v>77.5</v>
      </c>
      <c r="C16" s="17"/>
      <c r="D16" s="17"/>
      <c r="E16" s="17"/>
      <c r="F16" s="17"/>
      <c r="G16" s="17"/>
      <c r="H16" s="17"/>
      <c r="I16" s="17"/>
      <c r="J16" s="17"/>
      <c r="K16" s="17"/>
      <c r="L16" s="17"/>
      <c r="M16" s="17"/>
      <c r="N16" s="17"/>
      <c r="O16" s="17"/>
    </row>
    <row r="17" ht="15.0" customHeight="1">
      <c r="A17" s="17" t="s">
        <v>1529</v>
      </c>
      <c r="B17" s="63">
        <f>IFERROR(MAX(N5:N8),"")</f>
        <v>100</v>
      </c>
      <c r="C17" s="17"/>
      <c r="D17" s="17"/>
      <c r="E17" s="17"/>
      <c r="F17" s="17"/>
      <c r="G17" s="17"/>
      <c r="H17" s="17"/>
      <c r="I17" s="17"/>
      <c r="J17" s="17"/>
      <c r="K17" s="17"/>
      <c r="L17" s="17"/>
      <c r="M17" s="17"/>
      <c r="N17" s="17"/>
      <c r="O17" s="17"/>
    </row>
    <row r="18" ht="23.25" customHeight="1">
      <c r="A18" s="17" t="s">
        <v>1530</v>
      </c>
      <c r="B18" s="63" t="s">
        <v>1531</v>
      </c>
      <c r="C18" s="17"/>
      <c r="D18" s="17"/>
      <c r="E18" s="17"/>
      <c r="F18" s="17"/>
      <c r="G18" s="17"/>
      <c r="H18" s="17"/>
      <c r="I18" s="17"/>
      <c r="J18" s="17"/>
      <c r="K18" s="17"/>
      <c r="L18" s="17"/>
      <c r="M18" s="17"/>
      <c r="N18" s="17"/>
      <c r="O18" s="17"/>
    </row>
    <row r="19" ht="23.25" customHeight="1">
      <c r="A19" s="17" t="s">
        <v>1532</v>
      </c>
      <c r="B19" s="63" t="s">
        <v>26</v>
      </c>
      <c r="C19" s="17"/>
      <c r="D19" s="17"/>
      <c r="E19" s="17"/>
      <c r="F19" s="17"/>
      <c r="G19" s="17"/>
      <c r="H19" s="17"/>
      <c r="I19" s="17"/>
      <c r="J19" s="17"/>
      <c r="K19" s="17"/>
      <c r="L19" s="17"/>
      <c r="M19" s="17"/>
      <c r="N19" s="17"/>
      <c r="O19" s="17"/>
    </row>
    <row r="20" ht="15.0" customHeight="1">
      <c r="A20" s="17"/>
      <c r="B20" s="17"/>
      <c r="C20" s="17"/>
      <c r="D20" s="17"/>
      <c r="E20" s="17"/>
      <c r="F20" s="17"/>
      <c r="G20" s="17"/>
      <c r="H20" s="17"/>
      <c r="I20" s="17"/>
      <c r="J20" s="17"/>
      <c r="K20" s="17"/>
      <c r="L20" s="17"/>
      <c r="M20" s="17"/>
      <c r="N20" s="17"/>
      <c r="O20" s="17"/>
    </row>
    <row r="21" ht="15.75" customHeight="1">
      <c r="B21" s="31"/>
      <c r="C21" s="31"/>
      <c r="D21" s="31"/>
      <c r="E21" s="31"/>
      <c r="F21" s="31"/>
      <c r="G21" s="31"/>
      <c r="H21" s="31"/>
      <c r="I21" s="31"/>
      <c r="J21" s="31"/>
      <c r="K21" s="31"/>
      <c r="L21" s="31"/>
      <c r="M21" s="31"/>
      <c r="N21" s="31"/>
      <c r="O21" s="31"/>
    </row>
    <row r="22" ht="15.75" customHeight="1">
      <c r="B22" s="31"/>
      <c r="C22" s="31"/>
      <c r="D22" s="31"/>
      <c r="E22" s="31"/>
      <c r="F22" s="31"/>
      <c r="G22" s="31"/>
      <c r="H22" s="31"/>
      <c r="I22" s="31"/>
      <c r="J22" s="31"/>
      <c r="K22" s="31"/>
      <c r="L22" s="31"/>
      <c r="M22" s="31"/>
      <c r="N22" s="31"/>
      <c r="O22" s="31"/>
    </row>
    <row r="23" ht="15.75" customHeight="1">
      <c r="B23" s="31"/>
      <c r="C23" s="31"/>
      <c r="D23" s="31"/>
      <c r="E23" s="31"/>
      <c r="F23" s="31"/>
      <c r="G23" s="31"/>
      <c r="H23" s="31"/>
      <c r="I23" s="31"/>
      <c r="J23" s="31"/>
      <c r="K23" s="31"/>
      <c r="L23" s="31"/>
      <c r="M23" s="31"/>
      <c r="N23" s="31"/>
      <c r="O23" s="31"/>
    </row>
    <row r="24" ht="15.75" customHeight="1">
      <c r="B24" s="31"/>
      <c r="C24" s="31"/>
      <c r="D24" s="31"/>
      <c r="E24" s="31"/>
      <c r="F24" s="31"/>
      <c r="G24" s="31"/>
      <c r="H24" s="31"/>
      <c r="I24" s="31"/>
      <c r="J24" s="31"/>
      <c r="K24" s="31"/>
      <c r="L24" s="31"/>
      <c r="M24" s="31"/>
      <c r="N24" s="31"/>
      <c r="O24" s="31"/>
    </row>
    <row r="25" ht="15.75" customHeight="1">
      <c r="B25" s="31"/>
      <c r="C25" s="31"/>
      <c r="D25" s="31"/>
      <c r="E25" s="31"/>
      <c r="F25" s="31"/>
      <c r="G25" s="31"/>
      <c r="H25" s="31"/>
      <c r="I25" s="31"/>
      <c r="J25" s="31"/>
      <c r="K25" s="31"/>
      <c r="L25" s="31"/>
      <c r="M25" s="31"/>
      <c r="N25" s="31"/>
      <c r="O25" s="31"/>
    </row>
    <row r="26" ht="15.75" customHeight="1">
      <c r="B26" s="31"/>
      <c r="C26" s="31"/>
      <c r="D26" s="31"/>
      <c r="E26" s="31"/>
      <c r="F26" s="31"/>
      <c r="G26" s="31"/>
      <c r="H26" s="31"/>
      <c r="I26" s="31"/>
      <c r="J26" s="31"/>
      <c r="K26" s="31"/>
      <c r="L26" s="31"/>
      <c r="M26" s="31"/>
      <c r="N26" s="31"/>
      <c r="O26" s="31"/>
    </row>
    <row r="27" ht="15.75" customHeight="1">
      <c r="B27" s="31"/>
      <c r="C27" s="31"/>
      <c r="D27" s="31"/>
      <c r="E27" s="31"/>
      <c r="F27" s="31"/>
      <c r="G27" s="31"/>
      <c r="H27" s="31"/>
      <c r="I27" s="31"/>
      <c r="J27" s="31"/>
      <c r="K27" s="31"/>
      <c r="L27" s="31"/>
      <c r="M27" s="31"/>
      <c r="N27" s="31"/>
      <c r="O27" s="31"/>
    </row>
    <row r="28" ht="15.75" customHeight="1">
      <c r="B28" s="31"/>
      <c r="C28" s="31"/>
      <c r="D28" s="31"/>
      <c r="E28" s="31"/>
      <c r="F28" s="31"/>
      <c r="G28" s="31"/>
      <c r="H28" s="31"/>
      <c r="I28" s="31"/>
      <c r="J28" s="31"/>
      <c r="K28" s="31"/>
      <c r="L28" s="31"/>
      <c r="M28" s="31"/>
      <c r="N28" s="31"/>
      <c r="O28" s="31"/>
    </row>
    <row r="29" ht="15.75" customHeight="1">
      <c r="B29" s="31"/>
      <c r="C29" s="31"/>
      <c r="D29" s="31"/>
      <c r="E29" s="31"/>
      <c r="F29" s="31"/>
      <c r="G29" s="31"/>
      <c r="H29" s="31"/>
      <c r="I29" s="31"/>
      <c r="J29" s="31"/>
      <c r="K29" s="31"/>
      <c r="L29" s="31"/>
      <c r="M29" s="31"/>
      <c r="N29" s="31"/>
      <c r="O29" s="31"/>
    </row>
    <row r="30" ht="15.75" customHeight="1">
      <c r="B30" s="31"/>
      <c r="C30" s="31"/>
      <c r="D30" s="31"/>
      <c r="E30" s="31"/>
      <c r="F30" s="31"/>
      <c r="G30" s="31"/>
      <c r="H30" s="31"/>
      <c r="I30" s="31"/>
      <c r="J30" s="31"/>
      <c r="K30" s="31"/>
      <c r="L30" s="31"/>
      <c r="M30" s="31"/>
      <c r="N30" s="31"/>
      <c r="O30" s="31"/>
    </row>
    <row r="31" ht="15.75" customHeight="1">
      <c r="B31" s="31"/>
      <c r="C31" s="31"/>
      <c r="D31" s="31"/>
      <c r="E31" s="31"/>
      <c r="F31" s="31"/>
      <c r="G31" s="31"/>
      <c r="H31" s="31"/>
      <c r="I31" s="31"/>
      <c r="J31" s="31"/>
      <c r="K31" s="31"/>
      <c r="L31" s="31"/>
      <c r="M31" s="31"/>
      <c r="N31" s="31"/>
      <c r="O31" s="31"/>
    </row>
    <row r="32" ht="15.75" customHeight="1">
      <c r="B32" s="31"/>
      <c r="C32" s="31"/>
      <c r="D32" s="31"/>
      <c r="E32" s="31"/>
      <c r="F32" s="31"/>
      <c r="G32" s="31"/>
      <c r="H32" s="31"/>
      <c r="I32" s="31"/>
      <c r="J32" s="31"/>
      <c r="K32" s="31"/>
      <c r="L32" s="31"/>
      <c r="M32" s="31"/>
      <c r="N32" s="31"/>
      <c r="O32" s="31"/>
    </row>
    <row r="33" ht="15.75" customHeight="1">
      <c r="B33" s="31"/>
      <c r="C33" s="31"/>
      <c r="D33" s="31"/>
      <c r="E33" s="31"/>
      <c r="F33" s="31"/>
      <c r="G33" s="31"/>
      <c r="H33" s="31"/>
      <c r="I33" s="31"/>
      <c r="J33" s="31"/>
      <c r="K33" s="31"/>
      <c r="L33" s="31"/>
      <c r="M33" s="31"/>
      <c r="N33" s="31"/>
      <c r="O33" s="31"/>
    </row>
    <row r="34" ht="15.75" customHeight="1">
      <c r="B34" s="31"/>
      <c r="C34" s="31"/>
      <c r="D34" s="31"/>
      <c r="E34" s="31"/>
      <c r="F34" s="31"/>
      <c r="G34" s="31"/>
      <c r="H34" s="31"/>
      <c r="I34" s="31"/>
      <c r="J34" s="31"/>
      <c r="K34" s="31"/>
      <c r="L34" s="31"/>
      <c r="M34" s="31"/>
      <c r="N34" s="31"/>
      <c r="O34" s="31"/>
    </row>
    <row r="35" ht="15.75" customHeight="1">
      <c r="B35" s="31"/>
      <c r="C35" s="31"/>
      <c r="D35" s="31"/>
      <c r="E35" s="31"/>
      <c r="F35" s="31"/>
      <c r="G35" s="31"/>
      <c r="H35" s="31"/>
      <c r="I35" s="31"/>
      <c r="J35" s="31"/>
      <c r="K35" s="31"/>
      <c r="L35" s="31"/>
      <c r="M35" s="31"/>
      <c r="N35" s="31"/>
      <c r="O35" s="31"/>
    </row>
    <row r="36" ht="15.75" customHeight="1">
      <c r="B36" s="31"/>
      <c r="C36" s="31"/>
      <c r="D36" s="31"/>
      <c r="E36" s="31"/>
      <c r="F36" s="31"/>
      <c r="G36" s="31"/>
      <c r="H36" s="31"/>
      <c r="I36" s="31"/>
      <c r="J36" s="31"/>
      <c r="K36" s="31"/>
      <c r="L36" s="31"/>
      <c r="M36" s="31"/>
      <c r="N36" s="31"/>
      <c r="O36" s="31"/>
    </row>
    <row r="37" ht="15.75" customHeight="1">
      <c r="B37" s="31"/>
      <c r="C37" s="31"/>
      <c r="D37" s="31"/>
      <c r="E37" s="31"/>
      <c r="F37" s="31"/>
      <c r="G37" s="31"/>
      <c r="H37" s="31"/>
      <c r="I37" s="31"/>
      <c r="J37" s="31"/>
      <c r="K37" s="31"/>
      <c r="L37" s="31"/>
      <c r="M37" s="31"/>
      <c r="N37" s="31"/>
      <c r="O37" s="31"/>
    </row>
    <row r="38" ht="15.75" customHeight="1">
      <c r="B38" s="31"/>
      <c r="C38" s="31"/>
      <c r="D38" s="31"/>
      <c r="E38" s="31"/>
      <c r="F38" s="31"/>
      <c r="G38" s="31"/>
      <c r="H38" s="31"/>
      <c r="I38" s="31"/>
      <c r="J38" s="31"/>
      <c r="K38" s="31"/>
      <c r="L38" s="31"/>
      <c r="M38" s="31"/>
      <c r="N38" s="31"/>
      <c r="O38" s="31"/>
    </row>
    <row r="39" ht="15.75" customHeight="1">
      <c r="B39" s="31"/>
      <c r="C39" s="31"/>
      <c r="D39" s="31"/>
      <c r="E39" s="31"/>
      <c r="F39" s="31"/>
      <c r="G39" s="31"/>
      <c r="H39" s="31"/>
      <c r="I39" s="31"/>
      <c r="J39" s="31"/>
      <c r="K39" s="31"/>
      <c r="L39" s="31"/>
      <c r="M39" s="31"/>
      <c r="N39" s="31"/>
      <c r="O39" s="31"/>
    </row>
    <row r="40" ht="15.75" customHeight="1">
      <c r="B40" s="31"/>
      <c r="C40" s="31"/>
      <c r="D40" s="31"/>
      <c r="E40" s="31"/>
      <c r="F40" s="31"/>
      <c r="G40" s="31"/>
      <c r="H40" s="31"/>
      <c r="I40" s="31"/>
      <c r="J40" s="31"/>
      <c r="K40" s="31"/>
      <c r="L40" s="31"/>
      <c r="M40" s="31"/>
      <c r="N40" s="31"/>
      <c r="O40" s="31"/>
    </row>
    <row r="41" ht="15.75" customHeight="1">
      <c r="B41" s="31"/>
      <c r="C41" s="31"/>
      <c r="D41" s="31"/>
      <c r="E41" s="31"/>
      <c r="F41" s="31"/>
      <c r="G41" s="31"/>
      <c r="H41" s="31"/>
      <c r="I41" s="31"/>
      <c r="J41" s="31"/>
      <c r="K41" s="31"/>
      <c r="L41" s="31"/>
      <c r="M41" s="31"/>
      <c r="N41" s="31"/>
      <c r="O41" s="31"/>
    </row>
    <row r="42" ht="15.75" customHeight="1">
      <c r="B42" s="31"/>
      <c r="C42" s="31"/>
      <c r="D42" s="31"/>
      <c r="E42" s="31"/>
      <c r="F42" s="31"/>
      <c r="G42" s="31"/>
      <c r="H42" s="31"/>
      <c r="I42" s="31"/>
      <c r="J42" s="31"/>
      <c r="K42" s="31"/>
      <c r="L42" s="31"/>
      <c r="M42" s="31"/>
      <c r="N42" s="31"/>
      <c r="O42" s="31"/>
    </row>
    <row r="43" ht="15.75" customHeight="1">
      <c r="B43" s="31"/>
      <c r="C43" s="31"/>
      <c r="D43" s="31"/>
      <c r="E43" s="31"/>
      <c r="F43" s="31"/>
      <c r="G43" s="31"/>
      <c r="H43" s="31"/>
      <c r="I43" s="31"/>
      <c r="J43" s="31"/>
      <c r="K43" s="31"/>
      <c r="L43" s="31"/>
      <c r="M43" s="31"/>
      <c r="N43" s="31"/>
      <c r="O43" s="31"/>
    </row>
    <row r="44" ht="15.75" customHeight="1">
      <c r="B44" s="31"/>
      <c r="C44" s="31"/>
      <c r="D44" s="31"/>
      <c r="E44" s="31"/>
      <c r="F44" s="31"/>
      <c r="G44" s="31"/>
      <c r="H44" s="31"/>
      <c r="I44" s="31"/>
      <c r="J44" s="31"/>
      <c r="K44" s="31"/>
      <c r="L44" s="31"/>
      <c r="M44" s="31"/>
      <c r="N44" s="31"/>
      <c r="O44" s="31"/>
    </row>
    <row r="45" ht="15.75" customHeight="1">
      <c r="B45" s="31"/>
      <c r="C45" s="31"/>
      <c r="D45" s="31"/>
      <c r="E45" s="31"/>
      <c r="F45" s="31"/>
      <c r="G45" s="31"/>
      <c r="H45" s="31"/>
      <c r="I45" s="31"/>
      <c r="J45" s="31"/>
      <c r="K45" s="31"/>
      <c r="L45" s="31"/>
      <c r="M45" s="31"/>
      <c r="N45" s="31"/>
      <c r="O45" s="31"/>
    </row>
    <row r="46" ht="15.75" customHeight="1">
      <c r="B46" s="31"/>
      <c r="C46" s="31"/>
      <c r="D46" s="31"/>
      <c r="E46" s="31"/>
      <c r="F46" s="31"/>
      <c r="G46" s="31"/>
      <c r="H46" s="31"/>
      <c r="I46" s="31"/>
      <c r="J46" s="31"/>
      <c r="K46" s="31"/>
      <c r="L46" s="31"/>
      <c r="M46" s="31"/>
      <c r="N46" s="31"/>
      <c r="O46" s="31"/>
    </row>
    <row r="47" ht="15.75" customHeight="1">
      <c r="B47" s="31"/>
      <c r="C47" s="31"/>
      <c r="D47" s="31"/>
      <c r="E47" s="31"/>
      <c r="F47" s="31"/>
      <c r="G47" s="31"/>
      <c r="H47" s="31"/>
      <c r="I47" s="31"/>
      <c r="J47" s="31"/>
      <c r="K47" s="31"/>
      <c r="L47" s="31"/>
      <c r="M47" s="31"/>
      <c r="N47" s="31"/>
      <c r="O47" s="31"/>
    </row>
    <row r="48" ht="15.75" customHeight="1">
      <c r="B48" s="31"/>
      <c r="C48" s="31"/>
      <c r="D48" s="31"/>
      <c r="E48" s="31"/>
      <c r="F48" s="31"/>
      <c r="G48" s="31"/>
      <c r="H48" s="31"/>
      <c r="I48" s="31"/>
      <c r="J48" s="31"/>
      <c r="K48" s="31"/>
      <c r="L48" s="31"/>
      <c r="M48" s="31"/>
      <c r="N48" s="31"/>
      <c r="O48" s="31"/>
    </row>
    <row r="49" ht="15.75" customHeight="1">
      <c r="B49" s="31"/>
      <c r="C49" s="31"/>
      <c r="D49" s="31"/>
      <c r="E49" s="31"/>
      <c r="F49" s="31"/>
      <c r="G49" s="31"/>
      <c r="H49" s="31"/>
      <c r="I49" s="31"/>
      <c r="J49" s="31"/>
      <c r="K49" s="31"/>
      <c r="L49" s="31"/>
      <c r="M49" s="31"/>
      <c r="N49" s="31"/>
      <c r="O49" s="31"/>
    </row>
    <row r="50" ht="15.75" customHeight="1">
      <c r="B50" s="31"/>
      <c r="C50" s="31"/>
      <c r="D50" s="31"/>
      <c r="E50" s="31"/>
      <c r="F50" s="31"/>
      <c r="G50" s="31"/>
      <c r="H50" s="31"/>
      <c r="I50" s="31"/>
      <c r="J50" s="31"/>
      <c r="K50" s="31"/>
      <c r="L50" s="31"/>
      <c r="M50" s="31"/>
      <c r="N50" s="31"/>
      <c r="O50" s="31"/>
    </row>
    <row r="51" ht="15.75" customHeight="1">
      <c r="B51" s="31"/>
      <c r="C51" s="31"/>
      <c r="D51" s="31"/>
      <c r="E51" s="31"/>
      <c r="F51" s="31"/>
      <c r="G51" s="31"/>
      <c r="H51" s="31"/>
      <c r="I51" s="31"/>
      <c r="J51" s="31"/>
      <c r="K51" s="31"/>
      <c r="L51" s="31"/>
      <c r="M51" s="31"/>
      <c r="N51" s="31"/>
      <c r="O51" s="31"/>
    </row>
    <row r="52" ht="15.75" customHeight="1">
      <c r="B52" s="31"/>
      <c r="C52" s="31"/>
      <c r="D52" s="31"/>
      <c r="E52" s="31"/>
      <c r="F52" s="31"/>
      <c r="G52" s="31"/>
      <c r="H52" s="31"/>
      <c r="I52" s="31"/>
      <c r="J52" s="31"/>
      <c r="K52" s="31"/>
      <c r="L52" s="31"/>
      <c r="M52" s="31"/>
      <c r="N52" s="31"/>
      <c r="O52" s="31"/>
    </row>
    <row r="53" ht="15.75" customHeight="1">
      <c r="B53" s="31"/>
      <c r="C53" s="31"/>
      <c r="D53" s="31"/>
      <c r="E53" s="31"/>
      <c r="F53" s="31"/>
      <c r="G53" s="31"/>
      <c r="H53" s="31"/>
      <c r="I53" s="31"/>
      <c r="J53" s="31"/>
      <c r="K53" s="31"/>
      <c r="L53" s="31"/>
      <c r="M53" s="31"/>
      <c r="N53" s="31"/>
      <c r="O53" s="31"/>
    </row>
    <row r="54" ht="15.75" customHeight="1">
      <c r="B54" s="31"/>
      <c r="C54" s="31"/>
      <c r="D54" s="31"/>
      <c r="E54" s="31"/>
      <c r="F54" s="31"/>
      <c r="G54" s="31"/>
      <c r="H54" s="31"/>
      <c r="I54" s="31"/>
      <c r="J54" s="31"/>
      <c r="K54" s="31"/>
      <c r="L54" s="31"/>
      <c r="M54" s="31"/>
      <c r="N54" s="31"/>
      <c r="O54" s="31"/>
    </row>
    <row r="55" ht="15.75" customHeight="1">
      <c r="B55" s="31"/>
      <c r="C55" s="31"/>
      <c r="D55" s="31"/>
      <c r="E55" s="31"/>
      <c r="F55" s="31"/>
      <c r="G55" s="31"/>
      <c r="H55" s="31"/>
      <c r="I55" s="31"/>
      <c r="J55" s="31"/>
      <c r="K55" s="31"/>
      <c r="L55" s="31"/>
      <c r="M55" s="31"/>
      <c r="N55" s="31"/>
      <c r="O55" s="31"/>
    </row>
    <row r="56" ht="15.75" customHeight="1">
      <c r="B56" s="31"/>
      <c r="C56" s="31"/>
      <c r="D56" s="31"/>
      <c r="E56" s="31"/>
      <c r="F56" s="31"/>
      <c r="G56" s="31"/>
      <c r="H56" s="31"/>
      <c r="I56" s="31"/>
      <c r="J56" s="31"/>
      <c r="K56" s="31"/>
      <c r="L56" s="31"/>
      <c r="M56" s="31"/>
      <c r="N56" s="31"/>
      <c r="O56" s="31"/>
    </row>
    <row r="57" ht="15.75" customHeight="1">
      <c r="B57" s="31"/>
      <c r="C57" s="31"/>
      <c r="D57" s="31"/>
      <c r="E57" s="31"/>
      <c r="F57" s="31"/>
      <c r="G57" s="31"/>
      <c r="H57" s="31"/>
      <c r="I57" s="31"/>
      <c r="J57" s="31"/>
      <c r="K57" s="31"/>
      <c r="L57" s="31"/>
      <c r="M57" s="31"/>
      <c r="N57" s="31"/>
      <c r="O57" s="31"/>
    </row>
    <row r="58" ht="15.75" customHeight="1">
      <c r="B58" s="31"/>
      <c r="C58" s="31"/>
      <c r="D58" s="31"/>
      <c r="E58" s="31"/>
      <c r="F58" s="31"/>
      <c r="G58" s="31"/>
      <c r="H58" s="31"/>
      <c r="I58" s="31"/>
      <c r="J58" s="31"/>
      <c r="K58" s="31"/>
      <c r="L58" s="31"/>
      <c r="M58" s="31"/>
      <c r="N58" s="31"/>
      <c r="O58" s="31"/>
    </row>
    <row r="59" ht="15.75" customHeight="1">
      <c r="B59" s="31"/>
      <c r="C59" s="31"/>
      <c r="D59" s="31"/>
      <c r="E59" s="31"/>
      <c r="F59" s="31"/>
      <c r="G59" s="31"/>
      <c r="H59" s="31"/>
      <c r="I59" s="31"/>
      <c r="J59" s="31"/>
      <c r="K59" s="31"/>
      <c r="L59" s="31"/>
      <c r="M59" s="31"/>
      <c r="N59" s="31"/>
      <c r="O59" s="31"/>
    </row>
    <row r="60" ht="15.75" customHeight="1">
      <c r="B60" s="31"/>
      <c r="C60" s="31"/>
      <c r="D60" s="31"/>
      <c r="E60" s="31"/>
      <c r="F60" s="31"/>
      <c r="G60" s="31"/>
      <c r="H60" s="31"/>
      <c r="I60" s="31"/>
      <c r="J60" s="31"/>
      <c r="K60" s="31"/>
      <c r="L60" s="31"/>
      <c r="M60" s="31"/>
      <c r="N60" s="31"/>
      <c r="O60" s="31"/>
    </row>
    <row r="61" ht="15.75" customHeight="1">
      <c r="B61" s="31"/>
      <c r="C61" s="31"/>
      <c r="D61" s="31"/>
      <c r="E61" s="31"/>
      <c r="F61" s="31"/>
      <c r="G61" s="31"/>
      <c r="H61" s="31"/>
      <c r="I61" s="31"/>
      <c r="J61" s="31"/>
      <c r="K61" s="31"/>
      <c r="L61" s="31"/>
      <c r="M61" s="31"/>
      <c r="N61" s="31"/>
      <c r="O61" s="31"/>
    </row>
    <row r="62" ht="15.75" customHeight="1">
      <c r="B62" s="31"/>
      <c r="C62" s="31"/>
      <c r="D62" s="31"/>
      <c r="E62" s="31"/>
      <c r="F62" s="31"/>
      <c r="G62" s="31"/>
      <c r="H62" s="31"/>
      <c r="I62" s="31"/>
      <c r="J62" s="31"/>
      <c r="K62" s="31"/>
      <c r="L62" s="31"/>
      <c r="M62" s="31"/>
      <c r="N62" s="31"/>
      <c r="O62" s="31"/>
    </row>
    <row r="63" ht="15.75" customHeight="1">
      <c r="B63" s="31"/>
      <c r="C63" s="31"/>
      <c r="D63" s="31"/>
      <c r="E63" s="31"/>
      <c r="F63" s="31"/>
      <c r="G63" s="31"/>
      <c r="H63" s="31"/>
      <c r="I63" s="31"/>
      <c r="J63" s="31"/>
      <c r="K63" s="31"/>
      <c r="L63" s="31"/>
      <c r="M63" s="31"/>
      <c r="N63" s="31"/>
      <c r="O63" s="31"/>
    </row>
    <row r="64" ht="15.75" customHeight="1">
      <c r="B64" s="31"/>
      <c r="C64" s="31"/>
      <c r="D64" s="31"/>
      <c r="E64" s="31"/>
      <c r="F64" s="31"/>
      <c r="G64" s="31"/>
      <c r="H64" s="31"/>
      <c r="I64" s="31"/>
      <c r="J64" s="31"/>
      <c r="K64" s="31"/>
      <c r="L64" s="31"/>
      <c r="M64" s="31"/>
      <c r="N64" s="31"/>
      <c r="O64" s="31"/>
    </row>
    <row r="65" ht="15.75" customHeight="1">
      <c r="B65" s="31"/>
      <c r="C65" s="31"/>
      <c r="D65" s="31"/>
      <c r="E65" s="31"/>
      <c r="F65" s="31"/>
      <c r="G65" s="31"/>
      <c r="H65" s="31"/>
      <c r="I65" s="31"/>
      <c r="J65" s="31"/>
      <c r="K65" s="31"/>
      <c r="L65" s="31"/>
      <c r="M65" s="31"/>
      <c r="N65" s="31"/>
      <c r="O65" s="31"/>
    </row>
    <row r="66" ht="15.75" customHeight="1">
      <c r="B66" s="31"/>
      <c r="C66" s="31"/>
      <c r="D66" s="31"/>
      <c r="E66" s="31"/>
      <c r="F66" s="31"/>
      <c r="G66" s="31"/>
      <c r="H66" s="31"/>
      <c r="I66" s="31"/>
      <c r="J66" s="31"/>
      <c r="K66" s="31"/>
      <c r="L66" s="31"/>
      <c r="M66" s="31"/>
      <c r="N66" s="31"/>
      <c r="O66" s="31"/>
    </row>
    <row r="67" ht="15.75" customHeight="1">
      <c r="B67" s="31"/>
      <c r="C67" s="31"/>
      <c r="D67" s="31"/>
      <c r="E67" s="31"/>
      <c r="F67" s="31"/>
      <c r="G67" s="31"/>
      <c r="H67" s="31"/>
      <c r="I67" s="31"/>
      <c r="J67" s="31"/>
      <c r="K67" s="31"/>
      <c r="L67" s="31"/>
      <c r="M67" s="31"/>
      <c r="N67" s="31"/>
      <c r="O67" s="31"/>
    </row>
    <row r="68" ht="15.75" customHeight="1">
      <c r="B68" s="31"/>
      <c r="C68" s="31"/>
      <c r="D68" s="31"/>
      <c r="E68" s="31"/>
      <c r="F68" s="31"/>
      <c r="G68" s="31"/>
      <c r="H68" s="31"/>
      <c r="I68" s="31"/>
      <c r="J68" s="31"/>
      <c r="K68" s="31"/>
      <c r="L68" s="31"/>
      <c r="M68" s="31"/>
      <c r="N68" s="31"/>
      <c r="O68" s="31"/>
    </row>
    <row r="69" ht="15.75" customHeight="1">
      <c r="B69" s="31"/>
      <c r="C69" s="31"/>
      <c r="D69" s="31"/>
      <c r="E69" s="31"/>
      <c r="F69" s="31"/>
      <c r="G69" s="31"/>
      <c r="H69" s="31"/>
      <c r="I69" s="31"/>
      <c r="J69" s="31"/>
      <c r="K69" s="31"/>
      <c r="L69" s="31"/>
      <c r="M69" s="31"/>
      <c r="N69" s="31"/>
      <c r="O69" s="31"/>
    </row>
    <row r="70" ht="15.75" customHeight="1">
      <c r="B70" s="31"/>
      <c r="C70" s="31"/>
      <c r="D70" s="31"/>
      <c r="E70" s="31"/>
      <c r="F70" s="31"/>
      <c r="G70" s="31"/>
      <c r="H70" s="31"/>
      <c r="I70" s="31"/>
      <c r="J70" s="31"/>
      <c r="K70" s="31"/>
      <c r="L70" s="31"/>
      <c r="M70" s="31"/>
      <c r="N70" s="31"/>
      <c r="O70" s="31"/>
    </row>
    <row r="71" ht="15.75" customHeight="1">
      <c r="B71" s="31"/>
      <c r="C71" s="31"/>
      <c r="D71" s="31"/>
      <c r="E71" s="31"/>
      <c r="F71" s="31"/>
      <c r="G71" s="31"/>
      <c r="H71" s="31"/>
      <c r="I71" s="31"/>
      <c r="J71" s="31"/>
      <c r="K71" s="31"/>
      <c r="L71" s="31"/>
      <c r="M71" s="31"/>
      <c r="N71" s="31"/>
      <c r="O71" s="31"/>
    </row>
    <row r="72" ht="15.75" customHeight="1">
      <c r="B72" s="31"/>
      <c r="C72" s="31"/>
      <c r="D72" s="31"/>
      <c r="E72" s="31"/>
      <c r="F72" s="31"/>
      <c r="G72" s="31"/>
      <c r="H72" s="31"/>
      <c r="I72" s="31"/>
      <c r="J72" s="31"/>
      <c r="K72" s="31"/>
      <c r="L72" s="31"/>
      <c r="M72" s="31"/>
      <c r="N72" s="31"/>
      <c r="O72" s="31"/>
    </row>
    <row r="73" ht="15.75" customHeight="1">
      <c r="B73" s="31"/>
      <c r="C73" s="31"/>
      <c r="D73" s="31"/>
      <c r="E73" s="31"/>
      <c r="F73" s="31"/>
      <c r="G73" s="31"/>
      <c r="H73" s="31"/>
      <c r="I73" s="31"/>
      <c r="J73" s="31"/>
      <c r="K73" s="31"/>
      <c r="L73" s="31"/>
      <c r="M73" s="31"/>
      <c r="N73" s="31"/>
      <c r="O73" s="31"/>
    </row>
    <row r="74" ht="15.75" customHeight="1">
      <c r="B74" s="31"/>
      <c r="C74" s="31"/>
      <c r="D74" s="31"/>
      <c r="E74" s="31"/>
      <c r="F74" s="31"/>
      <c r="G74" s="31"/>
      <c r="H74" s="31"/>
      <c r="I74" s="31"/>
      <c r="J74" s="31"/>
      <c r="K74" s="31"/>
      <c r="L74" s="31"/>
      <c r="M74" s="31"/>
      <c r="N74" s="31"/>
      <c r="O74" s="31"/>
    </row>
    <row r="75" ht="15.75" customHeight="1">
      <c r="B75" s="31"/>
      <c r="C75" s="31"/>
      <c r="D75" s="31"/>
      <c r="E75" s="31"/>
      <c r="F75" s="31"/>
      <c r="G75" s="31"/>
      <c r="H75" s="31"/>
      <c r="I75" s="31"/>
      <c r="J75" s="31"/>
      <c r="K75" s="31"/>
      <c r="L75" s="31"/>
      <c r="M75" s="31"/>
      <c r="N75" s="31"/>
      <c r="O75" s="31"/>
    </row>
    <row r="76" ht="15.75" customHeight="1">
      <c r="B76" s="31"/>
      <c r="C76" s="31"/>
      <c r="D76" s="31"/>
      <c r="E76" s="31"/>
      <c r="F76" s="31"/>
      <c r="G76" s="31"/>
      <c r="H76" s="31"/>
      <c r="I76" s="31"/>
      <c r="J76" s="31"/>
      <c r="K76" s="31"/>
      <c r="L76" s="31"/>
      <c r="M76" s="31"/>
      <c r="N76" s="31"/>
      <c r="O76" s="31"/>
    </row>
    <row r="77" ht="15.75" customHeight="1">
      <c r="B77" s="31"/>
      <c r="C77" s="31"/>
      <c r="D77" s="31"/>
      <c r="E77" s="31"/>
      <c r="F77" s="31"/>
      <c r="G77" s="31"/>
      <c r="H77" s="31"/>
      <c r="I77" s="31"/>
      <c r="J77" s="31"/>
      <c r="K77" s="31"/>
      <c r="L77" s="31"/>
      <c r="M77" s="31"/>
      <c r="N77" s="31"/>
      <c r="O77" s="31"/>
    </row>
    <row r="78" ht="15.75" customHeight="1">
      <c r="B78" s="31"/>
      <c r="C78" s="31"/>
      <c r="D78" s="31"/>
      <c r="E78" s="31"/>
      <c r="F78" s="31"/>
      <c r="G78" s="31"/>
      <c r="H78" s="31"/>
      <c r="I78" s="31"/>
      <c r="J78" s="31"/>
      <c r="K78" s="31"/>
      <c r="L78" s="31"/>
      <c r="M78" s="31"/>
      <c r="N78" s="31"/>
      <c r="O78" s="31"/>
    </row>
    <row r="79" ht="15.75" customHeight="1">
      <c r="B79" s="31"/>
      <c r="C79" s="31"/>
      <c r="D79" s="31"/>
      <c r="E79" s="31"/>
      <c r="F79" s="31"/>
      <c r="G79" s="31"/>
      <c r="H79" s="31"/>
      <c r="I79" s="31"/>
      <c r="J79" s="31"/>
      <c r="K79" s="31"/>
      <c r="L79" s="31"/>
      <c r="M79" s="31"/>
      <c r="N79" s="31"/>
      <c r="O79" s="31"/>
    </row>
    <row r="80" ht="15.75" customHeight="1">
      <c r="B80" s="31"/>
      <c r="C80" s="31"/>
      <c r="D80" s="31"/>
      <c r="E80" s="31"/>
      <c r="F80" s="31"/>
      <c r="G80" s="31"/>
      <c r="H80" s="31"/>
      <c r="I80" s="31"/>
      <c r="J80" s="31"/>
      <c r="K80" s="31"/>
      <c r="L80" s="31"/>
      <c r="M80" s="31"/>
      <c r="N80" s="31"/>
      <c r="O80" s="31"/>
    </row>
    <row r="81" ht="15.75" customHeight="1">
      <c r="B81" s="31"/>
      <c r="C81" s="31"/>
      <c r="D81" s="31"/>
      <c r="E81" s="31"/>
      <c r="F81" s="31"/>
      <c r="G81" s="31"/>
      <c r="H81" s="31"/>
      <c r="I81" s="31"/>
      <c r="J81" s="31"/>
      <c r="K81" s="31"/>
      <c r="L81" s="31"/>
      <c r="M81" s="31"/>
      <c r="N81" s="31"/>
      <c r="O81" s="31"/>
    </row>
    <row r="82" ht="15.75" customHeight="1">
      <c r="B82" s="31"/>
      <c r="C82" s="31"/>
      <c r="D82" s="31"/>
      <c r="E82" s="31"/>
      <c r="F82" s="31"/>
      <c r="G82" s="31"/>
      <c r="H82" s="31"/>
      <c r="I82" s="31"/>
      <c r="J82" s="31"/>
      <c r="K82" s="31"/>
      <c r="L82" s="31"/>
      <c r="M82" s="31"/>
      <c r="N82" s="31"/>
      <c r="O82" s="31"/>
    </row>
    <row r="83" ht="15.75" customHeight="1">
      <c r="B83" s="31"/>
      <c r="C83" s="31"/>
      <c r="D83" s="31"/>
      <c r="E83" s="31"/>
      <c r="F83" s="31"/>
      <c r="G83" s="31"/>
      <c r="H83" s="31"/>
      <c r="I83" s="31"/>
      <c r="J83" s="31"/>
      <c r="K83" s="31"/>
      <c r="L83" s="31"/>
      <c r="M83" s="31"/>
      <c r="N83" s="31"/>
      <c r="O83" s="31"/>
    </row>
    <row r="84" ht="15.75" customHeight="1">
      <c r="B84" s="31"/>
      <c r="C84" s="31"/>
      <c r="D84" s="31"/>
      <c r="E84" s="31"/>
      <c r="F84" s="31"/>
      <c r="G84" s="31"/>
      <c r="H84" s="31"/>
      <c r="I84" s="31"/>
      <c r="J84" s="31"/>
      <c r="K84" s="31"/>
      <c r="L84" s="31"/>
      <c r="M84" s="31"/>
      <c r="N84" s="31"/>
      <c r="O84" s="31"/>
    </row>
    <row r="85" ht="15.75" customHeight="1">
      <c r="B85" s="31"/>
      <c r="C85" s="31"/>
      <c r="D85" s="31"/>
      <c r="E85" s="31"/>
      <c r="F85" s="31"/>
      <c r="G85" s="31"/>
      <c r="H85" s="31"/>
      <c r="I85" s="31"/>
      <c r="J85" s="31"/>
      <c r="K85" s="31"/>
      <c r="L85" s="31"/>
      <c r="M85" s="31"/>
      <c r="N85" s="31"/>
      <c r="O85" s="31"/>
    </row>
    <row r="86" ht="15.75" customHeight="1">
      <c r="B86" s="31"/>
      <c r="C86" s="31"/>
      <c r="D86" s="31"/>
      <c r="E86" s="31"/>
      <c r="F86" s="31"/>
      <c r="G86" s="31"/>
      <c r="H86" s="31"/>
      <c r="I86" s="31"/>
      <c r="J86" s="31"/>
      <c r="K86" s="31"/>
      <c r="L86" s="31"/>
      <c r="M86" s="31"/>
      <c r="N86" s="31"/>
      <c r="O86" s="31"/>
    </row>
    <row r="87" ht="15.75" customHeight="1">
      <c r="B87" s="31"/>
      <c r="C87" s="31"/>
      <c r="D87" s="31"/>
      <c r="E87" s="31"/>
      <c r="F87" s="31"/>
      <c r="G87" s="31"/>
      <c r="H87" s="31"/>
      <c r="I87" s="31"/>
      <c r="J87" s="31"/>
      <c r="K87" s="31"/>
      <c r="L87" s="31"/>
      <c r="M87" s="31"/>
      <c r="N87" s="31"/>
      <c r="O87" s="31"/>
    </row>
    <row r="88" ht="15.75" customHeight="1">
      <c r="B88" s="31"/>
      <c r="C88" s="31"/>
      <c r="D88" s="31"/>
      <c r="E88" s="31"/>
      <c r="F88" s="31"/>
      <c r="G88" s="31"/>
      <c r="H88" s="31"/>
      <c r="I88" s="31"/>
      <c r="J88" s="31"/>
      <c r="K88" s="31"/>
      <c r="L88" s="31"/>
      <c r="M88" s="31"/>
      <c r="N88" s="31"/>
      <c r="O88" s="31"/>
    </row>
    <row r="89" ht="15.75" customHeight="1">
      <c r="B89" s="31"/>
      <c r="C89" s="31"/>
      <c r="D89" s="31"/>
      <c r="E89" s="31"/>
      <c r="F89" s="31"/>
      <c r="G89" s="31"/>
      <c r="H89" s="31"/>
      <c r="I89" s="31"/>
      <c r="J89" s="31"/>
      <c r="K89" s="31"/>
      <c r="L89" s="31"/>
      <c r="M89" s="31"/>
      <c r="N89" s="31"/>
      <c r="O89" s="31"/>
    </row>
    <row r="90" ht="15.75" customHeight="1">
      <c r="B90" s="31"/>
      <c r="C90" s="31"/>
      <c r="D90" s="31"/>
      <c r="E90" s="31"/>
      <c r="F90" s="31"/>
      <c r="G90" s="31"/>
      <c r="H90" s="31"/>
      <c r="I90" s="31"/>
      <c r="J90" s="31"/>
      <c r="K90" s="31"/>
      <c r="L90" s="31"/>
      <c r="M90" s="31"/>
      <c r="N90" s="31"/>
      <c r="O90" s="31"/>
    </row>
    <row r="91" ht="15.75" customHeight="1">
      <c r="B91" s="31"/>
      <c r="C91" s="31"/>
      <c r="D91" s="31"/>
      <c r="E91" s="31"/>
      <c r="F91" s="31"/>
      <c r="G91" s="31"/>
      <c r="H91" s="31"/>
      <c r="I91" s="31"/>
      <c r="J91" s="31"/>
      <c r="K91" s="31"/>
      <c r="L91" s="31"/>
      <c r="M91" s="31"/>
      <c r="N91" s="31"/>
      <c r="O91" s="31"/>
    </row>
    <row r="92" ht="15.75" customHeight="1">
      <c r="B92" s="31"/>
      <c r="C92" s="31"/>
      <c r="D92" s="31"/>
      <c r="E92" s="31"/>
      <c r="F92" s="31"/>
      <c r="G92" s="31"/>
      <c r="H92" s="31"/>
      <c r="I92" s="31"/>
      <c r="J92" s="31"/>
      <c r="K92" s="31"/>
      <c r="L92" s="31"/>
      <c r="M92" s="31"/>
      <c r="N92" s="31"/>
      <c r="O92" s="31"/>
    </row>
    <row r="93" ht="15.75" customHeight="1">
      <c r="B93" s="31"/>
      <c r="C93" s="31"/>
      <c r="D93" s="31"/>
      <c r="E93" s="31"/>
      <c r="F93" s="31"/>
      <c r="G93" s="31"/>
      <c r="H93" s="31"/>
      <c r="I93" s="31"/>
      <c r="J93" s="31"/>
      <c r="K93" s="31"/>
      <c r="L93" s="31"/>
      <c r="M93" s="31"/>
      <c r="N93" s="31"/>
      <c r="O93" s="31"/>
    </row>
    <row r="94" ht="15.75" customHeight="1">
      <c r="B94" s="31"/>
      <c r="C94" s="31"/>
      <c r="D94" s="31"/>
      <c r="E94" s="31"/>
      <c r="F94" s="31"/>
      <c r="G94" s="31"/>
      <c r="H94" s="31"/>
      <c r="I94" s="31"/>
      <c r="J94" s="31"/>
      <c r="K94" s="31"/>
      <c r="L94" s="31"/>
      <c r="M94" s="31"/>
      <c r="N94" s="31"/>
      <c r="O94" s="31"/>
    </row>
    <row r="95" ht="15.75" customHeight="1">
      <c r="B95" s="31"/>
      <c r="C95" s="31"/>
      <c r="D95" s="31"/>
      <c r="E95" s="31"/>
      <c r="F95" s="31"/>
      <c r="G95" s="31"/>
      <c r="H95" s="31"/>
      <c r="I95" s="31"/>
      <c r="J95" s="31"/>
      <c r="K95" s="31"/>
      <c r="L95" s="31"/>
      <c r="M95" s="31"/>
      <c r="N95" s="31"/>
      <c r="O95" s="31"/>
    </row>
    <row r="96" ht="15.75" customHeight="1">
      <c r="B96" s="31"/>
      <c r="C96" s="31"/>
      <c r="D96" s="31"/>
      <c r="E96" s="31"/>
      <c r="F96" s="31"/>
      <c r="G96" s="31"/>
      <c r="H96" s="31"/>
      <c r="I96" s="31"/>
      <c r="J96" s="31"/>
      <c r="K96" s="31"/>
      <c r="L96" s="31"/>
      <c r="M96" s="31"/>
      <c r="N96" s="31"/>
      <c r="O96" s="31"/>
    </row>
    <row r="97" ht="15.75" customHeight="1">
      <c r="B97" s="31"/>
      <c r="C97" s="31"/>
      <c r="D97" s="31"/>
      <c r="E97" s="31"/>
      <c r="F97" s="31"/>
      <c r="G97" s="31"/>
      <c r="H97" s="31"/>
      <c r="I97" s="31"/>
      <c r="J97" s="31"/>
      <c r="K97" s="31"/>
      <c r="L97" s="31"/>
      <c r="M97" s="31"/>
      <c r="N97" s="31"/>
      <c r="O97" s="31"/>
    </row>
    <row r="98" ht="15.75" customHeight="1">
      <c r="B98" s="31"/>
      <c r="C98" s="31"/>
      <c r="D98" s="31"/>
      <c r="E98" s="31"/>
      <c r="F98" s="31"/>
      <c r="G98" s="31"/>
      <c r="H98" s="31"/>
      <c r="I98" s="31"/>
      <c r="J98" s="31"/>
      <c r="K98" s="31"/>
      <c r="L98" s="31"/>
      <c r="M98" s="31"/>
      <c r="N98" s="31"/>
      <c r="O98" s="31"/>
    </row>
    <row r="99" ht="15.75" customHeight="1">
      <c r="B99" s="31"/>
      <c r="C99" s="31"/>
      <c r="D99" s="31"/>
      <c r="E99" s="31"/>
      <c r="F99" s="31"/>
      <c r="G99" s="31"/>
      <c r="H99" s="31"/>
      <c r="I99" s="31"/>
      <c r="J99" s="31"/>
      <c r="K99" s="31"/>
      <c r="L99" s="31"/>
      <c r="M99" s="31"/>
      <c r="N99" s="31"/>
      <c r="O99" s="31"/>
    </row>
    <row r="100" ht="15.75" customHeight="1">
      <c r="B100" s="31"/>
      <c r="C100" s="31"/>
      <c r="D100" s="31"/>
      <c r="E100" s="31"/>
      <c r="F100" s="31"/>
      <c r="G100" s="31"/>
      <c r="H100" s="31"/>
      <c r="I100" s="31"/>
      <c r="J100" s="31"/>
      <c r="K100" s="31"/>
      <c r="L100" s="31"/>
      <c r="M100" s="31"/>
      <c r="N100" s="31"/>
      <c r="O100" s="31"/>
    </row>
    <row r="101" ht="15.75" customHeight="1">
      <c r="B101" s="31"/>
      <c r="C101" s="31"/>
      <c r="D101" s="31"/>
      <c r="E101" s="31"/>
      <c r="F101" s="31"/>
      <c r="G101" s="31"/>
      <c r="H101" s="31"/>
      <c r="I101" s="31"/>
      <c r="J101" s="31"/>
      <c r="K101" s="31"/>
      <c r="L101" s="31"/>
      <c r="M101" s="31"/>
      <c r="N101" s="31"/>
      <c r="O101" s="31"/>
    </row>
    <row r="102" ht="15.75" customHeight="1">
      <c r="B102" s="31"/>
      <c r="C102" s="31"/>
      <c r="D102" s="31"/>
      <c r="E102" s="31"/>
      <c r="F102" s="31"/>
      <c r="G102" s="31"/>
      <c r="H102" s="31"/>
      <c r="I102" s="31"/>
      <c r="J102" s="31"/>
      <c r="K102" s="31"/>
      <c r="L102" s="31"/>
      <c r="M102" s="31"/>
      <c r="N102" s="31"/>
      <c r="O102" s="31"/>
    </row>
    <row r="103" ht="15.75" customHeight="1">
      <c r="B103" s="31"/>
      <c r="C103" s="31"/>
      <c r="D103" s="31"/>
      <c r="E103" s="31"/>
      <c r="F103" s="31"/>
      <c r="G103" s="31"/>
      <c r="H103" s="31"/>
      <c r="I103" s="31"/>
      <c r="J103" s="31"/>
      <c r="K103" s="31"/>
      <c r="L103" s="31"/>
      <c r="M103" s="31"/>
      <c r="N103" s="31"/>
      <c r="O103" s="31"/>
    </row>
    <row r="104" ht="15.75" customHeight="1">
      <c r="B104" s="31"/>
      <c r="C104" s="31"/>
      <c r="D104" s="31"/>
      <c r="E104" s="31"/>
      <c r="F104" s="31"/>
      <c r="G104" s="31"/>
      <c r="H104" s="31"/>
      <c r="I104" s="31"/>
      <c r="J104" s="31"/>
      <c r="K104" s="31"/>
      <c r="L104" s="31"/>
      <c r="M104" s="31"/>
      <c r="N104" s="31"/>
      <c r="O104" s="31"/>
    </row>
    <row r="105" ht="15.75" customHeight="1">
      <c r="B105" s="31"/>
      <c r="C105" s="31"/>
      <c r="D105" s="31"/>
      <c r="E105" s="31"/>
      <c r="F105" s="31"/>
      <c r="G105" s="31"/>
      <c r="H105" s="31"/>
      <c r="I105" s="31"/>
      <c r="J105" s="31"/>
      <c r="K105" s="31"/>
      <c r="L105" s="31"/>
      <c r="M105" s="31"/>
      <c r="N105" s="31"/>
      <c r="O105" s="31"/>
    </row>
    <row r="106" ht="15.75" customHeight="1">
      <c r="B106" s="31"/>
      <c r="C106" s="31"/>
      <c r="D106" s="31"/>
      <c r="E106" s="31"/>
      <c r="F106" s="31"/>
      <c r="G106" s="31"/>
      <c r="H106" s="31"/>
      <c r="I106" s="31"/>
      <c r="J106" s="31"/>
      <c r="K106" s="31"/>
      <c r="L106" s="31"/>
      <c r="M106" s="31"/>
      <c r="N106" s="31"/>
      <c r="O106" s="31"/>
    </row>
    <row r="107" ht="15.75" customHeight="1">
      <c r="B107" s="31"/>
      <c r="C107" s="31"/>
      <c r="D107" s="31"/>
      <c r="E107" s="31"/>
      <c r="F107" s="31"/>
      <c r="G107" s="31"/>
      <c r="H107" s="31"/>
      <c r="I107" s="31"/>
      <c r="J107" s="31"/>
      <c r="K107" s="31"/>
      <c r="L107" s="31"/>
      <c r="M107" s="31"/>
      <c r="N107" s="31"/>
      <c r="O107" s="31"/>
    </row>
    <row r="108" ht="15.75" customHeight="1">
      <c r="B108" s="31"/>
      <c r="C108" s="31"/>
      <c r="D108" s="31"/>
      <c r="E108" s="31"/>
      <c r="F108" s="31"/>
      <c r="G108" s="31"/>
      <c r="H108" s="31"/>
      <c r="I108" s="31"/>
      <c r="J108" s="31"/>
      <c r="K108" s="31"/>
      <c r="L108" s="31"/>
      <c r="M108" s="31"/>
      <c r="N108" s="31"/>
      <c r="O108" s="31"/>
    </row>
    <row r="109" ht="15.75" customHeight="1">
      <c r="B109" s="31"/>
      <c r="C109" s="31"/>
      <c r="D109" s="31"/>
      <c r="E109" s="31"/>
      <c r="F109" s="31"/>
      <c r="G109" s="31"/>
      <c r="H109" s="31"/>
      <c r="I109" s="31"/>
      <c r="J109" s="31"/>
      <c r="K109" s="31"/>
      <c r="L109" s="31"/>
      <c r="M109" s="31"/>
      <c r="N109" s="31"/>
      <c r="O109" s="31"/>
    </row>
    <row r="110" ht="15.75" customHeight="1">
      <c r="B110" s="31"/>
      <c r="C110" s="31"/>
      <c r="D110" s="31"/>
      <c r="E110" s="31"/>
      <c r="F110" s="31"/>
      <c r="G110" s="31"/>
      <c r="H110" s="31"/>
      <c r="I110" s="31"/>
      <c r="J110" s="31"/>
      <c r="K110" s="31"/>
      <c r="L110" s="31"/>
      <c r="M110" s="31"/>
      <c r="N110" s="31"/>
      <c r="O110" s="31"/>
    </row>
    <row r="111" ht="15.75" customHeight="1">
      <c r="B111" s="31"/>
      <c r="C111" s="31"/>
      <c r="D111" s="31"/>
      <c r="E111" s="31"/>
      <c r="F111" s="31"/>
      <c r="G111" s="31"/>
      <c r="H111" s="31"/>
      <c r="I111" s="31"/>
      <c r="J111" s="31"/>
      <c r="K111" s="31"/>
      <c r="L111" s="31"/>
      <c r="M111" s="31"/>
      <c r="N111" s="31"/>
      <c r="O111" s="31"/>
    </row>
    <row r="112" ht="15.75" customHeight="1">
      <c r="B112" s="31"/>
      <c r="C112" s="31"/>
      <c r="D112" s="31"/>
      <c r="E112" s="31"/>
      <c r="F112" s="31"/>
      <c r="G112" s="31"/>
      <c r="H112" s="31"/>
      <c r="I112" s="31"/>
      <c r="J112" s="31"/>
      <c r="K112" s="31"/>
      <c r="L112" s="31"/>
      <c r="M112" s="31"/>
      <c r="N112" s="31"/>
      <c r="O112" s="31"/>
    </row>
    <row r="113" ht="15.75" customHeight="1">
      <c r="B113" s="31"/>
      <c r="C113" s="31"/>
      <c r="D113" s="31"/>
      <c r="E113" s="31"/>
      <c r="F113" s="31"/>
      <c r="G113" s="31"/>
      <c r="H113" s="31"/>
      <c r="I113" s="31"/>
      <c r="J113" s="31"/>
      <c r="K113" s="31"/>
      <c r="L113" s="31"/>
      <c r="M113" s="31"/>
      <c r="N113" s="31"/>
      <c r="O113" s="31"/>
    </row>
    <row r="114" ht="15.75" customHeight="1">
      <c r="B114" s="31"/>
      <c r="C114" s="31"/>
      <c r="D114" s="31"/>
      <c r="E114" s="31"/>
      <c r="F114" s="31"/>
      <c r="G114" s="31"/>
      <c r="H114" s="31"/>
      <c r="I114" s="31"/>
      <c r="J114" s="31"/>
      <c r="K114" s="31"/>
      <c r="L114" s="31"/>
      <c r="M114" s="31"/>
      <c r="N114" s="31"/>
      <c r="O114" s="31"/>
    </row>
    <row r="115" ht="15.75" customHeight="1">
      <c r="B115" s="31"/>
      <c r="C115" s="31"/>
      <c r="D115" s="31"/>
      <c r="E115" s="31"/>
      <c r="F115" s="31"/>
      <c r="G115" s="31"/>
      <c r="H115" s="31"/>
      <c r="I115" s="31"/>
      <c r="J115" s="31"/>
      <c r="K115" s="31"/>
      <c r="L115" s="31"/>
      <c r="M115" s="31"/>
      <c r="N115" s="31"/>
      <c r="O115" s="31"/>
    </row>
    <row r="116" ht="15.75" customHeight="1">
      <c r="B116" s="31"/>
      <c r="C116" s="31"/>
      <c r="D116" s="31"/>
      <c r="E116" s="31"/>
      <c r="F116" s="31"/>
      <c r="G116" s="31"/>
      <c r="H116" s="31"/>
      <c r="I116" s="31"/>
      <c r="J116" s="31"/>
      <c r="K116" s="31"/>
      <c r="L116" s="31"/>
      <c r="M116" s="31"/>
      <c r="N116" s="31"/>
      <c r="O116" s="31"/>
    </row>
    <row r="117" ht="15.75" customHeight="1">
      <c r="B117" s="31"/>
      <c r="C117" s="31"/>
      <c r="D117" s="31"/>
      <c r="E117" s="31"/>
      <c r="F117" s="31"/>
      <c r="G117" s="31"/>
      <c r="H117" s="31"/>
      <c r="I117" s="31"/>
      <c r="J117" s="31"/>
      <c r="K117" s="31"/>
      <c r="L117" s="31"/>
      <c r="M117" s="31"/>
      <c r="N117" s="31"/>
      <c r="O117" s="31"/>
    </row>
    <row r="118" ht="15.75" customHeight="1">
      <c r="B118" s="31"/>
      <c r="C118" s="31"/>
      <c r="D118" s="31"/>
      <c r="E118" s="31"/>
      <c r="F118" s="31"/>
      <c r="G118" s="31"/>
      <c r="H118" s="31"/>
      <c r="I118" s="31"/>
      <c r="J118" s="31"/>
      <c r="K118" s="31"/>
      <c r="L118" s="31"/>
      <c r="M118" s="31"/>
      <c r="N118" s="31"/>
      <c r="O118" s="31"/>
    </row>
    <row r="119" ht="15.75" customHeight="1">
      <c r="B119" s="31"/>
      <c r="C119" s="31"/>
      <c r="D119" s="31"/>
      <c r="E119" s="31"/>
      <c r="F119" s="31"/>
      <c r="G119" s="31"/>
      <c r="H119" s="31"/>
      <c r="I119" s="31"/>
      <c r="J119" s="31"/>
      <c r="K119" s="31"/>
      <c r="L119" s="31"/>
      <c r="M119" s="31"/>
      <c r="N119" s="31"/>
      <c r="O119" s="31"/>
    </row>
    <row r="120" ht="15.75" customHeight="1">
      <c r="B120" s="31"/>
      <c r="C120" s="31"/>
      <c r="D120" s="31"/>
      <c r="E120" s="31"/>
      <c r="F120" s="31"/>
      <c r="G120" s="31"/>
      <c r="H120" s="31"/>
      <c r="I120" s="31"/>
      <c r="J120" s="31"/>
      <c r="K120" s="31"/>
      <c r="L120" s="31"/>
      <c r="M120" s="31"/>
      <c r="N120" s="31"/>
      <c r="O120" s="31"/>
    </row>
    <row r="121" ht="15.75" customHeight="1">
      <c r="B121" s="31"/>
      <c r="C121" s="31"/>
      <c r="D121" s="31"/>
      <c r="E121" s="31"/>
      <c r="F121" s="31"/>
      <c r="G121" s="31"/>
      <c r="H121" s="31"/>
      <c r="I121" s="31"/>
      <c r="J121" s="31"/>
      <c r="K121" s="31"/>
      <c r="L121" s="31"/>
      <c r="M121" s="31"/>
      <c r="N121" s="31"/>
      <c r="O121" s="31"/>
    </row>
    <row r="122" ht="15.75" customHeight="1">
      <c r="B122" s="31"/>
      <c r="C122" s="31"/>
      <c r="D122" s="31"/>
      <c r="E122" s="31"/>
      <c r="F122" s="31"/>
      <c r="G122" s="31"/>
      <c r="H122" s="31"/>
      <c r="I122" s="31"/>
      <c r="J122" s="31"/>
      <c r="K122" s="31"/>
      <c r="L122" s="31"/>
      <c r="M122" s="31"/>
      <c r="N122" s="31"/>
      <c r="O122" s="31"/>
    </row>
    <row r="123" ht="15.75" customHeight="1">
      <c r="B123" s="31"/>
      <c r="C123" s="31"/>
      <c r="D123" s="31"/>
      <c r="E123" s="31"/>
      <c r="F123" s="31"/>
      <c r="G123" s="31"/>
      <c r="H123" s="31"/>
      <c r="I123" s="31"/>
      <c r="J123" s="31"/>
      <c r="K123" s="31"/>
      <c r="L123" s="31"/>
      <c r="M123" s="31"/>
      <c r="N123" s="31"/>
      <c r="O123" s="31"/>
    </row>
    <row r="124" ht="15.75" customHeight="1">
      <c r="B124" s="31"/>
      <c r="C124" s="31"/>
      <c r="D124" s="31"/>
      <c r="E124" s="31"/>
      <c r="F124" s="31"/>
      <c r="G124" s="31"/>
      <c r="H124" s="31"/>
      <c r="I124" s="31"/>
      <c r="J124" s="31"/>
      <c r="K124" s="31"/>
      <c r="L124" s="31"/>
      <c r="M124" s="31"/>
      <c r="N124" s="31"/>
      <c r="O124" s="31"/>
    </row>
    <row r="125" ht="15.75" customHeight="1">
      <c r="B125" s="31"/>
      <c r="C125" s="31"/>
      <c r="D125" s="31"/>
      <c r="E125" s="31"/>
      <c r="F125" s="31"/>
      <c r="G125" s="31"/>
      <c r="H125" s="31"/>
      <c r="I125" s="31"/>
      <c r="J125" s="31"/>
      <c r="K125" s="31"/>
      <c r="L125" s="31"/>
      <c r="M125" s="31"/>
      <c r="N125" s="31"/>
      <c r="O125" s="31"/>
    </row>
    <row r="126" ht="15.75" customHeight="1">
      <c r="B126" s="31"/>
      <c r="C126" s="31"/>
      <c r="D126" s="31"/>
      <c r="E126" s="31"/>
      <c r="F126" s="31"/>
      <c r="G126" s="31"/>
      <c r="H126" s="31"/>
      <c r="I126" s="31"/>
      <c r="J126" s="31"/>
      <c r="K126" s="31"/>
      <c r="L126" s="31"/>
      <c r="M126" s="31"/>
      <c r="N126" s="31"/>
      <c r="O126" s="31"/>
    </row>
    <row r="127" ht="15.75" customHeight="1">
      <c r="B127" s="31"/>
      <c r="C127" s="31"/>
      <c r="D127" s="31"/>
      <c r="E127" s="31"/>
      <c r="F127" s="31"/>
      <c r="G127" s="31"/>
      <c r="H127" s="31"/>
      <c r="I127" s="31"/>
      <c r="J127" s="31"/>
      <c r="K127" s="31"/>
      <c r="L127" s="31"/>
      <c r="M127" s="31"/>
      <c r="N127" s="31"/>
      <c r="O127" s="31"/>
    </row>
    <row r="128" ht="15.75" customHeight="1">
      <c r="B128" s="31"/>
      <c r="C128" s="31"/>
      <c r="D128" s="31"/>
      <c r="E128" s="31"/>
      <c r="F128" s="31"/>
      <c r="G128" s="31"/>
      <c r="H128" s="31"/>
      <c r="I128" s="31"/>
      <c r="J128" s="31"/>
      <c r="K128" s="31"/>
      <c r="L128" s="31"/>
      <c r="M128" s="31"/>
      <c r="N128" s="31"/>
      <c r="O128" s="31"/>
    </row>
    <row r="129" ht="15.75" customHeight="1">
      <c r="B129" s="31"/>
      <c r="C129" s="31"/>
      <c r="D129" s="31"/>
      <c r="E129" s="31"/>
      <c r="F129" s="31"/>
      <c r="G129" s="31"/>
      <c r="H129" s="31"/>
      <c r="I129" s="31"/>
      <c r="J129" s="31"/>
      <c r="K129" s="31"/>
      <c r="L129" s="31"/>
      <c r="M129" s="31"/>
      <c r="N129" s="31"/>
      <c r="O129" s="31"/>
    </row>
    <row r="130" ht="15.75" customHeight="1">
      <c r="B130" s="31"/>
      <c r="C130" s="31"/>
      <c r="D130" s="31"/>
      <c r="E130" s="31"/>
      <c r="F130" s="31"/>
      <c r="G130" s="31"/>
      <c r="H130" s="31"/>
      <c r="I130" s="31"/>
      <c r="J130" s="31"/>
      <c r="K130" s="31"/>
      <c r="L130" s="31"/>
      <c r="M130" s="31"/>
      <c r="N130" s="31"/>
      <c r="O130" s="31"/>
    </row>
    <row r="131" ht="15.75" customHeight="1">
      <c r="B131" s="31"/>
      <c r="C131" s="31"/>
      <c r="D131" s="31"/>
      <c r="E131" s="31"/>
      <c r="F131" s="31"/>
      <c r="G131" s="31"/>
      <c r="H131" s="31"/>
      <c r="I131" s="31"/>
      <c r="J131" s="31"/>
      <c r="K131" s="31"/>
      <c r="L131" s="31"/>
      <c r="M131" s="31"/>
      <c r="N131" s="31"/>
      <c r="O131" s="31"/>
    </row>
    <row r="132" ht="15.75" customHeight="1">
      <c r="B132" s="31"/>
      <c r="C132" s="31"/>
      <c r="D132" s="31"/>
      <c r="E132" s="31"/>
      <c r="F132" s="31"/>
      <c r="G132" s="31"/>
      <c r="H132" s="31"/>
      <c r="I132" s="31"/>
      <c r="J132" s="31"/>
      <c r="K132" s="31"/>
      <c r="L132" s="31"/>
      <c r="M132" s="31"/>
      <c r="N132" s="31"/>
      <c r="O132" s="31"/>
    </row>
    <row r="133" ht="15.75" customHeight="1">
      <c r="B133" s="31"/>
      <c r="C133" s="31"/>
      <c r="D133" s="31"/>
      <c r="E133" s="31"/>
      <c r="F133" s="31"/>
      <c r="G133" s="31"/>
      <c r="H133" s="31"/>
      <c r="I133" s="31"/>
      <c r="J133" s="31"/>
      <c r="K133" s="31"/>
      <c r="L133" s="31"/>
      <c r="M133" s="31"/>
      <c r="N133" s="31"/>
      <c r="O133" s="31"/>
    </row>
    <row r="134" ht="15.75" customHeight="1">
      <c r="B134" s="31"/>
      <c r="C134" s="31"/>
      <c r="D134" s="31"/>
      <c r="E134" s="31"/>
      <c r="F134" s="31"/>
      <c r="G134" s="31"/>
      <c r="H134" s="31"/>
      <c r="I134" s="31"/>
      <c r="J134" s="31"/>
      <c r="K134" s="31"/>
      <c r="L134" s="31"/>
      <c r="M134" s="31"/>
      <c r="N134" s="31"/>
      <c r="O134" s="31"/>
    </row>
    <row r="135" ht="15.75" customHeight="1">
      <c r="B135" s="31"/>
      <c r="C135" s="31"/>
      <c r="D135" s="31"/>
      <c r="E135" s="31"/>
      <c r="F135" s="31"/>
      <c r="G135" s="31"/>
      <c r="H135" s="31"/>
      <c r="I135" s="31"/>
      <c r="J135" s="31"/>
      <c r="K135" s="31"/>
      <c r="L135" s="31"/>
      <c r="M135" s="31"/>
      <c r="N135" s="31"/>
      <c r="O135" s="31"/>
    </row>
    <row r="136" ht="15.75" customHeight="1">
      <c r="B136" s="31"/>
      <c r="C136" s="31"/>
      <c r="D136" s="31"/>
      <c r="E136" s="31"/>
      <c r="F136" s="31"/>
      <c r="G136" s="31"/>
      <c r="H136" s="31"/>
      <c r="I136" s="31"/>
      <c r="J136" s="31"/>
      <c r="K136" s="31"/>
      <c r="L136" s="31"/>
      <c r="M136" s="31"/>
      <c r="N136" s="31"/>
      <c r="O136" s="31"/>
    </row>
    <row r="137" ht="15.75" customHeight="1">
      <c r="B137" s="31"/>
      <c r="C137" s="31"/>
      <c r="D137" s="31"/>
      <c r="E137" s="31"/>
      <c r="F137" s="31"/>
      <c r="G137" s="31"/>
      <c r="H137" s="31"/>
      <c r="I137" s="31"/>
      <c r="J137" s="31"/>
      <c r="K137" s="31"/>
      <c r="L137" s="31"/>
      <c r="M137" s="31"/>
      <c r="N137" s="31"/>
      <c r="O137" s="31"/>
    </row>
    <row r="138" ht="15.75" customHeight="1">
      <c r="B138" s="31"/>
      <c r="C138" s="31"/>
      <c r="D138" s="31"/>
      <c r="E138" s="31"/>
      <c r="F138" s="31"/>
      <c r="G138" s="31"/>
      <c r="H138" s="31"/>
      <c r="I138" s="31"/>
      <c r="J138" s="31"/>
      <c r="K138" s="31"/>
      <c r="L138" s="31"/>
      <c r="M138" s="31"/>
      <c r="N138" s="31"/>
      <c r="O138" s="31"/>
    </row>
    <row r="139" ht="15.75" customHeight="1">
      <c r="B139" s="31"/>
      <c r="C139" s="31"/>
      <c r="D139" s="31"/>
      <c r="E139" s="31"/>
      <c r="F139" s="31"/>
      <c r="G139" s="31"/>
      <c r="H139" s="31"/>
      <c r="I139" s="31"/>
      <c r="J139" s="31"/>
      <c r="K139" s="31"/>
      <c r="L139" s="31"/>
      <c r="M139" s="31"/>
      <c r="N139" s="31"/>
      <c r="O139" s="31"/>
    </row>
    <row r="140" ht="15.75" customHeight="1">
      <c r="B140" s="31"/>
      <c r="C140" s="31"/>
      <c r="D140" s="31"/>
      <c r="E140" s="31"/>
      <c r="F140" s="31"/>
      <c r="G140" s="31"/>
      <c r="H140" s="31"/>
      <c r="I140" s="31"/>
      <c r="J140" s="31"/>
      <c r="K140" s="31"/>
      <c r="L140" s="31"/>
      <c r="M140" s="31"/>
      <c r="N140" s="31"/>
      <c r="O140" s="31"/>
    </row>
    <row r="141" ht="15.75" customHeight="1">
      <c r="B141" s="31"/>
      <c r="C141" s="31"/>
      <c r="D141" s="31"/>
      <c r="E141" s="31"/>
      <c r="F141" s="31"/>
      <c r="G141" s="31"/>
      <c r="H141" s="31"/>
      <c r="I141" s="31"/>
      <c r="J141" s="31"/>
      <c r="K141" s="31"/>
      <c r="L141" s="31"/>
      <c r="M141" s="31"/>
      <c r="N141" s="31"/>
      <c r="O141" s="31"/>
    </row>
    <row r="142" ht="15.75" customHeight="1">
      <c r="B142" s="31"/>
      <c r="C142" s="31"/>
      <c r="D142" s="31"/>
      <c r="E142" s="31"/>
      <c r="F142" s="31"/>
      <c r="G142" s="31"/>
      <c r="H142" s="31"/>
      <c r="I142" s="31"/>
      <c r="J142" s="31"/>
      <c r="K142" s="31"/>
      <c r="L142" s="31"/>
      <c r="M142" s="31"/>
      <c r="N142" s="31"/>
      <c r="O142" s="31"/>
    </row>
    <row r="143" ht="15.75" customHeight="1">
      <c r="B143" s="31"/>
      <c r="C143" s="31"/>
      <c r="D143" s="31"/>
      <c r="E143" s="31"/>
      <c r="F143" s="31"/>
      <c r="G143" s="31"/>
      <c r="H143" s="31"/>
      <c r="I143" s="31"/>
      <c r="J143" s="31"/>
      <c r="K143" s="31"/>
      <c r="L143" s="31"/>
      <c r="M143" s="31"/>
      <c r="N143" s="31"/>
      <c r="O143" s="31"/>
    </row>
    <row r="144" ht="15.75" customHeight="1">
      <c r="B144" s="31"/>
      <c r="C144" s="31"/>
      <c r="D144" s="31"/>
      <c r="E144" s="31"/>
      <c r="F144" s="31"/>
      <c r="G144" s="31"/>
      <c r="H144" s="31"/>
      <c r="I144" s="31"/>
      <c r="J144" s="31"/>
      <c r="K144" s="31"/>
      <c r="L144" s="31"/>
      <c r="M144" s="31"/>
      <c r="N144" s="31"/>
      <c r="O144" s="31"/>
    </row>
    <row r="145" ht="15.75" customHeight="1">
      <c r="B145" s="31"/>
      <c r="C145" s="31"/>
      <c r="D145" s="31"/>
      <c r="E145" s="31"/>
      <c r="F145" s="31"/>
      <c r="G145" s="31"/>
      <c r="H145" s="31"/>
      <c r="I145" s="31"/>
      <c r="J145" s="31"/>
      <c r="K145" s="31"/>
      <c r="L145" s="31"/>
      <c r="M145" s="31"/>
      <c r="N145" s="31"/>
      <c r="O145" s="31"/>
    </row>
    <row r="146" ht="15.75" customHeight="1">
      <c r="B146" s="31"/>
      <c r="C146" s="31"/>
      <c r="D146" s="31"/>
      <c r="E146" s="31"/>
      <c r="F146" s="31"/>
      <c r="G146" s="31"/>
      <c r="H146" s="31"/>
      <c r="I146" s="31"/>
      <c r="J146" s="31"/>
      <c r="K146" s="31"/>
      <c r="L146" s="31"/>
      <c r="M146" s="31"/>
      <c r="N146" s="31"/>
      <c r="O146" s="31"/>
    </row>
    <row r="147" ht="15.75" customHeight="1">
      <c r="B147" s="31"/>
      <c r="C147" s="31"/>
      <c r="D147" s="31"/>
      <c r="E147" s="31"/>
      <c r="F147" s="31"/>
      <c r="G147" s="31"/>
      <c r="H147" s="31"/>
      <c r="I147" s="31"/>
      <c r="J147" s="31"/>
      <c r="K147" s="31"/>
      <c r="L147" s="31"/>
      <c r="M147" s="31"/>
      <c r="N147" s="31"/>
      <c r="O147" s="31"/>
    </row>
    <row r="148" ht="15.75" customHeight="1">
      <c r="B148" s="31"/>
      <c r="C148" s="31"/>
      <c r="D148" s="31"/>
      <c r="E148" s="31"/>
      <c r="F148" s="31"/>
      <c r="G148" s="31"/>
      <c r="H148" s="31"/>
      <c r="I148" s="31"/>
      <c r="J148" s="31"/>
      <c r="K148" s="31"/>
      <c r="L148" s="31"/>
      <c r="M148" s="31"/>
      <c r="N148" s="31"/>
      <c r="O148" s="31"/>
    </row>
    <row r="149" ht="15.75" customHeight="1">
      <c r="B149" s="31"/>
      <c r="C149" s="31"/>
      <c r="D149" s="31"/>
      <c r="E149" s="31"/>
      <c r="F149" s="31"/>
      <c r="G149" s="31"/>
      <c r="H149" s="31"/>
      <c r="I149" s="31"/>
      <c r="J149" s="31"/>
      <c r="K149" s="31"/>
      <c r="L149" s="31"/>
      <c r="M149" s="31"/>
      <c r="N149" s="31"/>
      <c r="O149" s="31"/>
    </row>
    <row r="150" ht="15.75" customHeight="1">
      <c r="B150" s="31"/>
      <c r="C150" s="31"/>
      <c r="D150" s="31"/>
      <c r="E150" s="31"/>
      <c r="F150" s="31"/>
      <c r="G150" s="31"/>
      <c r="H150" s="31"/>
      <c r="I150" s="31"/>
      <c r="J150" s="31"/>
      <c r="K150" s="31"/>
      <c r="L150" s="31"/>
      <c r="M150" s="31"/>
      <c r="N150" s="31"/>
      <c r="O150" s="31"/>
    </row>
    <row r="151" ht="15.75" customHeight="1">
      <c r="B151" s="31"/>
      <c r="C151" s="31"/>
      <c r="D151" s="31"/>
      <c r="E151" s="31"/>
      <c r="F151" s="31"/>
      <c r="G151" s="31"/>
      <c r="H151" s="31"/>
      <c r="I151" s="31"/>
      <c r="J151" s="31"/>
      <c r="K151" s="31"/>
      <c r="L151" s="31"/>
      <c r="M151" s="31"/>
      <c r="N151" s="31"/>
      <c r="O151" s="31"/>
    </row>
    <row r="152" ht="15.75" customHeight="1">
      <c r="B152" s="31"/>
      <c r="C152" s="31"/>
      <c r="D152" s="31"/>
      <c r="E152" s="31"/>
      <c r="F152" s="31"/>
      <c r="G152" s="31"/>
      <c r="H152" s="31"/>
      <c r="I152" s="31"/>
      <c r="J152" s="31"/>
      <c r="K152" s="31"/>
      <c r="L152" s="31"/>
      <c r="M152" s="31"/>
      <c r="N152" s="31"/>
      <c r="O152" s="31"/>
    </row>
    <row r="153" ht="15.75" customHeight="1">
      <c r="B153" s="31"/>
      <c r="C153" s="31"/>
      <c r="D153" s="31"/>
      <c r="E153" s="31"/>
      <c r="F153" s="31"/>
      <c r="G153" s="31"/>
      <c r="H153" s="31"/>
      <c r="I153" s="31"/>
      <c r="J153" s="31"/>
      <c r="K153" s="31"/>
      <c r="L153" s="31"/>
      <c r="M153" s="31"/>
      <c r="N153" s="31"/>
      <c r="O153" s="31"/>
    </row>
    <row r="154" ht="15.75" customHeight="1">
      <c r="B154" s="31"/>
      <c r="C154" s="31"/>
      <c r="D154" s="31"/>
      <c r="E154" s="31"/>
      <c r="F154" s="31"/>
      <c r="G154" s="31"/>
      <c r="H154" s="31"/>
      <c r="I154" s="31"/>
      <c r="J154" s="31"/>
      <c r="K154" s="31"/>
      <c r="L154" s="31"/>
      <c r="M154" s="31"/>
      <c r="N154" s="31"/>
      <c r="O154" s="31"/>
    </row>
    <row r="155" ht="15.75" customHeight="1">
      <c r="B155" s="31"/>
      <c r="C155" s="31"/>
      <c r="D155" s="31"/>
      <c r="E155" s="31"/>
      <c r="F155" s="31"/>
      <c r="G155" s="31"/>
      <c r="H155" s="31"/>
      <c r="I155" s="31"/>
      <c r="J155" s="31"/>
      <c r="K155" s="31"/>
      <c r="L155" s="31"/>
      <c r="M155" s="31"/>
      <c r="N155" s="31"/>
      <c r="O155" s="31"/>
    </row>
    <row r="156" ht="15.75" customHeight="1">
      <c r="B156" s="31"/>
      <c r="C156" s="31"/>
      <c r="D156" s="31"/>
      <c r="E156" s="31"/>
      <c r="F156" s="31"/>
      <c r="G156" s="31"/>
      <c r="H156" s="31"/>
      <c r="I156" s="31"/>
      <c r="J156" s="31"/>
      <c r="K156" s="31"/>
      <c r="L156" s="31"/>
      <c r="M156" s="31"/>
      <c r="N156" s="31"/>
      <c r="O156" s="31"/>
    </row>
    <row r="157" ht="15.75" customHeight="1">
      <c r="B157" s="31"/>
      <c r="C157" s="31"/>
      <c r="D157" s="31"/>
      <c r="E157" s="31"/>
      <c r="F157" s="31"/>
      <c r="G157" s="31"/>
      <c r="H157" s="31"/>
      <c r="I157" s="31"/>
      <c r="J157" s="31"/>
      <c r="K157" s="31"/>
      <c r="L157" s="31"/>
      <c r="M157" s="31"/>
      <c r="N157" s="31"/>
      <c r="O157" s="31"/>
    </row>
    <row r="158" ht="15.75" customHeight="1">
      <c r="B158" s="31"/>
      <c r="C158" s="31"/>
      <c r="D158" s="31"/>
      <c r="E158" s="31"/>
      <c r="F158" s="31"/>
      <c r="G158" s="31"/>
      <c r="H158" s="31"/>
      <c r="I158" s="31"/>
      <c r="J158" s="31"/>
      <c r="K158" s="31"/>
      <c r="L158" s="31"/>
      <c r="M158" s="31"/>
      <c r="N158" s="31"/>
      <c r="O158" s="31"/>
    </row>
    <row r="159" ht="15.75" customHeight="1">
      <c r="B159" s="31"/>
      <c r="C159" s="31"/>
      <c r="D159" s="31"/>
      <c r="E159" s="31"/>
      <c r="F159" s="31"/>
      <c r="G159" s="31"/>
      <c r="H159" s="31"/>
      <c r="I159" s="31"/>
      <c r="J159" s="31"/>
      <c r="K159" s="31"/>
      <c r="L159" s="31"/>
      <c r="M159" s="31"/>
      <c r="N159" s="31"/>
      <c r="O159" s="31"/>
    </row>
    <row r="160" ht="15.75" customHeight="1">
      <c r="B160" s="31"/>
      <c r="C160" s="31"/>
      <c r="D160" s="31"/>
      <c r="E160" s="31"/>
      <c r="F160" s="31"/>
      <c r="G160" s="31"/>
      <c r="H160" s="31"/>
      <c r="I160" s="31"/>
      <c r="J160" s="31"/>
      <c r="K160" s="31"/>
      <c r="L160" s="31"/>
      <c r="M160" s="31"/>
      <c r="N160" s="31"/>
      <c r="O160" s="31"/>
    </row>
    <row r="161" ht="15.75" customHeight="1">
      <c r="B161" s="31"/>
      <c r="C161" s="31"/>
      <c r="D161" s="31"/>
      <c r="E161" s="31"/>
      <c r="F161" s="31"/>
      <c r="G161" s="31"/>
      <c r="H161" s="31"/>
      <c r="I161" s="31"/>
      <c r="J161" s="31"/>
      <c r="K161" s="31"/>
      <c r="L161" s="31"/>
      <c r="M161" s="31"/>
      <c r="N161" s="31"/>
      <c r="O161" s="31"/>
    </row>
    <row r="162" ht="15.75" customHeight="1">
      <c r="B162" s="31"/>
      <c r="C162" s="31"/>
      <c r="D162" s="31"/>
      <c r="E162" s="31"/>
      <c r="F162" s="31"/>
      <c r="G162" s="31"/>
      <c r="H162" s="31"/>
      <c r="I162" s="31"/>
      <c r="J162" s="31"/>
      <c r="K162" s="31"/>
      <c r="L162" s="31"/>
      <c r="M162" s="31"/>
      <c r="N162" s="31"/>
      <c r="O162" s="31"/>
    </row>
    <row r="163" ht="15.75" customHeight="1">
      <c r="B163" s="31"/>
      <c r="C163" s="31"/>
      <c r="D163" s="31"/>
      <c r="E163" s="31"/>
      <c r="F163" s="31"/>
      <c r="G163" s="31"/>
      <c r="H163" s="31"/>
      <c r="I163" s="31"/>
      <c r="J163" s="31"/>
      <c r="K163" s="31"/>
      <c r="L163" s="31"/>
      <c r="M163" s="31"/>
      <c r="N163" s="31"/>
      <c r="O163" s="31"/>
    </row>
    <row r="164" ht="15.75" customHeight="1">
      <c r="B164" s="31"/>
      <c r="C164" s="31"/>
      <c r="D164" s="31"/>
      <c r="E164" s="31"/>
      <c r="F164" s="31"/>
      <c r="G164" s="31"/>
      <c r="H164" s="31"/>
      <c r="I164" s="31"/>
      <c r="J164" s="31"/>
      <c r="K164" s="31"/>
      <c r="L164" s="31"/>
      <c r="M164" s="31"/>
      <c r="N164" s="31"/>
      <c r="O164" s="31"/>
    </row>
    <row r="165" ht="15.75" customHeight="1">
      <c r="B165" s="31"/>
      <c r="C165" s="31"/>
      <c r="D165" s="31"/>
      <c r="E165" s="31"/>
      <c r="F165" s="31"/>
      <c r="G165" s="31"/>
      <c r="H165" s="31"/>
      <c r="I165" s="31"/>
      <c r="J165" s="31"/>
      <c r="K165" s="31"/>
      <c r="L165" s="31"/>
      <c r="M165" s="31"/>
      <c r="N165" s="31"/>
      <c r="O165" s="31"/>
    </row>
    <row r="166" ht="15.75" customHeight="1">
      <c r="B166" s="31"/>
      <c r="C166" s="31"/>
      <c r="D166" s="31"/>
      <c r="E166" s="31"/>
      <c r="F166" s="31"/>
      <c r="G166" s="31"/>
      <c r="H166" s="31"/>
      <c r="I166" s="31"/>
      <c r="J166" s="31"/>
      <c r="K166" s="31"/>
      <c r="L166" s="31"/>
      <c r="M166" s="31"/>
      <c r="N166" s="31"/>
      <c r="O166" s="31"/>
    </row>
    <row r="167" ht="15.75" customHeight="1">
      <c r="B167" s="31"/>
      <c r="C167" s="31"/>
      <c r="D167" s="31"/>
      <c r="E167" s="31"/>
      <c r="F167" s="31"/>
      <c r="G167" s="31"/>
      <c r="H167" s="31"/>
      <c r="I167" s="31"/>
      <c r="J167" s="31"/>
      <c r="K167" s="31"/>
      <c r="L167" s="31"/>
      <c r="M167" s="31"/>
      <c r="N167" s="31"/>
      <c r="O167" s="31"/>
    </row>
    <row r="168" ht="15.75" customHeight="1">
      <c r="B168" s="31"/>
      <c r="C168" s="31"/>
      <c r="D168" s="31"/>
      <c r="E168" s="31"/>
      <c r="F168" s="31"/>
      <c r="G168" s="31"/>
      <c r="H168" s="31"/>
      <c r="I168" s="31"/>
      <c r="J168" s="31"/>
      <c r="K168" s="31"/>
      <c r="L168" s="31"/>
      <c r="M168" s="31"/>
      <c r="N168" s="31"/>
      <c r="O168" s="31"/>
    </row>
    <row r="169" ht="15.75" customHeight="1">
      <c r="B169" s="31"/>
      <c r="C169" s="31"/>
      <c r="D169" s="31"/>
      <c r="E169" s="31"/>
      <c r="F169" s="31"/>
      <c r="G169" s="31"/>
      <c r="H169" s="31"/>
      <c r="I169" s="31"/>
      <c r="J169" s="31"/>
      <c r="K169" s="31"/>
      <c r="L169" s="31"/>
      <c r="M169" s="31"/>
      <c r="N169" s="31"/>
      <c r="O169" s="31"/>
    </row>
    <row r="170" ht="15.75" customHeight="1">
      <c r="B170" s="31"/>
      <c r="C170" s="31"/>
      <c r="D170" s="31"/>
      <c r="E170" s="31"/>
      <c r="F170" s="31"/>
      <c r="G170" s="31"/>
      <c r="H170" s="31"/>
      <c r="I170" s="31"/>
      <c r="J170" s="31"/>
      <c r="K170" s="31"/>
      <c r="L170" s="31"/>
      <c r="M170" s="31"/>
      <c r="N170" s="31"/>
      <c r="O170" s="31"/>
    </row>
    <row r="171" ht="15.75" customHeight="1">
      <c r="B171" s="31"/>
      <c r="C171" s="31"/>
      <c r="D171" s="31"/>
      <c r="E171" s="31"/>
      <c r="F171" s="31"/>
      <c r="G171" s="31"/>
      <c r="H171" s="31"/>
      <c r="I171" s="31"/>
      <c r="J171" s="31"/>
      <c r="K171" s="31"/>
      <c r="L171" s="31"/>
      <c r="M171" s="31"/>
      <c r="N171" s="31"/>
      <c r="O171" s="31"/>
    </row>
    <row r="172" ht="15.75" customHeight="1">
      <c r="B172" s="31"/>
      <c r="C172" s="31"/>
      <c r="D172" s="31"/>
      <c r="E172" s="31"/>
      <c r="F172" s="31"/>
      <c r="G172" s="31"/>
      <c r="H172" s="31"/>
      <c r="I172" s="31"/>
      <c r="J172" s="31"/>
      <c r="K172" s="31"/>
      <c r="L172" s="31"/>
      <c r="M172" s="31"/>
      <c r="N172" s="31"/>
      <c r="O172" s="31"/>
    </row>
    <row r="173" ht="15.75" customHeight="1">
      <c r="B173" s="31"/>
      <c r="C173" s="31"/>
      <c r="D173" s="31"/>
      <c r="E173" s="31"/>
      <c r="F173" s="31"/>
      <c r="G173" s="31"/>
      <c r="H173" s="31"/>
      <c r="I173" s="31"/>
      <c r="J173" s="31"/>
      <c r="K173" s="31"/>
      <c r="L173" s="31"/>
      <c r="M173" s="31"/>
      <c r="N173" s="31"/>
      <c r="O173" s="31"/>
    </row>
    <row r="174" ht="15.75" customHeight="1">
      <c r="B174" s="31"/>
      <c r="C174" s="31"/>
      <c r="D174" s="31"/>
      <c r="E174" s="31"/>
      <c r="F174" s="31"/>
      <c r="G174" s="31"/>
      <c r="H174" s="31"/>
      <c r="I174" s="31"/>
      <c r="J174" s="31"/>
      <c r="K174" s="31"/>
      <c r="L174" s="31"/>
      <c r="M174" s="31"/>
      <c r="N174" s="31"/>
      <c r="O174" s="31"/>
    </row>
    <row r="175" ht="15.75" customHeight="1">
      <c r="B175" s="31"/>
      <c r="C175" s="31"/>
      <c r="D175" s="31"/>
      <c r="E175" s="31"/>
      <c r="F175" s="31"/>
      <c r="G175" s="31"/>
      <c r="H175" s="31"/>
      <c r="I175" s="31"/>
      <c r="J175" s="31"/>
      <c r="K175" s="31"/>
      <c r="L175" s="31"/>
      <c r="M175" s="31"/>
      <c r="N175" s="31"/>
      <c r="O175" s="31"/>
    </row>
    <row r="176" ht="15.75" customHeight="1">
      <c r="B176" s="31"/>
      <c r="C176" s="31"/>
      <c r="D176" s="31"/>
      <c r="E176" s="31"/>
      <c r="F176" s="31"/>
      <c r="G176" s="31"/>
      <c r="H176" s="31"/>
      <c r="I176" s="31"/>
      <c r="J176" s="31"/>
      <c r="K176" s="31"/>
      <c r="L176" s="31"/>
      <c r="M176" s="31"/>
      <c r="N176" s="31"/>
      <c r="O176" s="31"/>
    </row>
    <row r="177" ht="15.75" customHeight="1">
      <c r="B177" s="31"/>
      <c r="C177" s="31"/>
      <c r="D177" s="31"/>
      <c r="E177" s="31"/>
      <c r="F177" s="31"/>
      <c r="G177" s="31"/>
      <c r="H177" s="31"/>
      <c r="I177" s="31"/>
      <c r="J177" s="31"/>
      <c r="K177" s="31"/>
      <c r="L177" s="31"/>
      <c r="M177" s="31"/>
      <c r="N177" s="31"/>
      <c r="O177" s="31"/>
    </row>
    <row r="178" ht="15.75" customHeight="1">
      <c r="B178" s="31"/>
      <c r="C178" s="31"/>
      <c r="D178" s="31"/>
      <c r="E178" s="31"/>
      <c r="F178" s="31"/>
      <c r="G178" s="31"/>
      <c r="H178" s="31"/>
      <c r="I178" s="31"/>
      <c r="J178" s="31"/>
      <c r="K178" s="31"/>
      <c r="L178" s="31"/>
      <c r="M178" s="31"/>
      <c r="N178" s="31"/>
      <c r="O178" s="31"/>
    </row>
    <row r="179" ht="15.75" customHeight="1">
      <c r="B179" s="31"/>
      <c r="C179" s="31"/>
      <c r="D179" s="31"/>
      <c r="E179" s="31"/>
      <c r="F179" s="31"/>
      <c r="G179" s="31"/>
      <c r="H179" s="31"/>
      <c r="I179" s="31"/>
      <c r="J179" s="31"/>
      <c r="K179" s="31"/>
      <c r="L179" s="31"/>
      <c r="M179" s="31"/>
      <c r="N179" s="31"/>
      <c r="O179" s="31"/>
    </row>
    <row r="180" ht="15.75" customHeight="1">
      <c r="B180" s="31"/>
      <c r="C180" s="31"/>
      <c r="D180" s="31"/>
      <c r="E180" s="31"/>
      <c r="F180" s="31"/>
      <c r="G180" s="31"/>
      <c r="H180" s="31"/>
      <c r="I180" s="31"/>
      <c r="J180" s="31"/>
      <c r="K180" s="31"/>
      <c r="L180" s="31"/>
      <c r="M180" s="31"/>
      <c r="N180" s="31"/>
      <c r="O180" s="31"/>
    </row>
    <row r="181" ht="15.75" customHeight="1">
      <c r="B181" s="31"/>
      <c r="C181" s="31"/>
      <c r="D181" s="31"/>
      <c r="E181" s="31"/>
      <c r="F181" s="31"/>
      <c r="G181" s="31"/>
      <c r="H181" s="31"/>
      <c r="I181" s="31"/>
      <c r="J181" s="31"/>
      <c r="K181" s="31"/>
      <c r="L181" s="31"/>
      <c r="M181" s="31"/>
      <c r="N181" s="31"/>
      <c r="O181" s="31"/>
    </row>
    <row r="182" ht="15.75" customHeight="1">
      <c r="B182" s="31"/>
      <c r="C182" s="31"/>
      <c r="D182" s="31"/>
      <c r="E182" s="31"/>
      <c r="F182" s="31"/>
      <c r="G182" s="31"/>
      <c r="H182" s="31"/>
      <c r="I182" s="31"/>
      <c r="J182" s="31"/>
      <c r="K182" s="31"/>
      <c r="L182" s="31"/>
      <c r="M182" s="31"/>
      <c r="N182" s="31"/>
      <c r="O182" s="31"/>
    </row>
    <row r="183" ht="15.75" customHeight="1">
      <c r="B183" s="31"/>
      <c r="C183" s="31"/>
      <c r="D183" s="31"/>
      <c r="E183" s="31"/>
      <c r="F183" s="31"/>
      <c r="G183" s="31"/>
      <c r="H183" s="31"/>
      <c r="I183" s="31"/>
      <c r="J183" s="31"/>
      <c r="K183" s="31"/>
      <c r="L183" s="31"/>
      <c r="M183" s="31"/>
      <c r="N183" s="31"/>
      <c r="O183" s="31"/>
    </row>
    <row r="184" ht="15.75" customHeight="1">
      <c r="B184" s="31"/>
      <c r="C184" s="31"/>
      <c r="D184" s="31"/>
      <c r="E184" s="31"/>
      <c r="F184" s="31"/>
      <c r="G184" s="31"/>
      <c r="H184" s="31"/>
      <c r="I184" s="31"/>
      <c r="J184" s="31"/>
      <c r="K184" s="31"/>
      <c r="L184" s="31"/>
      <c r="M184" s="31"/>
      <c r="N184" s="31"/>
      <c r="O184" s="31"/>
    </row>
    <row r="185" ht="15.75" customHeight="1">
      <c r="B185" s="31"/>
      <c r="C185" s="31"/>
      <c r="D185" s="31"/>
      <c r="E185" s="31"/>
      <c r="F185" s="31"/>
      <c r="G185" s="31"/>
      <c r="H185" s="31"/>
      <c r="I185" s="31"/>
      <c r="J185" s="31"/>
      <c r="K185" s="31"/>
      <c r="L185" s="31"/>
      <c r="M185" s="31"/>
      <c r="N185" s="31"/>
      <c r="O185" s="31"/>
    </row>
    <row r="186" ht="15.75" customHeight="1">
      <c r="B186" s="31"/>
      <c r="C186" s="31"/>
      <c r="D186" s="31"/>
      <c r="E186" s="31"/>
      <c r="F186" s="31"/>
      <c r="G186" s="31"/>
      <c r="H186" s="31"/>
      <c r="I186" s="31"/>
      <c r="J186" s="31"/>
      <c r="K186" s="31"/>
      <c r="L186" s="31"/>
      <c r="M186" s="31"/>
      <c r="N186" s="31"/>
      <c r="O186" s="31"/>
    </row>
    <row r="187" ht="15.75" customHeight="1">
      <c r="B187" s="31"/>
      <c r="C187" s="31"/>
      <c r="D187" s="31"/>
      <c r="E187" s="31"/>
      <c r="F187" s="31"/>
      <c r="G187" s="31"/>
      <c r="H187" s="31"/>
      <c r="I187" s="31"/>
      <c r="J187" s="31"/>
      <c r="K187" s="31"/>
      <c r="L187" s="31"/>
      <c r="M187" s="31"/>
      <c r="N187" s="31"/>
      <c r="O187" s="31"/>
    </row>
    <row r="188" ht="15.75" customHeight="1">
      <c r="B188" s="31"/>
      <c r="C188" s="31"/>
      <c r="D188" s="31"/>
      <c r="E188" s="31"/>
      <c r="F188" s="31"/>
      <c r="G188" s="31"/>
      <c r="H188" s="31"/>
      <c r="I188" s="31"/>
      <c r="J188" s="31"/>
      <c r="K188" s="31"/>
      <c r="L188" s="31"/>
      <c r="M188" s="31"/>
      <c r="N188" s="31"/>
      <c r="O188" s="31"/>
    </row>
    <row r="189" ht="15.75" customHeight="1">
      <c r="B189" s="31"/>
      <c r="C189" s="31"/>
      <c r="D189" s="31"/>
      <c r="E189" s="31"/>
      <c r="F189" s="31"/>
      <c r="G189" s="31"/>
      <c r="H189" s="31"/>
      <c r="I189" s="31"/>
      <c r="J189" s="31"/>
      <c r="K189" s="31"/>
      <c r="L189" s="31"/>
      <c r="M189" s="31"/>
      <c r="N189" s="31"/>
      <c r="O189" s="31"/>
    </row>
    <row r="190" ht="15.75" customHeight="1">
      <c r="B190" s="31"/>
      <c r="C190" s="31"/>
      <c r="D190" s="31"/>
      <c r="E190" s="31"/>
      <c r="F190" s="31"/>
      <c r="G190" s="31"/>
      <c r="H190" s="31"/>
      <c r="I190" s="31"/>
      <c r="J190" s="31"/>
      <c r="K190" s="31"/>
      <c r="L190" s="31"/>
      <c r="M190" s="31"/>
      <c r="N190" s="31"/>
      <c r="O190" s="31"/>
    </row>
    <row r="191" ht="15.75" customHeight="1">
      <c r="B191" s="31"/>
      <c r="C191" s="31"/>
      <c r="D191" s="31"/>
      <c r="E191" s="31"/>
      <c r="F191" s="31"/>
      <c r="G191" s="31"/>
      <c r="H191" s="31"/>
      <c r="I191" s="31"/>
      <c r="J191" s="31"/>
      <c r="K191" s="31"/>
      <c r="L191" s="31"/>
      <c r="M191" s="31"/>
      <c r="N191" s="31"/>
      <c r="O191" s="31"/>
    </row>
    <row r="192" ht="15.75" customHeight="1">
      <c r="B192" s="31"/>
      <c r="C192" s="31"/>
      <c r="D192" s="31"/>
      <c r="E192" s="31"/>
      <c r="F192" s="31"/>
      <c r="G192" s="31"/>
      <c r="H192" s="31"/>
      <c r="I192" s="31"/>
      <c r="J192" s="31"/>
      <c r="K192" s="31"/>
      <c r="L192" s="31"/>
      <c r="M192" s="31"/>
      <c r="N192" s="31"/>
      <c r="O192" s="31"/>
    </row>
    <row r="193" ht="15.75" customHeight="1">
      <c r="B193" s="31"/>
      <c r="C193" s="31"/>
      <c r="D193" s="31"/>
      <c r="E193" s="31"/>
      <c r="F193" s="31"/>
      <c r="G193" s="31"/>
      <c r="H193" s="31"/>
      <c r="I193" s="31"/>
      <c r="J193" s="31"/>
      <c r="K193" s="31"/>
      <c r="L193" s="31"/>
      <c r="M193" s="31"/>
      <c r="N193" s="31"/>
      <c r="O193" s="31"/>
    </row>
    <row r="194" ht="15.75" customHeight="1">
      <c r="B194" s="31"/>
      <c r="C194" s="31"/>
      <c r="D194" s="31"/>
      <c r="E194" s="31"/>
      <c r="F194" s="31"/>
      <c r="G194" s="31"/>
      <c r="H194" s="31"/>
      <c r="I194" s="31"/>
      <c r="J194" s="31"/>
      <c r="K194" s="31"/>
      <c r="L194" s="31"/>
      <c r="M194" s="31"/>
      <c r="N194" s="31"/>
      <c r="O194" s="31"/>
    </row>
    <row r="195" ht="15.75" customHeight="1">
      <c r="B195" s="31"/>
      <c r="C195" s="31"/>
      <c r="D195" s="31"/>
      <c r="E195" s="31"/>
      <c r="F195" s="31"/>
      <c r="G195" s="31"/>
      <c r="H195" s="31"/>
      <c r="I195" s="31"/>
      <c r="J195" s="31"/>
      <c r="K195" s="31"/>
      <c r="L195" s="31"/>
      <c r="M195" s="31"/>
      <c r="N195" s="31"/>
      <c r="O195" s="31"/>
    </row>
    <row r="196" ht="15.75" customHeight="1">
      <c r="B196" s="31"/>
      <c r="C196" s="31"/>
      <c r="D196" s="31"/>
      <c r="E196" s="31"/>
      <c r="F196" s="31"/>
      <c r="G196" s="31"/>
      <c r="H196" s="31"/>
      <c r="I196" s="31"/>
      <c r="J196" s="31"/>
      <c r="K196" s="31"/>
      <c r="L196" s="31"/>
      <c r="M196" s="31"/>
      <c r="N196" s="31"/>
      <c r="O196" s="31"/>
    </row>
    <row r="197" ht="15.75" customHeight="1">
      <c r="B197" s="31"/>
      <c r="C197" s="31"/>
      <c r="D197" s="31"/>
      <c r="E197" s="31"/>
      <c r="F197" s="31"/>
      <c r="G197" s="31"/>
      <c r="H197" s="31"/>
      <c r="I197" s="31"/>
      <c r="J197" s="31"/>
      <c r="K197" s="31"/>
      <c r="L197" s="31"/>
      <c r="M197" s="31"/>
      <c r="N197" s="31"/>
      <c r="O197" s="31"/>
    </row>
    <row r="198" ht="15.75" customHeight="1">
      <c r="B198" s="31"/>
      <c r="C198" s="31"/>
      <c r="D198" s="31"/>
      <c r="E198" s="31"/>
      <c r="F198" s="31"/>
      <c r="G198" s="31"/>
      <c r="H198" s="31"/>
      <c r="I198" s="31"/>
      <c r="J198" s="31"/>
      <c r="K198" s="31"/>
      <c r="L198" s="31"/>
      <c r="M198" s="31"/>
      <c r="N198" s="31"/>
      <c r="O198" s="31"/>
    </row>
    <row r="199" ht="15.75" customHeight="1">
      <c r="B199" s="31"/>
      <c r="C199" s="31"/>
      <c r="D199" s="31"/>
      <c r="E199" s="31"/>
      <c r="F199" s="31"/>
      <c r="G199" s="31"/>
      <c r="H199" s="31"/>
      <c r="I199" s="31"/>
      <c r="J199" s="31"/>
      <c r="K199" s="31"/>
      <c r="L199" s="31"/>
      <c r="M199" s="31"/>
      <c r="N199" s="31"/>
      <c r="O199" s="31"/>
    </row>
    <row r="200" ht="15.75" customHeight="1">
      <c r="B200" s="31"/>
      <c r="C200" s="31"/>
      <c r="D200" s="31"/>
      <c r="E200" s="31"/>
      <c r="F200" s="31"/>
      <c r="G200" s="31"/>
      <c r="H200" s="31"/>
      <c r="I200" s="31"/>
      <c r="J200" s="31"/>
      <c r="K200" s="31"/>
      <c r="L200" s="31"/>
      <c r="M200" s="31"/>
      <c r="N200" s="31"/>
      <c r="O200" s="31"/>
    </row>
    <row r="201" ht="15.75" customHeight="1">
      <c r="B201" s="31"/>
      <c r="C201" s="31"/>
      <c r="D201" s="31"/>
      <c r="E201" s="31"/>
      <c r="F201" s="31"/>
      <c r="G201" s="31"/>
      <c r="H201" s="31"/>
      <c r="I201" s="31"/>
      <c r="J201" s="31"/>
      <c r="K201" s="31"/>
      <c r="L201" s="31"/>
      <c r="M201" s="31"/>
      <c r="N201" s="31"/>
      <c r="O201" s="31"/>
    </row>
    <row r="202" ht="15.75" customHeight="1">
      <c r="B202" s="31"/>
      <c r="C202" s="31"/>
      <c r="D202" s="31"/>
      <c r="E202" s="31"/>
      <c r="F202" s="31"/>
      <c r="G202" s="31"/>
      <c r="H202" s="31"/>
      <c r="I202" s="31"/>
      <c r="J202" s="31"/>
      <c r="K202" s="31"/>
      <c r="L202" s="31"/>
      <c r="M202" s="31"/>
      <c r="N202" s="31"/>
      <c r="O202" s="31"/>
    </row>
    <row r="203" ht="15.75" customHeight="1">
      <c r="B203" s="31"/>
      <c r="C203" s="31"/>
      <c r="D203" s="31"/>
      <c r="E203" s="31"/>
      <c r="F203" s="31"/>
      <c r="G203" s="31"/>
      <c r="H203" s="31"/>
      <c r="I203" s="31"/>
      <c r="J203" s="31"/>
      <c r="K203" s="31"/>
      <c r="L203" s="31"/>
      <c r="M203" s="31"/>
      <c r="N203" s="31"/>
      <c r="O203" s="31"/>
    </row>
    <row r="204" ht="15.75" customHeight="1">
      <c r="B204" s="31"/>
      <c r="C204" s="31"/>
      <c r="D204" s="31"/>
      <c r="E204" s="31"/>
      <c r="F204" s="31"/>
      <c r="G204" s="31"/>
      <c r="H204" s="31"/>
      <c r="I204" s="31"/>
      <c r="J204" s="31"/>
      <c r="K204" s="31"/>
      <c r="L204" s="31"/>
      <c r="M204" s="31"/>
      <c r="N204" s="31"/>
      <c r="O204" s="31"/>
    </row>
    <row r="205" ht="15.75" customHeight="1">
      <c r="B205" s="31"/>
      <c r="C205" s="31"/>
      <c r="D205" s="31"/>
      <c r="E205" s="31"/>
      <c r="F205" s="31"/>
      <c r="G205" s="31"/>
      <c r="H205" s="31"/>
      <c r="I205" s="31"/>
      <c r="J205" s="31"/>
      <c r="K205" s="31"/>
      <c r="L205" s="31"/>
      <c r="M205" s="31"/>
      <c r="N205" s="31"/>
      <c r="O205" s="31"/>
    </row>
    <row r="206" ht="15.75" customHeight="1">
      <c r="B206" s="31"/>
      <c r="C206" s="31"/>
      <c r="D206" s="31"/>
      <c r="E206" s="31"/>
      <c r="F206" s="31"/>
      <c r="G206" s="31"/>
      <c r="H206" s="31"/>
      <c r="I206" s="31"/>
      <c r="J206" s="31"/>
      <c r="K206" s="31"/>
      <c r="L206" s="31"/>
      <c r="M206" s="31"/>
      <c r="N206" s="31"/>
      <c r="O206" s="31"/>
    </row>
    <row r="207" ht="15.75" customHeight="1">
      <c r="B207" s="31"/>
      <c r="C207" s="31"/>
      <c r="D207" s="31"/>
      <c r="E207" s="31"/>
      <c r="F207" s="31"/>
      <c r="G207" s="31"/>
      <c r="H207" s="31"/>
      <c r="I207" s="31"/>
      <c r="J207" s="31"/>
      <c r="K207" s="31"/>
      <c r="L207" s="31"/>
      <c r="M207" s="31"/>
      <c r="N207" s="31"/>
      <c r="O207" s="31"/>
    </row>
    <row r="208" ht="15.75" customHeight="1">
      <c r="B208" s="31"/>
      <c r="C208" s="31"/>
      <c r="D208" s="31"/>
      <c r="E208" s="31"/>
      <c r="F208" s="31"/>
      <c r="G208" s="31"/>
      <c r="H208" s="31"/>
      <c r="I208" s="31"/>
      <c r="J208" s="31"/>
      <c r="K208" s="31"/>
      <c r="L208" s="31"/>
      <c r="M208" s="31"/>
      <c r="N208" s="31"/>
      <c r="O208" s="31"/>
    </row>
    <row r="209" ht="15.75" customHeight="1">
      <c r="B209" s="31"/>
      <c r="C209" s="31"/>
      <c r="D209" s="31"/>
      <c r="E209" s="31"/>
      <c r="F209" s="31"/>
      <c r="G209" s="31"/>
      <c r="H209" s="31"/>
      <c r="I209" s="31"/>
      <c r="J209" s="31"/>
      <c r="K209" s="31"/>
      <c r="L209" s="31"/>
      <c r="M209" s="31"/>
      <c r="N209" s="31"/>
      <c r="O209" s="31"/>
    </row>
    <row r="210" ht="15.75" customHeight="1">
      <c r="B210" s="31"/>
      <c r="C210" s="31"/>
      <c r="D210" s="31"/>
      <c r="E210" s="31"/>
      <c r="F210" s="31"/>
      <c r="G210" s="31"/>
      <c r="H210" s="31"/>
      <c r="I210" s="31"/>
      <c r="J210" s="31"/>
      <c r="K210" s="31"/>
      <c r="L210" s="31"/>
      <c r="M210" s="31"/>
      <c r="N210" s="31"/>
      <c r="O210" s="31"/>
    </row>
    <row r="211" ht="15.75" customHeight="1">
      <c r="B211" s="31"/>
      <c r="C211" s="31"/>
      <c r="D211" s="31"/>
      <c r="E211" s="31"/>
      <c r="F211" s="31"/>
      <c r="G211" s="31"/>
      <c r="H211" s="31"/>
      <c r="I211" s="31"/>
      <c r="J211" s="31"/>
      <c r="K211" s="31"/>
      <c r="L211" s="31"/>
      <c r="M211" s="31"/>
      <c r="N211" s="31"/>
      <c r="O211" s="31"/>
    </row>
    <row r="212" ht="15.75" customHeight="1">
      <c r="B212" s="31"/>
      <c r="C212" s="31"/>
      <c r="D212" s="31"/>
      <c r="E212" s="31"/>
      <c r="F212" s="31"/>
      <c r="G212" s="31"/>
      <c r="H212" s="31"/>
      <c r="I212" s="31"/>
      <c r="J212" s="31"/>
      <c r="K212" s="31"/>
      <c r="L212" s="31"/>
      <c r="M212" s="31"/>
      <c r="N212" s="31"/>
      <c r="O212" s="31"/>
    </row>
    <row r="213" ht="15.75" customHeight="1">
      <c r="B213" s="31"/>
      <c r="C213" s="31"/>
      <c r="D213" s="31"/>
      <c r="E213" s="31"/>
      <c r="F213" s="31"/>
      <c r="G213" s="31"/>
      <c r="H213" s="31"/>
      <c r="I213" s="31"/>
      <c r="J213" s="31"/>
      <c r="K213" s="31"/>
      <c r="L213" s="31"/>
      <c r="M213" s="31"/>
      <c r="N213" s="31"/>
      <c r="O213" s="31"/>
    </row>
    <row r="214" ht="15.75" customHeight="1">
      <c r="B214" s="31"/>
      <c r="C214" s="31"/>
      <c r="D214" s="31"/>
      <c r="E214" s="31"/>
      <c r="F214" s="31"/>
      <c r="G214" s="31"/>
      <c r="H214" s="31"/>
      <c r="I214" s="31"/>
      <c r="J214" s="31"/>
      <c r="K214" s="31"/>
      <c r="L214" s="31"/>
      <c r="M214" s="31"/>
      <c r="N214" s="31"/>
      <c r="O214" s="31"/>
    </row>
    <row r="215" ht="15.75" customHeight="1">
      <c r="B215" s="31"/>
      <c r="C215" s="31"/>
      <c r="D215" s="31"/>
      <c r="E215" s="31"/>
      <c r="F215" s="31"/>
      <c r="G215" s="31"/>
      <c r="H215" s="31"/>
      <c r="I215" s="31"/>
      <c r="J215" s="31"/>
      <c r="K215" s="31"/>
      <c r="L215" s="31"/>
      <c r="M215" s="31"/>
      <c r="N215" s="31"/>
      <c r="O215" s="31"/>
    </row>
    <row r="216" ht="15.75" customHeight="1">
      <c r="B216" s="31"/>
      <c r="C216" s="31"/>
      <c r="D216" s="31"/>
      <c r="E216" s="31"/>
      <c r="F216" s="31"/>
      <c r="G216" s="31"/>
      <c r="H216" s="31"/>
      <c r="I216" s="31"/>
      <c r="J216" s="31"/>
      <c r="K216" s="31"/>
      <c r="L216" s="31"/>
      <c r="M216" s="31"/>
      <c r="N216" s="31"/>
      <c r="O216" s="31"/>
    </row>
    <row r="217" ht="15.75" customHeight="1">
      <c r="B217" s="31"/>
      <c r="C217" s="31"/>
      <c r="D217" s="31"/>
      <c r="E217" s="31"/>
      <c r="F217" s="31"/>
      <c r="G217" s="31"/>
      <c r="H217" s="31"/>
      <c r="I217" s="31"/>
      <c r="J217" s="31"/>
      <c r="K217" s="31"/>
      <c r="L217" s="31"/>
      <c r="M217" s="31"/>
      <c r="N217" s="31"/>
      <c r="O217" s="31"/>
    </row>
    <row r="218" ht="15.75" customHeight="1">
      <c r="B218" s="31"/>
      <c r="C218" s="31"/>
      <c r="D218" s="31"/>
      <c r="E218" s="31"/>
      <c r="F218" s="31"/>
      <c r="G218" s="31"/>
      <c r="H218" s="31"/>
      <c r="I218" s="31"/>
      <c r="J218" s="31"/>
      <c r="K218" s="31"/>
      <c r="L218" s="31"/>
      <c r="M218" s="31"/>
      <c r="N218" s="31"/>
      <c r="O218" s="31"/>
    </row>
    <row r="219" ht="15.75" customHeight="1">
      <c r="B219" s="31"/>
      <c r="C219" s="31"/>
      <c r="D219" s="31"/>
      <c r="E219" s="31"/>
      <c r="F219" s="31"/>
      <c r="G219" s="31"/>
      <c r="H219" s="31"/>
      <c r="I219" s="31"/>
      <c r="J219" s="31"/>
      <c r="K219" s="31"/>
      <c r="L219" s="31"/>
      <c r="M219" s="31"/>
      <c r="N219" s="31"/>
      <c r="O219" s="31"/>
    </row>
    <row r="220" ht="15.75" customHeight="1">
      <c r="B220" s="31"/>
      <c r="C220" s="31"/>
      <c r="D220" s="31"/>
      <c r="E220" s="31"/>
      <c r="F220" s="31"/>
      <c r="G220" s="31"/>
      <c r="H220" s="31"/>
      <c r="I220" s="31"/>
      <c r="J220" s="31"/>
      <c r="K220" s="31"/>
      <c r="L220" s="31"/>
      <c r="M220" s="31"/>
      <c r="N220" s="31"/>
      <c r="O220" s="31"/>
    </row>
    <row r="221" ht="15.75" customHeight="1">
      <c r="B221" s="31"/>
      <c r="C221" s="31"/>
      <c r="D221" s="31"/>
      <c r="E221" s="31"/>
      <c r="F221" s="31"/>
      <c r="G221" s="31"/>
      <c r="H221" s="31"/>
      <c r="I221" s="31"/>
      <c r="J221" s="31"/>
      <c r="K221" s="31"/>
      <c r="L221" s="31"/>
      <c r="M221" s="31"/>
      <c r="N221" s="31"/>
      <c r="O221" s="31"/>
    </row>
    <row r="222" ht="15.75" customHeight="1">
      <c r="B222" s="31"/>
      <c r="C222" s="31"/>
      <c r="D222" s="31"/>
      <c r="E222" s="31"/>
      <c r="F222" s="31"/>
      <c r="G222" s="31"/>
      <c r="H222" s="31"/>
      <c r="I222" s="31"/>
      <c r="J222" s="31"/>
      <c r="K222" s="31"/>
      <c r="L222" s="31"/>
      <c r="M222" s="31"/>
      <c r="N222" s="31"/>
      <c r="O222" s="31"/>
    </row>
    <row r="223" ht="15.75" customHeight="1">
      <c r="B223" s="31"/>
      <c r="C223" s="31"/>
      <c r="D223" s="31"/>
      <c r="E223" s="31"/>
      <c r="F223" s="31"/>
      <c r="G223" s="31"/>
      <c r="H223" s="31"/>
      <c r="I223" s="31"/>
      <c r="J223" s="31"/>
      <c r="K223" s="31"/>
      <c r="L223" s="31"/>
      <c r="M223" s="31"/>
      <c r="N223" s="31"/>
      <c r="O223" s="31"/>
    </row>
    <row r="224" ht="15.75" customHeight="1">
      <c r="B224" s="31"/>
      <c r="C224" s="31"/>
      <c r="D224" s="31"/>
      <c r="E224" s="31"/>
      <c r="F224" s="31"/>
      <c r="G224" s="31"/>
      <c r="H224" s="31"/>
      <c r="I224" s="31"/>
      <c r="J224" s="31"/>
      <c r="K224" s="31"/>
      <c r="L224" s="31"/>
      <c r="M224" s="31"/>
      <c r="N224" s="31"/>
      <c r="O224" s="31"/>
    </row>
    <row r="225" ht="15.75" customHeight="1">
      <c r="B225" s="31"/>
      <c r="C225" s="31"/>
      <c r="D225" s="31"/>
      <c r="E225" s="31"/>
      <c r="F225" s="31"/>
      <c r="G225" s="31"/>
      <c r="H225" s="31"/>
      <c r="I225" s="31"/>
      <c r="J225" s="31"/>
      <c r="K225" s="31"/>
      <c r="L225" s="31"/>
      <c r="M225" s="31"/>
      <c r="N225" s="31"/>
      <c r="O225" s="31"/>
    </row>
    <row r="226" ht="15.75" customHeight="1">
      <c r="B226" s="31"/>
      <c r="C226" s="31"/>
      <c r="D226" s="31"/>
      <c r="E226" s="31"/>
      <c r="F226" s="31"/>
      <c r="G226" s="31"/>
      <c r="H226" s="31"/>
      <c r="I226" s="31"/>
      <c r="J226" s="31"/>
      <c r="K226" s="31"/>
      <c r="L226" s="31"/>
      <c r="M226" s="31"/>
      <c r="N226" s="31"/>
      <c r="O226" s="31"/>
    </row>
    <row r="227" ht="15.75" customHeight="1">
      <c r="B227" s="31"/>
      <c r="C227" s="31"/>
      <c r="D227" s="31"/>
      <c r="E227" s="31"/>
      <c r="F227" s="31"/>
      <c r="G227" s="31"/>
      <c r="H227" s="31"/>
      <c r="I227" s="31"/>
      <c r="J227" s="31"/>
      <c r="K227" s="31"/>
      <c r="L227" s="31"/>
      <c r="M227" s="31"/>
      <c r="N227" s="31"/>
      <c r="O227" s="31"/>
    </row>
    <row r="228" ht="15.75" customHeight="1">
      <c r="B228" s="31"/>
      <c r="C228" s="31"/>
      <c r="D228" s="31"/>
      <c r="E228" s="31"/>
      <c r="F228" s="31"/>
      <c r="G228" s="31"/>
      <c r="H228" s="31"/>
      <c r="I228" s="31"/>
      <c r="J228" s="31"/>
      <c r="K228" s="31"/>
      <c r="L228" s="31"/>
      <c r="M228" s="31"/>
      <c r="N228" s="31"/>
      <c r="O228" s="31"/>
    </row>
    <row r="229" ht="15.75" customHeight="1">
      <c r="B229" s="31"/>
      <c r="C229" s="31"/>
      <c r="D229" s="31"/>
      <c r="E229" s="31"/>
      <c r="F229" s="31"/>
      <c r="G229" s="31"/>
      <c r="H229" s="31"/>
      <c r="I229" s="31"/>
      <c r="J229" s="31"/>
      <c r="K229" s="31"/>
      <c r="L229" s="31"/>
      <c r="M229" s="31"/>
      <c r="N229" s="31"/>
      <c r="O229" s="31"/>
    </row>
    <row r="230" ht="15.75" customHeight="1">
      <c r="B230" s="31"/>
      <c r="C230" s="31"/>
      <c r="D230" s="31"/>
      <c r="E230" s="31"/>
      <c r="F230" s="31"/>
      <c r="G230" s="31"/>
      <c r="H230" s="31"/>
      <c r="I230" s="31"/>
      <c r="J230" s="31"/>
      <c r="K230" s="31"/>
      <c r="L230" s="31"/>
      <c r="M230" s="31"/>
      <c r="N230" s="31"/>
      <c r="O230" s="31"/>
    </row>
    <row r="231" ht="15.75" customHeight="1">
      <c r="B231" s="31"/>
      <c r="C231" s="31"/>
      <c r="D231" s="31"/>
      <c r="E231" s="31"/>
      <c r="F231" s="31"/>
      <c r="G231" s="31"/>
      <c r="H231" s="31"/>
      <c r="I231" s="31"/>
      <c r="J231" s="31"/>
      <c r="K231" s="31"/>
      <c r="L231" s="31"/>
      <c r="M231" s="31"/>
      <c r="N231" s="31"/>
      <c r="O231" s="31"/>
    </row>
    <row r="232" ht="15.75" customHeight="1">
      <c r="B232" s="31"/>
      <c r="C232" s="31"/>
      <c r="D232" s="31"/>
      <c r="E232" s="31"/>
      <c r="F232" s="31"/>
      <c r="G232" s="31"/>
      <c r="H232" s="31"/>
      <c r="I232" s="31"/>
      <c r="J232" s="31"/>
      <c r="K232" s="31"/>
      <c r="L232" s="31"/>
      <c r="M232" s="31"/>
      <c r="N232" s="31"/>
      <c r="O232" s="31"/>
    </row>
    <row r="233" ht="15.75" customHeight="1">
      <c r="B233" s="31"/>
      <c r="C233" s="31"/>
      <c r="D233" s="31"/>
      <c r="E233" s="31"/>
      <c r="F233" s="31"/>
      <c r="G233" s="31"/>
      <c r="H233" s="31"/>
      <c r="I233" s="31"/>
      <c r="J233" s="31"/>
      <c r="K233" s="31"/>
      <c r="L233" s="31"/>
      <c r="M233" s="31"/>
      <c r="N233" s="31"/>
      <c r="O233" s="31"/>
    </row>
    <row r="234" ht="15.75" customHeight="1">
      <c r="B234" s="31"/>
      <c r="C234" s="31"/>
      <c r="D234" s="31"/>
      <c r="E234" s="31"/>
      <c r="F234" s="31"/>
      <c r="G234" s="31"/>
      <c r="H234" s="31"/>
      <c r="I234" s="31"/>
      <c r="J234" s="31"/>
      <c r="K234" s="31"/>
      <c r="L234" s="31"/>
      <c r="M234" s="31"/>
      <c r="N234" s="31"/>
      <c r="O234" s="31"/>
    </row>
    <row r="235" ht="15.75" customHeight="1">
      <c r="B235" s="31"/>
      <c r="C235" s="31"/>
      <c r="D235" s="31"/>
      <c r="E235" s="31"/>
      <c r="F235" s="31"/>
      <c r="G235" s="31"/>
      <c r="H235" s="31"/>
      <c r="I235" s="31"/>
      <c r="J235" s="31"/>
      <c r="K235" s="31"/>
      <c r="L235" s="31"/>
      <c r="M235" s="31"/>
      <c r="N235" s="31"/>
      <c r="O235" s="31"/>
    </row>
    <row r="236" ht="15.75" customHeight="1">
      <c r="B236" s="31"/>
      <c r="C236" s="31"/>
      <c r="D236" s="31"/>
      <c r="E236" s="31"/>
      <c r="F236" s="31"/>
      <c r="G236" s="31"/>
      <c r="H236" s="31"/>
      <c r="I236" s="31"/>
      <c r="J236" s="31"/>
      <c r="K236" s="31"/>
      <c r="L236" s="31"/>
      <c r="M236" s="31"/>
      <c r="N236" s="31"/>
      <c r="O236" s="31"/>
    </row>
    <row r="237" ht="15.75" customHeight="1">
      <c r="B237" s="31"/>
      <c r="C237" s="31"/>
      <c r="D237" s="31"/>
      <c r="E237" s="31"/>
      <c r="F237" s="31"/>
      <c r="G237" s="31"/>
      <c r="H237" s="31"/>
      <c r="I237" s="31"/>
      <c r="J237" s="31"/>
      <c r="K237" s="31"/>
      <c r="L237" s="31"/>
      <c r="M237" s="31"/>
      <c r="N237" s="31"/>
      <c r="O237" s="31"/>
    </row>
    <row r="238" ht="15.75" customHeight="1">
      <c r="B238" s="31"/>
      <c r="C238" s="31"/>
      <c r="D238" s="31"/>
      <c r="E238" s="31"/>
      <c r="F238" s="31"/>
      <c r="G238" s="31"/>
      <c r="H238" s="31"/>
      <c r="I238" s="31"/>
      <c r="J238" s="31"/>
      <c r="K238" s="31"/>
      <c r="L238" s="31"/>
      <c r="M238" s="31"/>
      <c r="N238" s="31"/>
      <c r="O238" s="31"/>
    </row>
    <row r="239" ht="15.75" customHeight="1">
      <c r="B239" s="31"/>
      <c r="C239" s="31"/>
      <c r="D239" s="31"/>
      <c r="E239" s="31"/>
      <c r="F239" s="31"/>
      <c r="G239" s="31"/>
      <c r="H239" s="31"/>
      <c r="I239" s="31"/>
      <c r="J239" s="31"/>
      <c r="K239" s="31"/>
      <c r="L239" s="31"/>
      <c r="M239" s="31"/>
      <c r="N239" s="31"/>
      <c r="O239" s="31"/>
    </row>
    <row r="240" ht="15.75" customHeight="1">
      <c r="B240" s="31"/>
      <c r="C240" s="31"/>
      <c r="D240" s="31"/>
      <c r="E240" s="31"/>
      <c r="F240" s="31"/>
      <c r="G240" s="31"/>
      <c r="H240" s="31"/>
      <c r="I240" s="31"/>
      <c r="J240" s="31"/>
      <c r="K240" s="31"/>
      <c r="L240" s="31"/>
      <c r="M240" s="31"/>
      <c r="N240" s="31"/>
      <c r="O240" s="31"/>
    </row>
    <row r="241" ht="15.75" customHeight="1">
      <c r="B241" s="31"/>
      <c r="C241" s="31"/>
      <c r="D241" s="31"/>
      <c r="E241" s="31"/>
      <c r="F241" s="31"/>
      <c r="G241" s="31"/>
      <c r="H241" s="31"/>
      <c r="I241" s="31"/>
      <c r="J241" s="31"/>
      <c r="K241" s="31"/>
      <c r="L241" s="31"/>
      <c r="M241" s="31"/>
      <c r="N241" s="31"/>
      <c r="O241" s="31"/>
    </row>
    <row r="242" ht="15.75" customHeight="1">
      <c r="B242" s="31"/>
      <c r="C242" s="31"/>
      <c r="D242" s="31"/>
      <c r="E242" s="31"/>
      <c r="F242" s="31"/>
      <c r="G242" s="31"/>
      <c r="H242" s="31"/>
      <c r="I242" s="31"/>
      <c r="J242" s="31"/>
      <c r="K242" s="31"/>
      <c r="L242" s="31"/>
      <c r="M242" s="31"/>
      <c r="N242" s="31"/>
      <c r="O242" s="31"/>
    </row>
    <row r="243" ht="15.75" customHeight="1">
      <c r="B243" s="31"/>
      <c r="C243" s="31"/>
      <c r="D243" s="31"/>
      <c r="E243" s="31"/>
      <c r="F243" s="31"/>
      <c r="G243" s="31"/>
      <c r="H243" s="31"/>
      <c r="I243" s="31"/>
      <c r="J243" s="31"/>
      <c r="K243" s="31"/>
      <c r="L243" s="31"/>
      <c r="M243" s="31"/>
      <c r="N243" s="31"/>
      <c r="O243" s="31"/>
    </row>
    <row r="244" ht="15.75" customHeight="1">
      <c r="B244" s="31"/>
      <c r="C244" s="31"/>
      <c r="D244" s="31"/>
      <c r="E244" s="31"/>
      <c r="F244" s="31"/>
      <c r="G244" s="31"/>
      <c r="H244" s="31"/>
      <c r="I244" s="31"/>
      <c r="J244" s="31"/>
      <c r="K244" s="31"/>
      <c r="L244" s="31"/>
      <c r="M244" s="31"/>
      <c r="N244" s="31"/>
      <c r="O244" s="31"/>
    </row>
    <row r="245" ht="15.75" customHeight="1">
      <c r="B245" s="31"/>
      <c r="C245" s="31"/>
      <c r="D245" s="31"/>
      <c r="E245" s="31"/>
      <c r="F245" s="31"/>
      <c r="G245" s="31"/>
      <c r="H245" s="31"/>
      <c r="I245" s="31"/>
      <c r="J245" s="31"/>
      <c r="K245" s="31"/>
      <c r="L245" s="31"/>
      <c r="M245" s="31"/>
      <c r="N245" s="31"/>
      <c r="O245" s="31"/>
    </row>
    <row r="246" ht="15.75" customHeight="1">
      <c r="B246" s="31"/>
      <c r="C246" s="31"/>
      <c r="D246" s="31"/>
      <c r="E246" s="31"/>
      <c r="F246" s="31"/>
      <c r="G246" s="31"/>
      <c r="H246" s="31"/>
      <c r="I246" s="31"/>
      <c r="J246" s="31"/>
      <c r="K246" s="31"/>
      <c r="L246" s="31"/>
      <c r="M246" s="31"/>
      <c r="N246" s="31"/>
      <c r="O246" s="31"/>
    </row>
    <row r="247" ht="15.75" customHeight="1">
      <c r="B247" s="31"/>
      <c r="C247" s="31"/>
      <c r="D247" s="31"/>
      <c r="E247" s="31"/>
      <c r="F247" s="31"/>
      <c r="G247" s="31"/>
      <c r="H247" s="31"/>
      <c r="I247" s="31"/>
      <c r="J247" s="31"/>
      <c r="K247" s="31"/>
      <c r="L247" s="31"/>
      <c r="M247" s="31"/>
      <c r="N247" s="31"/>
      <c r="O247" s="31"/>
    </row>
    <row r="248" ht="15.75" customHeight="1">
      <c r="B248" s="31"/>
      <c r="C248" s="31"/>
      <c r="D248" s="31"/>
      <c r="E248" s="31"/>
      <c r="F248" s="31"/>
      <c r="G248" s="31"/>
      <c r="H248" s="31"/>
      <c r="I248" s="31"/>
      <c r="J248" s="31"/>
      <c r="K248" s="31"/>
      <c r="L248" s="31"/>
      <c r="M248" s="31"/>
      <c r="N248" s="31"/>
      <c r="O248" s="31"/>
    </row>
    <row r="249" ht="15.75" customHeight="1">
      <c r="B249" s="31"/>
      <c r="C249" s="31"/>
      <c r="D249" s="31"/>
      <c r="E249" s="31"/>
      <c r="F249" s="31"/>
      <c r="G249" s="31"/>
      <c r="H249" s="31"/>
      <c r="I249" s="31"/>
      <c r="J249" s="31"/>
      <c r="K249" s="31"/>
      <c r="L249" s="31"/>
      <c r="M249" s="31"/>
      <c r="N249" s="31"/>
      <c r="O249" s="31"/>
    </row>
    <row r="250" ht="15.75" customHeight="1">
      <c r="B250" s="31"/>
      <c r="C250" s="31"/>
      <c r="D250" s="31"/>
      <c r="E250" s="31"/>
      <c r="F250" s="31"/>
      <c r="G250" s="31"/>
      <c r="H250" s="31"/>
      <c r="I250" s="31"/>
      <c r="J250" s="31"/>
      <c r="K250" s="31"/>
      <c r="L250" s="31"/>
      <c r="M250" s="31"/>
      <c r="N250" s="31"/>
      <c r="O250" s="31"/>
    </row>
    <row r="251" ht="15.75" customHeight="1">
      <c r="B251" s="31"/>
      <c r="C251" s="31"/>
      <c r="D251" s="31"/>
      <c r="E251" s="31"/>
      <c r="F251" s="31"/>
      <c r="G251" s="31"/>
      <c r="H251" s="31"/>
      <c r="I251" s="31"/>
      <c r="J251" s="31"/>
      <c r="K251" s="31"/>
      <c r="L251" s="31"/>
      <c r="M251" s="31"/>
      <c r="N251" s="31"/>
      <c r="O251" s="31"/>
    </row>
    <row r="252" ht="15.75" customHeight="1">
      <c r="B252" s="31"/>
      <c r="C252" s="31"/>
      <c r="D252" s="31"/>
      <c r="E252" s="31"/>
      <c r="F252" s="31"/>
      <c r="G252" s="31"/>
      <c r="H252" s="31"/>
      <c r="I252" s="31"/>
      <c r="J252" s="31"/>
      <c r="K252" s="31"/>
      <c r="L252" s="31"/>
      <c r="M252" s="31"/>
      <c r="N252" s="31"/>
      <c r="O252" s="31"/>
    </row>
    <row r="253" ht="15.75" customHeight="1">
      <c r="B253" s="31"/>
      <c r="C253" s="31"/>
      <c r="D253" s="31"/>
      <c r="E253" s="31"/>
      <c r="F253" s="31"/>
      <c r="G253" s="31"/>
      <c r="H253" s="31"/>
      <c r="I253" s="31"/>
      <c r="J253" s="31"/>
      <c r="K253" s="31"/>
      <c r="L253" s="31"/>
      <c r="M253" s="31"/>
      <c r="N253" s="31"/>
      <c r="O253" s="31"/>
    </row>
    <row r="254" ht="15.75" customHeight="1">
      <c r="B254" s="31"/>
      <c r="C254" s="31"/>
      <c r="D254" s="31"/>
      <c r="E254" s="31"/>
      <c r="F254" s="31"/>
      <c r="G254" s="31"/>
      <c r="H254" s="31"/>
      <c r="I254" s="31"/>
      <c r="J254" s="31"/>
      <c r="K254" s="31"/>
      <c r="L254" s="31"/>
      <c r="M254" s="31"/>
      <c r="N254" s="31"/>
      <c r="O254" s="31"/>
    </row>
    <row r="255" ht="15.75" customHeight="1">
      <c r="B255" s="31"/>
      <c r="C255" s="31"/>
      <c r="D255" s="31"/>
      <c r="E255" s="31"/>
      <c r="F255" s="31"/>
      <c r="G255" s="31"/>
      <c r="H255" s="31"/>
      <c r="I255" s="31"/>
      <c r="J255" s="31"/>
      <c r="K255" s="31"/>
      <c r="L255" s="31"/>
      <c r="M255" s="31"/>
      <c r="N255" s="31"/>
      <c r="O255" s="31"/>
    </row>
    <row r="256" ht="15.75" customHeight="1">
      <c r="B256" s="31"/>
      <c r="C256" s="31"/>
      <c r="D256" s="31"/>
      <c r="E256" s="31"/>
      <c r="F256" s="31"/>
      <c r="G256" s="31"/>
      <c r="H256" s="31"/>
      <c r="I256" s="31"/>
      <c r="J256" s="31"/>
      <c r="K256" s="31"/>
      <c r="L256" s="31"/>
      <c r="M256" s="31"/>
      <c r="N256" s="31"/>
      <c r="O256" s="31"/>
    </row>
    <row r="257" ht="15.75" customHeight="1">
      <c r="B257" s="31"/>
      <c r="C257" s="31"/>
      <c r="D257" s="31"/>
      <c r="E257" s="31"/>
      <c r="F257" s="31"/>
      <c r="G257" s="31"/>
      <c r="H257" s="31"/>
      <c r="I257" s="31"/>
      <c r="J257" s="31"/>
      <c r="K257" s="31"/>
      <c r="L257" s="31"/>
      <c r="M257" s="31"/>
      <c r="N257" s="31"/>
      <c r="O257" s="31"/>
    </row>
    <row r="258" ht="15.75" customHeight="1">
      <c r="B258" s="31"/>
      <c r="C258" s="31"/>
      <c r="D258" s="31"/>
      <c r="E258" s="31"/>
      <c r="F258" s="31"/>
      <c r="G258" s="31"/>
      <c r="H258" s="31"/>
      <c r="I258" s="31"/>
      <c r="J258" s="31"/>
      <c r="K258" s="31"/>
      <c r="L258" s="31"/>
      <c r="M258" s="31"/>
      <c r="N258" s="31"/>
      <c r="O258" s="31"/>
    </row>
    <row r="259" ht="15.75" customHeight="1">
      <c r="B259" s="31"/>
      <c r="C259" s="31"/>
      <c r="D259" s="31"/>
      <c r="E259" s="31"/>
      <c r="F259" s="31"/>
      <c r="G259" s="31"/>
      <c r="H259" s="31"/>
      <c r="I259" s="31"/>
      <c r="J259" s="31"/>
      <c r="K259" s="31"/>
      <c r="L259" s="31"/>
      <c r="M259" s="31"/>
      <c r="N259" s="31"/>
      <c r="O259" s="31"/>
    </row>
    <row r="260" ht="15.75" customHeight="1">
      <c r="B260" s="31"/>
      <c r="C260" s="31"/>
      <c r="D260" s="31"/>
      <c r="E260" s="31"/>
      <c r="F260" s="31"/>
      <c r="G260" s="31"/>
      <c r="H260" s="31"/>
      <c r="I260" s="31"/>
      <c r="J260" s="31"/>
      <c r="K260" s="31"/>
      <c r="L260" s="31"/>
      <c r="M260" s="31"/>
      <c r="N260" s="31"/>
      <c r="O260" s="31"/>
    </row>
    <row r="261" ht="15.75" customHeight="1">
      <c r="B261" s="31"/>
      <c r="C261" s="31"/>
      <c r="D261" s="31"/>
      <c r="E261" s="31"/>
      <c r="F261" s="31"/>
      <c r="G261" s="31"/>
      <c r="H261" s="31"/>
      <c r="I261" s="31"/>
      <c r="J261" s="31"/>
      <c r="K261" s="31"/>
      <c r="L261" s="31"/>
      <c r="M261" s="31"/>
      <c r="N261" s="31"/>
      <c r="O261" s="31"/>
    </row>
    <row r="262" ht="15.75" customHeight="1">
      <c r="B262" s="31"/>
      <c r="C262" s="31"/>
      <c r="D262" s="31"/>
      <c r="E262" s="31"/>
      <c r="F262" s="31"/>
      <c r="G262" s="31"/>
      <c r="H262" s="31"/>
      <c r="I262" s="31"/>
      <c r="J262" s="31"/>
      <c r="K262" s="31"/>
      <c r="L262" s="31"/>
      <c r="M262" s="31"/>
      <c r="N262" s="31"/>
      <c r="O262" s="31"/>
    </row>
    <row r="263" ht="15.75" customHeight="1">
      <c r="B263" s="31"/>
      <c r="C263" s="31"/>
      <c r="D263" s="31"/>
      <c r="E263" s="31"/>
      <c r="F263" s="31"/>
      <c r="G263" s="31"/>
      <c r="H263" s="31"/>
      <c r="I263" s="31"/>
      <c r="J263" s="31"/>
      <c r="K263" s="31"/>
      <c r="L263" s="31"/>
      <c r="M263" s="31"/>
      <c r="N263" s="31"/>
      <c r="O263" s="31"/>
    </row>
    <row r="264" ht="15.75" customHeight="1">
      <c r="B264" s="31"/>
      <c r="C264" s="31"/>
      <c r="D264" s="31"/>
      <c r="E264" s="31"/>
      <c r="F264" s="31"/>
      <c r="G264" s="31"/>
      <c r="H264" s="31"/>
      <c r="I264" s="31"/>
      <c r="J264" s="31"/>
      <c r="K264" s="31"/>
      <c r="L264" s="31"/>
      <c r="M264" s="31"/>
      <c r="N264" s="31"/>
      <c r="O264" s="31"/>
    </row>
    <row r="265" ht="15.75" customHeight="1">
      <c r="B265" s="31"/>
      <c r="C265" s="31"/>
      <c r="D265" s="31"/>
      <c r="E265" s="31"/>
      <c r="F265" s="31"/>
      <c r="G265" s="31"/>
      <c r="H265" s="31"/>
      <c r="I265" s="31"/>
      <c r="J265" s="31"/>
      <c r="K265" s="31"/>
      <c r="L265" s="31"/>
      <c r="M265" s="31"/>
      <c r="N265" s="31"/>
      <c r="O265" s="31"/>
    </row>
    <row r="266" ht="15.75" customHeight="1">
      <c r="B266" s="31"/>
      <c r="C266" s="31"/>
      <c r="D266" s="31"/>
      <c r="E266" s="31"/>
      <c r="F266" s="31"/>
      <c r="G266" s="31"/>
      <c r="H266" s="31"/>
      <c r="I266" s="31"/>
      <c r="J266" s="31"/>
      <c r="K266" s="31"/>
      <c r="L266" s="31"/>
      <c r="M266" s="31"/>
      <c r="N266" s="31"/>
      <c r="O266" s="31"/>
    </row>
    <row r="267" ht="15.75" customHeight="1">
      <c r="B267" s="31"/>
      <c r="C267" s="31"/>
      <c r="D267" s="31"/>
      <c r="E267" s="31"/>
      <c r="F267" s="31"/>
      <c r="G267" s="31"/>
      <c r="H267" s="31"/>
      <c r="I267" s="31"/>
      <c r="J267" s="31"/>
      <c r="K267" s="31"/>
      <c r="L267" s="31"/>
      <c r="M267" s="31"/>
      <c r="N267" s="31"/>
      <c r="O267" s="31"/>
    </row>
    <row r="268" ht="15.75" customHeight="1">
      <c r="B268" s="31"/>
      <c r="C268" s="31"/>
      <c r="D268" s="31"/>
      <c r="E268" s="31"/>
      <c r="F268" s="31"/>
      <c r="G268" s="31"/>
      <c r="H268" s="31"/>
      <c r="I268" s="31"/>
      <c r="J268" s="31"/>
      <c r="K268" s="31"/>
      <c r="L268" s="31"/>
      <c r="M268" s="31"/>
      <c r="N268" s="31"/>
      <c r="O268" s="31"/>
    </row>
    <row r="269" ht="15.75" customHeight="1">
      <c r="B269" s="31"/>
      <c r="C269" s="31"/>
      <c r="D269" s="31"/>
      <c r="E269" s="31"/>
      <c r="F269" s="31"/>
      <c r="G269" s="31"/>
      <c r="H269" s="31"/>
      <c r="I269" s="31"/>
      <c r="J269" s="31"/>
      <c r="K269" s="31"/>
      <c r="L269" s="31"/>
      <c r="M269" s="31"/>
      <c r="N269" s="31"/>
      <c r="O269" s="31"/>
    </row>
    <row r="270" ht="15.75" customHeight="1">
      <c r="B270" s="31"/>
      <c r="C270" s="31"/>
      <c r="D270" s="31"/>
      <c r="E270" s="31"/>
      <c r="F270" s="31"/>
      <c r="G270" s="31"/>
      <c r="H270" s="31"/>
      <c r="I270" s="31"/>
      <c r="J270" s="31"/>
      <c r="K270" s="31"/>
      <c r="L270" s="31"/>
      <c r="M270" s="31"/>
      <c r="N270" s="31"/>
      <c r="O270" s="31"/>
    </row>
    <row r="271" ht="15.75" customHeight="1">
      <c r="B271" s="31"/>
      <c r="C271" s="31"/>
      <c r="D271" s="31"/>
      <c r="E271" s="31"/>
      <c r="F271" s="31"/>
      <c r="G271" s="31"/>
      <c r="H271" s="31"/>
      <c r="I271" s="31"/>
      <c r="J271" s="31"/>
      <c r="K271" s="31"/>
      <c r="L271" s="31"/>
      <c r="M271" s="31"/>
      <c r="N271" s="31"/>
      <c r="O271" s="31"/>
    </row>
    <row r="272" ht="15.75" customHeight="1">
      <c r="B272" s="31"/>
      <c r="C272" s="31"/>
      <c r="D272" s="31"/>
      <c r="E272" s="31"/>
      <c r="F272" s="31"/>
      <c r="G272" s="31"/>
      <c r="H272" s="31"/>
      <c r="I272" s="31"/>
      <c r="J272" s="31"/>
      <c r="K272" s="31"/>
      <c r="L272" s="31"/>
      <c r="M272" s="31"/>
      <c r="N272" s="31"/>
      <c r="O272" s="31"/>
    </row>
    <row r="273" ht="15.75" customHeight="1">
      <c r="B273" s="31"/>
      <c r="C273" s="31"/>
      <c r="D273" s="31"/>
      <c r="E273" s="31"/>
      <c r="F273" s="31"/>
      <c r="G273" s="31"/>
      <c r="H273" s="31"/>
      <c r="I273" s="31"/>
      <c r="J273" s="31"/>
      <c r="K273" s="31"/>
      <c r="L273" s="31"/>
      <c r="M273" s="31"/>
      <c r="N273" s="31"/>
      <c r="O273" s="31"/>
    </row>
    <row r="274" ht="15.75" customHeight="1">
      <c r="B274" s="31"/>
      <c r="C274" s="31"/>
      <c r="D274" s="31"/>
      <c r="E274" s="31"/>
      <c r="F274" s="31"/>
      <c r="G274" s="31"/>
      <c r="H274" s="31"/>
      <c r="I274" s="31"/>
      <c r="J274" s="31"/>
      <c r="K274" s="31"/>
      <c r="L274" s="31"/>
      <c r="M274" s="31"/>
      <c r="N274" s="31"/>
      <c r="O274" s="31"/>
    </row>
    <row r="275" ht="15.75" customHeight="1">
      <c r="B275" s="31"/>
      <c r="C275" s="31"/>
      <c r="D275" s="31"/>
      <c r="E275" s="31"/>
      <c r="F275" s="31"/>
      <c r="G275" s="31"/>
      <c r="H275" s="31"/>
      <c r="I275" s="31"/>
      <c r="J275" s="31"/>
      <c r="K275" s="31"/>
      <c r="L275" s="31"/>
      <c r="M275" s="31"/>
      <c r="N275" s="31"/>
      <c r="O275" s="31"/>
    </row>
    <row r="276" ht="15.75" customHeight="1">
      <c r="B276" s="31"/>
      <c r="C276" s="31"/>
      <c r="D276" s="31"/>
      <c r="E276" s="31"/>
      <c r="F276" s="31"/>
      <c r="G276" s="31"/>
      <c r="H276" s="31"/>
      <c r="I276" s="31"/>
      <c r="J276" s="31"/>
      <c r="K276" s="31"/>
      <c r="L276" s="31"/>
      <c r="M276" s="31"/>
      <c r="N276" s="31"/>
      <c r="O276" s="31"/>
    </row>
    <row r="277" ht="15.75" customHeight="1">
      <c r="B277" s="31"/>
      <c r="C277" s="31"/>
      <c r="D277" s="31"/>
      <c r="E277" s="31"/>
      <c r="F277" s="31"/>
      <c r="G277" s="31"/>
      <c r="H277" s="31"/>
      <c r="I277" s="31"/>
      <c r="J277" s="31"/>
      <c r="K277" s="31"/>
      <c r="L277" s="31"/>
      <c r="M277" s="31"/>
      <c r="N277" s="31"/>
      <c r="O277" s="31"/>
    </row>
    <row r="278" ht="15.75" customHeight="1">
      <c r="B278" s="31"/>
      <c r="C278" s="31"/>
      <c r="D278" s="31"/>
      <c r="E278" s="31"/>
      <c r="F278" s="31"/>
      <c r="G278" s="31"/>
      <c r="H278" s="31"/>
      <c r="I278" s="31"/>
      <c r="J278" s="31"/>
      <c r="K278" s="31"/>
      <c r="L278" s="31"/>
      <c r="M278" s="31"/>
      <c r="N278" s="31"/>
      <c r="O278" s="31"/>
    </row>
    <row r="279" ht="15.75" customHeight="1">
      <c r="B279" s="31"/>
      <c r="C279" s="31"/>
      <c r="D279" s="31"/>
      <c r="E279" s="31"/>
      <c r="F279" s="31"/>
      <c r="G279" s="31"/>
      <c r="H279" s="31"/>
      <c r="I279" s="31"/>
      <c r="J279" s="31"/>
      <c r="K279" s="31"/>
      <c r="L279" s="31"/>
      <c r="M279" s="31"/>
      <c r="N279" s="31"/>
      <c r="O279" s="31"/>
    </row>
    <row r="280" ht="15.75" customHeight="1">
      <c r="B280" s="31"/>
      <c r="C280" s="31"/>
      <c r="D280" s="31"/>
      <c r="E280" s="31"/>
      <c r="F280" s="31"/>
      <c r="G280" s="31"/>
      <c r="H280" s="31"/>
      <c r="I280" s="31"/>
      <c r="J280" s="31"/>
      <c r="K280" s="31"/>
      <c r="L280" s="31"/>
      <c r="M280" s="31"/>
      <c r="N280" s="31"/>
      <c r="O280" s="31"/>
    </row>
    <row r="281" ht="15.75" customHeight="1">
      <c r="B281" s="31"/>
      <c r="C281" s="31"/>
      <c r="D281" s="31"/>
      <c r="E281" s="31"/>
      <c r="F281" s="31"/>
      <c r="G281" s="31"/>
      <c r="H281" s="31"/>
      <c r="I281" s="31"/>
      <c r="J281" s="31"/>
      <c r="K281" s="31"/>
      <c r="L281" s="31"/>
      <c r="M281" s="31"/>
      <c r="N281" s="31"/>
      <c r="O281" s="31"/>
    </row>
    <row r="282" ht="15.75" customHeight="1">
      <c r="B282" s="31"/>
      <c r="C282" s="31"/>
      <c r="D282" s="31"/>
      <c r="E282" s="31"/>
      <c r="F282" s="31"/>
      <c r="G282" s="31"/>
      <c r="H282" s="31"/>
      <c r="I282" s="31"/>
      <c r="J282" s="31"/>
      <c r="K282" s="31"/>
      <c r="L282" s="31"/>
      <c r="M282" s="31"/>
      <c r="N282" s="31"/>
      <c r="O282" s="31"/>
    </row>
    <row r="283" ht="15.75" customHeight="1">
      <c r="B283" s="31"/>
      <c r="C283" s="31"/>
      <c r="D283" s="31"/>
      <c r="E283" s="31"/>
      <c r="F283" s="31"/>
      <c r="G283" s="31"/>
      <c r="H283" s="31"/>
      <c r="I283" s="31"/>
      <c r="J283" s="31"/>
      <c r="K283" s="31"/>
      <c r="L283" s="31"/>
      <c r="M283" s="31"/>
      <c r="N283" s="31"/>
      <c r="O283" s="31"/>
    </row>
    <row r="284" ht="15.75" customHeight="1">
      <c r="B284" s="31"/>
      <c r="C284" s="31"/>
      <c r="D284" s="31"/>
      <c r="E284" s="31"/>
      <c r="F284" s="31"/>
      <c r="G284" s="31"/>
      <c r="H284" s="31"/>
      <c r="I284" s="31"/>
      <c r="J284" s="31"/>
      <c r="K284" s="31"/>
      <c r="L284" s="31"/>
      <c r="M284" s="31"/>
      <c r="N284" s="31"/>
      <c r="O284" s="31"/>
    </row>
    <row r="285" ht="15.75" customHeight="1">
      <c r="B285" s="31"/>
      <c r="C285" s="31"/>
      <c r="D285" s="31"/>
      <c r="E285" s="31"/>
      <c r="F285" s="31"/>
      <c r="G285" s="31"/>
      <c r="H285" s="31"/>
      <c r="I285" s="31"/>
      <c r="J285" s="31"/>
      <c r="K285" s="31"/>
      <c r="L285" s="31"/>
      <c r="M285" s="31"/>
      <c r="N285" s="31"/>
      <c r="O285" s="31"/>
    </row>
    <row r="286" ht="15.75" customHeight="1">
      <c r="B286" s="31"/>
      <c r="C286" s="31"/>
      <c r="D286" s="31"/>
      <c r="E286" s="31"/>
      <c r="F286" s="31"/>
      <c r="G286" s="31"/>
      <c r="H286" s="31"/>
      <c r="I286" s="31"/>
      <c r="J286" s="31"/>
      <c r="K286" s="31"/>
      <c r="L286" s="31"/>
      <c r="M286" s="31"/>
      <c r="N286" s="31"/>
      <c r="O286" s="31"/>
    </row>
    <row r="287" ht="15.75" customHeight="1">
      <c r="B287" s="31"/>
      <c r="C287" s="31"/>
      <c r="D287" s="31"/>
      <c r="E287" s="31"/>
      <c r="F287" s="31"/>
      <c r="G287" s="31"/>
      <c r="H287" s="31"/>
      <c r="I287" s="31"/>
      <c r="J287" s="31"/>
      <c r="K287" s="31"/>
      <c r="L287" s="31"/>
      <c r="M287" s="31"/>
      <c r="N287" s="31"/>
      <c r="O287" s="31"/>
    </row>
    <row r="288" ht="15.75" customHeight="1">
      <c r="B288" s="31"/>
      <c r="C288" s="31"/>
      <c r="D288" s="31"/>
      <c r="E288" s="31"/>
      <c r="F288" s="31"/>
      <c r="G288" s="31"/>
      <c r="H288" s="31"/>
      <c r="I288" s="31"/>
      <c r="J288" s="31"/>
      <c r="K288" s="31"/>
      <c r="L288" s="31"/>
      <c r="M288" s="31"/>
      <c r="N288" s="31"/>
      <c r="O288" s="31"/>
    </row>
    <row r="289" ht="15.75" customHeight="1">
      <c r="B289" s="31"/>
      <c r="C289" s="31"/>
      <c r="D289" s="31"/>
      <c r="E289" s="31"/>
      <c r="F289" s="31"/>
      <c r="G289" s="31"/>
      <c r="H289" s="31"/>
      <c r="I289" s="31"/>
      <c r="J289" s="31"/>
      <c r="K289" s="31"/>
      <c r="L289" s="31"/>
      <c r="M289" s="31"/>
      <c r="N289" s="31"/>
      <c r="O289" s="31"/>
    </row>
    <row r="290" ht="15.75" customHeight="1">
      <c r="B290" s="31"/>
      <c r="C290" s="31"/>
      <c r="D290" s="31"/>
      <c r="E290" s="31"/>
      <c r="F290" s="31"/>
      <c r="G290" s="31"/>
      <c r="H290" s="31"/>
      <c r="I290" s="31"/>
      <c r="J290" s="31"/>
      <c r="K290" s="31"/>
      <c r="L290" s="31"/>
      <c r="M290" s="31"/>
      <c r="N290" s="31"/>
      <c r="O290" s="31"/>
    </row>
    <row r="291" ht="15.75" customHeight="1">
      <c r="B291" s="31"/>
      <c r="C291" s="31"/>
      <c r="D291" s="31"/>
      <c r="E291" s="31"/>
      <c r="F291" s="31"/>
      <c r="G291" s="31"/>
      <c r="H291" s="31"/>
      <c r="I291" s="31"/>
      <c r="J291" s="31"/>
      <c r="K291" s="31"/>
      <c r="L291" s="31"/>
      <c r="M291" s="31"/>
      <c r="N291" s="31"/>
      <c r="O291" s="31"/>
    </row>
    <row r="292" ht="15.75" customHeight="1">
      <c r="B292" s="31"/>
      <c r="C292" s="31"/>
      <c r="D292" s="31"/>
      <c r="E292" s="31"/>
      <c r="F292" s="31"/>
      <c r="G292" s="31"/>
      <c r="H292" s="31"/>
      <c r="I292" s="31"/>
      <c r="J292" s="31"/>
      <c r="K292" s="31"/>
      <c r="L292" s="31"/>
      <c r="M292" s="31"/>
      <c r="N292" s="31"/>
      <c r="O292" s="31"/>
    </row>
    <row r="293" ht="15.75" customHeight="1">
      <c r="B293" s="31"/>
      <c r="C293" s="31"/>
      <c r="D293" s="31"/>
      <c r="E293" s="31"/>
      <c r="F293" s="31"/>
      <c r="G293" s="31"/>
      <c r="H293" s="31"/>
      <c r="I293" s="31"/>
      <c r="J293" s="31"/>
      <c r="K293" s="31"/>
      <c r="L293" s="31"/>
      <c r="M293" s="31"/>
      <c r="N293" s="31"/>
      <c r="O293" s="31"/>
    </row>
    <row r="294" ht="15.75" customHeight="1">
      <c r="B294" s="31"/>
      <c r="C294" s="31"/>
      <c r="D294" s="31"/>
      <c r="E294" s="31"/>
      <c r="F294" s="31"/>
      <c r="G294" s="31"/>
      <c r="H294" s="31"/>
      <c r="I294" s="31"/>
      <c r="J294" s="31"/>
      <c r="K294" s="31"/>
      <c r="L294" s="31"/>
      <c r="M294" s="31"/>
      <c r="N294" s="31"/>
      <c r="O294" s="31"/>
    </row>
    <row r="295" ht="15.75" customHeight="1">
      <c r="B295" s="31"/>
      <c r="C295" s="31"/>
      <c r="D295" s="31"/>
      <c r="E295" s="31"/>
      <c r="F295" s="31"/>
      <c r="G295" s="31"/>
      <c r="H295" s="31"/>
      <c r="I295" s="31"/>
      <c r="J295" s="31"/>
      <c r="K295" s="31"/>
      <c r="L295" s="31"/>
      <c r="M295" s="31"/>
      <c r="N295" s="31"/>
      <c r="O295" s="31"/>
    </row>
    <row r="296" ht="15.75" customHeight="1">
      <c r="B296" s="31"/>
      <c r="C296" s="31"/>
      <c r="D296" s="31"/>
      <c r="E296" s="31"/>
      <c r="F296" s="31"/>
      <c r="G296" s="31"/>
      <c r="H296" s="31"/>
      <c r="I296" s="31"/>
      <c r="J296" s="31"/>
      <c r="K296" s="31"/>
      <c r="L296" s="31"/>
      <c r="M296" s="31"/>
      <c r="N296" s="31"/>
      <c r="O296" s="31"/>
    </row>
    <row r="297" ht="15.75" customHeight="1">
      <c r="B297" s="31"/>
      <c r="C297" s="31"/>
      <c r="D297" s="31"/>
      <c r="E297" s="31"/>
      <c r="F297" s="31"/>
      <c r="G297" s="31"/>
      <c r="H297" s="31"/>
      <c r="I297" s="31"/>
      <c r="J297" s="31"/>
      <c r="K297" s="31"/>
      <c r="L297" s="31"/>
      <c r="M297" s="31"/>
      <c r="N297" s="31"/>
      <c r="O297" s="31"/>
    </row>
    <row r="298" ht="15.75" customHeight="1">
      <c r="B298" s="31"/>
      <c r="C298" s="31"/>
      <c r="D298" s="31"/>
      <c r="E298" s="31"/>
      <c r="F298" s="31"/>
      <c r="G298" s="31"/>
      <c r="H298" s="31"/>
      <c r="I298" s="31"/>
      <c r="J298" s="31"/>
      <c r="K298" s="31"/>
      <c r="L298" s="31"/>
      <c r="M298" s="31"/>
      <c r="N298" s="31"/>
      <c r="O298" s="31"/>
    </row>
    <row r="299" ht="15.75" customHeight="1">
      <c r="B299" s="31"/>
      <c r="C299" s="31"/>
      <c r="D299" s="31"/>
      <c r="E299" s="31"/>
      <c r="F299" s="31"/>
      <c r="G299" s="31"/>
      <c r="H299" s="31"/>
      <c r="I299" s="31"/>
      <c r="J299" s="31"/>
      <c r="K299" s="31"/>
      <c r="L299" s="31"/>
      <c r="M299" s="31"/>
      <c r="N299" s="31"/>
      <c r="O299" s="31"/>
    </row>
    <row r="300" ht="15.75" customHeight="1">
      <c r="B300" s="31"/>
      <c r="C300" s="31"/>
      <c r="D300" s="31"/>
      <c r="E300" s="31"/>
      <c r="F300" s="31"/>
      <c r="G300" s="31"/>
      <c r="H300" s="31"/>
      <c r="I300" s="31"/>
      <c r="J300" s="31"/>
      <c r="K300" s="31"/>
      <c r="L300" s="31"/>
      <c r="M300" s="31"/>
      <c r="N300" s="31"/>
      <c r="O300" s="31"/>
    </row>
    <row r="301" ht="15.75" customHeight="1">
      <c r="B301" s="31"/>
      <c r="C301" s="31"/>
      <c r="D301" s="31"/>
      <c r="E301" s="31"/>
      <c r="F301" s="31"/>
      <c r="G301" s="31"/>
      <c r="H301" s="31"/>
      <c r="I301" s="31"/>
      <c r="J301" s="31"/>
      <c r="K301" s="31"/>
      <c r="L301" s="31"/>
      <c r="M301" s="31"/>
      <c r="N301" s="31"/>
      <c r="O301" s="31"/>
    </row>
    <row r="302" ht="15.75" customHeight="1">
      <c r="B302" s="31"/>
      <c r="C302" s="31"/>
      <c r="D302" s="31"/>
      <c r="E302" s="31"/>
      <c r="F302" s="31"/>
      <c r="G302" s="31"/>
      <c r="H302" s="31"/>
      <c r="I302" s="31"/>
      <c r="J302" s="31"/>
      <c r="K302" s="31"/>
      <c r="L302" s="31"/>
      <c r="M302" s="31"/>
      <c r="N302" s="31"/>
      <c r="O302" s="31"/>
    </row>
    <row r="303" ht="15.75" customHeight="1">
      <c r="B303" s="31"/>
      <c r="C303" s="31"/>
      <c r="D303" s="31"/>
      <c r="E303" s="31"/>
      <c r="F303" s="31"/>
      <c r="G303" s="31"/>
      <c r="H303" s="31"/>
      <c r="I303" s="31"/>
      <c r="J303" s="31"/>
      <c r="K303" s="31"/>
      <c r="L303" s="31"/>
      <c r="M303" s="31"/>
      <c r="N303" s="31"/>
      <c r="O303" s="31"/>
    </row>
    <row r="304" ht="15.75" customHeight="1">
      <c r="B304" s="31"/>
      <c r="C304" s="31"/>
      <c r="D304" s="31"/>
      <c r="E304" s="31"/>
      <c r="F304" s="31"/>
      <c r="G304" s="31"/>
      <c r="H304" s="31"/>
      <c r="I304" s="31"/>
      <c r="J304" s="31"/>
      <c r="K304" s="31"/>
      <c r="L304" s="31"/>
      <c r="M304" s="31"/>
      <c r="N304" s="31"/>
      <c r="O304" s="31"/>
    </row>
    <row r="305" ht="15.75" customHeight="1">
      <c r="B305" s="31"/>
      <c r="C305" s="31"/>
      <c r="D305" s="31"/>
      <c r="E305" s="31"/>
      <c r="F305" s="31"/>
      <c r="G305" s="31"/>
      <c r="H305" s="31"/>
      <c r="I305" s="31"/>
      <c r="J305" s="31"/>
      <c r="K305" s="31"/>
      <c r="L305" s="31"/>
      <c r="M305" s="31"/>
      <c r="N305" s="31"/>
      <c r="O305" s="31"/>
    </row>
    <row r="306" ht="15.75" customHeight="1">
      <c r="B306" s="31"/>
      <c r="C306" s="31"/>
      <c r="D306" s="31"/>
      <c r="E306" s="31"/>
      <c r="F306" s="31"/>
      <c r="G306" s="31"/>
      <c r="H306" s="31"/>
      <c r="I306" s="31"/>
      <c r="J306" s="31"/>
      <c r="K306" s="31"/>
      <c r="L306" s="31"/>
      <c r="M306" s="31"/>
      <c r="N306" s="31"/>
      <c r="O306" s="31"/>
    </row>
    <row r="307" ht="15.75" customHeight="1">
      <c r="B307" s="31"/>
      <c r="C307" s="31"/>
      <c r="D307" s="31"/>
      <c r="E307" s="31"/>
      <c r="F307" s="31"/>
      <c r="G307" s="31"/>
      <c r="H307" s="31"/>
      <c r="I307" s="31"/>
      <c r="J307" s="31"/>
      <c r="K307" s="31"/>
      <c r="L307" s="31"/>
      <c r="M307" s="31"/>
      <c r="N307" s="31"/>
      <c r="O307" s="31"/>
    </row>
    <row r="308" ht="15.75" customHeight="1">
      <c r="B308" s="31"/>
      <c r="C308" s="31"/>
      <c r="D308" s="31"/>
      <c r="E308" s="31"/>
      <c r="F308" s="31"/>
      <c r="G308" s="31"/>
      <c r="H308" s="31"/>
      <c r="I308" s="31"/>
      <c r="J308" s="31"/>
      <c r="K308" s="31"/>
      <c r="L308" s="31"/>
      <c r="M308" s="31"/>
      <c r="N308" s="31"/>
      <c r="O308" s="31"/>
    </row>
    <row r="309" ht="15.75" customHeight="1">
      <c r="B309" s="31"/>
      <c r="C309" s="31"/>
      <c r="D309" s="31"/>
      <c r="E309" s="31"/>
      <c r="F309" s="31"/>
      <c r="G309" s="31"/>
      <c r="H309" s="31"/>
      <c r="I309" s="31"/>
      <c r="J309" s="31"/>
      <c r="K309" s="31"/>
      <c r="L309" s="31"/>
      <c r="M309" s="31"/>
      <c r="N309" s="31"/>
      <c r="O309" s="31"/>
    </row>
    <row r="310" ht="15.75" customHeight="1">
      <c r="B310" s="31"/>
      <c r="C310" s="31"/>
      <c r="D310" s="31"/>
      <c r="E310" s="31"/>
      <c r="F310" s="31"/>
      <c r="G310" s="31"/>
      <c r="H310" s="31"/>
      <c r="I310" s="31"/>
      <c r="J310" s="31"/>
      <c r="K310" s="31"/>
      <c r="L310" s="31"/>
      <c r="M310" s="31"/>
      <c r="N310" s="31"/>
      <c r="O310" s="31"/>
    </row>
    <row r="311" ht="15.75" customHeight="1">
      <c r="B311" s="31"/>
      <c r="C311" s="31"/>
      <c r="D311" s="31"/>
      <c r="E311" s="31"/>
      <c r="F311" s="31"/>
      <c r="G311" s="31"/>
      <c r="H311" s="31"/>
      <c r="I311" s="31"/>
      <c r="J311" s="31"/>
      <c r="K311" s="31"/>
      <c r="L311" s="31"/>
      <c r="M311" s="31"/>
      <c r="N311" s="31"/>
      <c r="O311" s="31"/>
    </row>
    <row r="312" ht="15.75" customHeight="1">
      <c r="B312" s="31"/>
      <c r="C312" s="31"/>
      <c r="D312" s="31"/>
      <c r="E312" s="31"/>
      <c r="F312" s="31"/>
      <c r="G312" s="31"/>
      <c r="H312" s="31"/>
      <c r="I312" s="31"/>
      <c r="J312" s="31"/>
      <c r="K312" s="31"/>
      <c r="L312" s="31"/>
      <c r="M312" s="31"/>
      <c r="N312" s="31"/>
      <c r="O312" s="31"/>
    </row>
    <row r="313" ht="15.75" customHeight="1">
      <c r="B313" s="31"/>
      <c r="C313" s="31"/>
      <c r="D313" s="31"/>
      <c r="E313" s="31"/>
      <c r="F313" s="31"/>
      <c r="G313" s="31"/>
      <c r="H313" s="31"/>
      <c r="I313" s="31"/>
      <c r="J313" s="31"/>
      <c r="K313" s="31"/>
      <c r="L313" s="31"/>
      <c r="M313" s="31"/>
      <c r="N313" s="31"/>
      <c r="O313" s="31"/>
    </row>
    <row r="314" ht="15.75" customHeight="1">
      <c r="B314" s="31"/>
      <c r="C314" s="31"/>
      <c r="D314" s="31"/>
      <c r="E314" s="31"/>
      <c r="F314" s="31"/>
      <c r="G314" s="31"/>
      <c r="H314" s="31"/>
      <c r="I314" s="31"/>
      <c r="J314" s="31"/>
      <c r="K314" s="31"/>
      <c r="L314" s="31"/>
      <c r="M314" s="31"/>
      <c r="N314" s="31"/>
      <c r="O314" s="31"/>
    </row>
    <row r="315" ht="15.75" customHeight="1">
      <c r="B315" s="31"/>
      <c r="C315" s="31"/>
      <c r="D315" s="31"/>
      <c r="E315" s="31"/>
      <c r="F315" s="31"/>
      <c r="G315" s="31"/>
      <c r="H315" s="31"/>
      <c r="I315" s="31"/>
      <c r="J315" s="31"/>
      <c r="K315" s="31"/>
      <c r="L315" s="31"/>
      <c r="M315" s="31"/>
      <c r="N315" s="31"/>
      <c r="O315" s="31"/>
    </row>
    <row r="316" ht="15.75" customHeight="1">
      <c r="B316" s="31"/>
      <c r="C316" s="31"/>
      <c r="D316" s="31"/>
      <c r="E316" s="31"/>
      <c r="F316" s="31"/>
      <c r="G316" s="31"/>
      <c r="H316" s="31"/>
      <c r="I316" s="31"/>
      <c r="J316" s="31"/>
      <c r="K316" s="31"/>
      <c r="L316" s="31"/>
      <c r="M316" s="31"/>
      <c r="N316" s="31"/>
      <c r="O316" s="31"/>
    </row>
    <row r="317" ht="15.75" customHeight="1">
      <c r="B317" s="31"/>
      <c r="C317" s="31"/>
      <c r="D317" s="31"/>
      <c r="E317" s="31"/>
      <c r="F317" s="31"/>
      <c r="G317" s="31"/>
      <c r="H317" s="31"/>
      <c r="I317" s="31"/>
      <c r="J317" s="31"/>
      <c r="K317" s="31"/>
      <c r="L317" s="31"/>
      <c r="M317" s="31"/>
      <c r="N317" s="31"/>
      <c r="O317" s="31"/>
    </row>
    <row r="318" ht="15.75" customHeight="1">
      <c r="B318" s="31"/>
      <c r="C318" s="31"/>
      <c r="D318" s="31"/>
      <c r="E318" s="31"/>
      <c r="F318" s="31"/>
      <c r="G318" s="31"/>
      <c r="H318" s="31"/>
      <c r="I318" s="31"/>
      <c r="J318" s="31"/>
      <c r="K318" s="31"/>
      <c r="L318" s="31"/>
      <c r="M318" s="31"/>
      <c r="N318" s="31"/>
      <c r="O318" s="31"/>
    </row>
    <row r="319" ht="15.75" customHeight="1">
      <c r="B319" s="31"/>
      <c r="C319" s="31"/>
      <c r="D319" s="31"/>
      <c r="E319" s="31"/>
      <c r="F319" s="31"/>
      <c r="G319" s="31"/>
      <c r="H319" s="31"/>
      <c r="I319" s="31"/>
      <c r="J319" s="31"/>
      <c r="K319" s="31"/>
      <c r="L319" s="31"/>
      <c r="M319" s="31"/>
      <c r="N319" s="31"/>
      <c r="O319" s="31"/>
    </row>
    <row r="320" ht="15.75" customHeight="1">
      <c r="B320" s="31"/>
      <c r="C320" s="31"/>
      <c r="D320" s="31"/>
      <c r="E320" s="31"/>
      <c r="F320" s="31"/>
      <c r="G320" s="31"/>
      <c r="H320" s="31"/>
      <c r="I320" s="31"/>
      <c r="J320" s="31"/>
      <c r="K320" s="31"/>
      <c r="L320" s="31"/>
      <c r="M320" s="31"/>
      <c r="N320" s="31"/>
      <c r="O320" s="31"/>
    </row>
    <row r="321" ht="15.75" customHeight="1">
      <c r="B321" s="31"/>
      <c r="C321" s="31"/>
      <c r="D321" s="31"/>
      <c r="E321" s="31"/>
      <c r="F321" s="31"/>
      <c r="G321" s="31"/>
      <c r="H321" s="31"/>
      <c r="I321" s="31"/>
      <c r="J321" s="31"/>
      <c r="K321" s="31"/>
      <c r="L321" s="31"/>
      <c r="M321" s="31"/>
      <c r="N321" s="31"/>
      <c r="O321" s="31"/>
    </row>
    <row r="322" ht="15.75" customHeight="1">
      <c r="B322" s="31"/>
      <c r="C322" s="31"/>
      <c r="D322" s="31"/>
      <c r="E322" s="31"/>
      <c r="F322" s="31"/>
      <c r="G322" s="31"/>
      <c r="H322" s="31"/>
      <c r="I322" s="31"/>
      <c r="J322" s="31"/>
      <c r="K322" s="31"/>
      <c r="L322" s="31"/>
      <c r="M322" s="31"/>
      <c r="N322" s="31"/>
      <c r="O322" s="31"/>
    </row>
    <row r="323" ht="15.75" customHeight="1">
      <c r="B323" s="31"/>
      <c r="C323" s="31"/>
      <c r="D323" s="31"/>
      <c r="E323" s="31"/>
      <c r="F323" s="31"/>
      <c r="G323" s="31"/>
      <c r="H323" s="31"/>
      <c r="I323" s="31"/>
      <c r="J323" s="31"/>
      <c r="K323" s="31"/>
      <c r="L323" s="31"/>
      <c r="M323" s="31"/>
      <c r="N323" s="31"/>
      <c r="O323" s="31"/>
    </row>
    <row r="324" ht="15.75" customHeight="1">
      <c r="B324" s="31"/>
      <c r="C324" s="31"/>
      <c r="D324" s="31"/>
      <c r="E324" s="31"/>
      <c r="F324" s="31"/>
      <c r="G324" s="31"/>
      <c r="H324" s="31"/>
      <c r="I324" s="31"/>
      <c r="J324" s="31"/>
      <c r="K324" s="31"/>
      <c r="L324" s="31"/>
      <c r="M324" s="31"/>
      <c r="N324" s="31"/>
      <c r="O324" s="31"/>
    </row>
    <row r="325" ht="15.75" customHeight="1">
      <c r="B325" s="31"/>
      <c r="C325" s="31"/>
      <c r="D325" s="31"/>
      <c r="E325" s="31"/>
      <c r="F325" s="31"/>
      <c r="G325" s="31"/>
      <c r="H325" s="31"/>
      <c r="I325" s="31"/>
      <c r="J325" s="31"/>
      <c r="K325" s="31"/>
      <c r="L325" s="31"/>
      <c r="M325" s="31"/>
      <c r="N325" s="31"/>
      <c r="O325" s="31"/>
    </row>
    <row r="326" ht="15.75" customHeight="1">
      <c r="B326" s="31"/>
      <c r="C326" s="31"/>
      <c r="D326" s="31"/>
      <c r="E326" s="31"/>
      <c r="F326" s="31"/>
      <c r="G326" s="31"/>
      <c r="H326" s="31"/>
      <c r="I326" s="31"/>
      <c r="J326" s="31"/>
      <c r="K326" s="31"/>
      <c r="L326" s="31"/>
      <c r="M326" s="31"/>
      <c r="N326" s="31"/>
      <c r="O326" s="31"/>
    </row>
    <row r="327" ht="15.75" customHeight="1">
      <c r="B327" s="31"/>
      <c r="C327" s="31"/>
      <c r="D327" s="31"/>
      <c r="E327" s="31"/>
      <c r="F327" s="31"/>
      <c r="G327" s="31"/>
      <c r="H327" s="31"/>
      <c r="I327" s="31"/>
      <c r="J327" s="31"/>
      <c r="K327" s="31"/>
      <c r="L327" s="31"/>
      <c r="M327" s="31"/>
      <c r="N327" s="31"/>
      <c r="O327" s="31"/>
    </row>
    <row r="328" ht="15.75" customHeight="1">
      <c r="B328" s="31"/>
      <c r="C328" s="31"/>
      <c r="D328" s="31"/>
      <c r="E328" s="31"/>
      <c r="F328" s="31"/>
      <c r="G328" s="31"/>
      <c r="H328" s="31"/>
      <c r="I328" s="31"/>
      <c r="J328" s="31"/>
      <c r="K328" s="31"/>
      <c r="L328" s="31"/>
      <c r="M328" s="31"/>
      <c r="N328" s="31"/>
      <c r="O328" s="31"/>
    </row>
    <row r="329" ht="15.75" customHeight="1">
      <c r="B329" s="31"/>
      <c r="C329" s="31"/>
      <c r="D329" s="31"/>
      <c r="E329" s="31"/>
      <c r="F329" s="31"/>
      <c r="G329" s="31"/>
      <c r="H329" s="31"/>
      <c r="I329" s="31"/>
      <c r="J329" s="31"/>
      <c r="K329" s="31"/>
      <c r="L329" s="31"/>
      <c r="M329" s="31"/>
      <c r="N329" s="31"/>
      <c r="O329" s="31"/>
    </row>
    <row r="330" ht="15.75" customHeight="1">
      <c r="B330" s="31"/>
      <c r="C330" s="31"/>
      <c r="D330" s="31"/>
      <c r="E330" s="31"/>
      <c r="F330" s="31"/>
      <c r="G330" s="31"/>
      <c r="H330" s="31"/>
      <c r="I330" s="31"/>
      <c r="J330" s="31"/>
      <c r="K330" s="31"/>
      <c r="L330" s="31"/>
      <c r="M330" s="31"/>
      <c r="N330" s="31"/>
      <c r="O330" s="31"/>
    </row>
    <row r="331" ht="15.75" customHeight="1">
      <c r="B331" s="31"/>
      <c r="C331" s="31"/>
      <c r="D331" s="31"/>
      <c r="E331" s="31"/>
      <c r="F331" s="31"/>
      <c r="G331" s="31"/>
      <c r="H331" s="31"/>
      <c r="I331" s="31"/>
      <c r="J331" s="31"/>
      <c r="K331" s="31"/>
      <c r="L331" s="31"/>
      <c r="M331" s="31"/>
      <c r="N331" s="31"/>
      <c r="O331" s="31"/>
    </row>
    <row r="332" ht="15.75" customHeight="1">
      <c r="B332" s="31"/>
      <c r="C332" s="31"/>
      <c r="D332" s="31"/>
      <c r="E332" s="31"/>
      <c r="F332" s="31"/>
      <c r="G332" s="31"/>
      <c r="H332" s="31"/>
      <c r="I332" s="31"/>
      <c r="J332" s="31"/>
      <c r="K332" s="31"/>
      <c r="L332" s="31"/>
      <c r="M332" s="31"/>
      <c r="N332" s="31"/>
      <c r="O332" s="31"/>
    </row>
    <row r="333" ht="15.75" customHeight="1">
      <c r="B333" s="31"/>
      <c r="C333" s="31"/>
      <c r="D333" s="31"/>
      <c r="E333" s="31"/>
      <c r="F333" s="31"/>
      <c r="G333" s="31"/>
      <c r="H333" s="31"/>
      <c r="I333" s="31"/>
      <c r="J333" s="31"/>
      <c r="K333" s="31"/>
      <c r="L333" s="31"/>
      <c r="M333" s="31"/>
      <c r="N333" s="31"/>
      <c r="O333" s="31"/>
    </row>
    <row r="334" ht="15.75" customHeight="1">
      <c r="B334" s="31"/>
      <c r="C334" s="31"/>
      <c r="D334" s="31"/>
      <c r="E334" s="31"/>
      <c r="F334" s="31"/>
      <c r="G334" s="31"/>
      <c r="H334" s="31"/>
      <c r="I334" s="31"/>
      <c r="J334" s="31"/>
      <c r="K334" s="31"/>
      <c r="L334" s="31"/>
      <c r="M334" s="31"/>
      <c r="N334" s="31"/>
      <c r="O334" s="31"/>
    </row>
    <row r="335" ht="15.75" customHeight="1">
      <c r="B335" s="31"/>
      <c r="C335" s="31"/>
      <c r="D335" s="31"/>
      <c r="E335" s="31"/>
      <c r="F335" s="31"/>
      <c r="G335" s="31"/>
      <c r="H335" s="31"/>
      <c r="I335" s="31"/>
      <c r="J335" s="31"/>
      <c r="K335" s="31"/>
      <c r="L335" s="31"/>
      <c r="M335" s="31"/>
      <c r="N335" s="31"/>
      <c r="O335" s="31"/>
    </row>
    <row r="336" ht="15.75" customHeight="1">
      <c r="B336" s="31"/>
      <c r="C336" s="31"/>
      <c r="D336" s="31"/>
      <c r="E336" s="31"/>
      <c r="F336" s="31"/>
      <c r="G336" s="31"/>
      <c r="H336" s="31"/>
      <c r="I336" s="31"/>
      <c r="J336" s="31"/>
      <c r="K336" s="31"/>
      <c r="L336" s="31"/>
      <c r="M336" s="31"/>
      <c r="N336" s="31"/>
      <c r="O336" s="31"/>
    </row>
    <row r="337" ht="15.75" customHeight="1">
      <c r="B337" s="31"/>
      <c r="C337" s="31"/>
      <c r="D337" s="31"/>
      <c r="E337" s="31"/>
      <c r="F337" s="31"/>
      <c r="G337" s="31"/>
      <c r="H337" s="31"/>
      <c r="I337" s="31"/>
      <c r="J337" s="31"/>
      <c r="K337" s="31"/>
      <c r="L337" s="31"/>
      <c r="M337" s="31"/>
      <c r="N337" s="31"/>
      <c r="O337" s="31"/>
    </row>
    <row r="338" ht="15.75" customHeight="1">
      <c r="B338" s="31"/>
      <c r="C338" s="31"/>
      <c r="D338" s="31"/>
      <c r="E338" s="31"/>
      <c r="F338" s="31"/>
      <c r="G338" s="31"/>
      <c r="H338" s="31"/>
      <c r="I338" s="31"/>
      <c r="J338" s="31"/>
      <c r="K338" s="31"/>
      <c r="L338" s="31"/>
      <c r="M338" s="31"/>
      <c r="N338" s="31"/>
      <c r="O338" s="31"/>
    </row>
    <row r="339" ht="15.75" customHeight="1">
      <c r="B339" s="31"/>
      <c r="C339" s="31"/>
      <c r="D339" s="31"/>
      <c r="E339" s="31"/>
      <c r="F339" s="31"/>
      <c r="G339" s="31"/>
      <c r="H339" s="31"/>
      <c r="I339" s="31"/>
      <c r="J339" s="31"/>
      <c r="K339" s="31"/>
      <c r="L339" s="31"/>
      <c r="M339" s="31"/>
      <c r="N339" s="31"/>
      <c r="O339" s="31"/>
    </row>
    <row r="340" ht="15.75" customHeight="1">
      <c r="B340" s="31"/>
      <c r="C340" s="31"/>
      <c r="D340" s="31"/>
      <c r="E340" s="31"/>
      <c r="F340" s="31"/>
      <c r="G340" s="31"/>
      <c r="H340" s="31"/>
      <c r="I340" s="31"/>
      <c r="J340" s="31"/>
      <c r="K340" s="31"/>
      <c r="L340" s="31"/>
      <c r="M340" s="31"/>
      <c r="N340" s="31"/>
      <c r="O340" s="31"/>
    </row>
    <row r="341" ht="15.75" customHeight="1">
      <c r="B341" s="31"/>
      <c r="C341" s="31"/>
      <c r="D341" s="31"/>
      <c r="E341" s="31"/>
      <c r="F341" s="31"/>
      <c r="G341" s="31"/>
      <c r="H341" s="31"/>
      <c r="I341" s="31"/>
      <c r="J341" s="31"/>
      <c r="K341" s="31"/>
      <c r="L341" s="31"/>
      <c r="M341" s="31"/>
      <c r="N341" s="31"/>
      <c r="O341" s="31"/>
    </row>
    <row r="342" ht="15.75" customHeight="1">
      <c r="B342" s="31"/>
      <c r="C342" s="31"/>
      <c r="D342" s="31"/>
      <c r="E342" s="31"/>
      <c r="F342" s="31"/>
      <c r="G342" s="31"/>
      <c r="H342" s="31"/>
      <c r="I342" s="31"/>
      <c r="J342" s="31"/>
      <c r="K342" s="31"/>
      <c r="L342" s="31"/>
      <c r="M342" s="31"/>
      <c r="N342" s="31"/>
      <c r="O342" s="31"/>
    </row>
    <row r="343" ht="15.75" customHeight="1">
      <c r="B343" s="31"/>
      <c r="C343" s="31"/>
      <c r="D343" s="31"/>
      <c r="E343" s="31"/>
      <c r="F343" s="31"/>
      <c r="G343" s="31"/>
      <c r="H343" s="31"/>
      <c r="I343" s="31"/>
      <c r="J343" s="31"/>
      <c r="K343" s="31"/>
      <c r="L343" s="31"/>
      <c r="M343" s="31"/>
      <c r="N343" s="31"/>
      <c r="O343" s="31"/>
    </row>
    <row r="344" ht="15.75" customHeight="1">
      <c r="B344" s="31"/>
      <c r="C344" s="31"/>
      <c r="D344" s="31"/>
      <c r="E344" s="31"/>
      <c r="F344" s="31"/>
      <c r="G344" s="31"/>
      <c r="H344" s="31"/>
      <c r="I344" s="31"/>
      <c r="J344" s="31"/>
      <c r="K344" s="31"/>
      <c r="L344" s="31"/>
      <c r="M344" s="31"/>
      <c r="N344" s="31"/>
      <c r="O344" s="31"/>
    </row>
    <row r="345" ht="15.75" customHeight="1">
      <c r="B345" s="31"/>
      <c r="C345" s="31"/>
      <c r="D345" s="31"/>
      <c r="E345" s="31"/>
      <c r="F345" s="31"/>
      <c r="G345" s="31"/>
      <c r="H345" s="31"/>
      <c r="I345" s="31"/>
      <c r="J345" s="31"/>
      <c r="K345" s="31"/>
      <c r="L345" s="31"/>
      <c r="M345" s="31"/>
      <c r="N345" s="31"/>
      <c r="O345" s="31"/>
    </row>
    <row r="346" ht="15.75" customHeight="1">
      <c r="B346" s="31"/>
      <c r="C346" s="31"/>
      <c r="D346" s="31"/>
      <c r="E346" s="31"/>
      <c r="F346" s="31"/>
      <c r="G346" s="31"/>
      <c r="H346" s="31"/>
      <c r="I346" s="31"/>
      <c r="J346" s="31"/>
      <c r="K346" s="31"/>
      <c r="L346" s="31"/>
      <c r="M346" s="31"/>
      <c r="N346" s="31"/>
      <c r="O346" s="31"/>
    </row>
    <row r="347" ht="15.75" customHeight="1">
      <c r="B347" s="31"/>
      <c r="C347" s="31"/>
      <c r="D347" s="31"/>
      <c r="E347" s="31"/>
      <c r="F347" s="31"/>
      <c r="G347" s="31"/>
      <c r="H347" s="31"/>
      <c r="I347" s="31"/>
      <c r="J347" s="31"/>
      <c r="K347" s="31"/>
      <c r="L347" s="31"/>
      <c r="M347" s="31"/>
      <c r="N347" s="31"/>
      <c r="O347" s="31"/>
    </row>
    <row r="348" ht="15.75" customHeight="1">
      <c r="B348" s="31"/>
      <c r="C348" s="31"/>
      <c r="D348" s="31"/>
      <c r="E348" s="31"/>
      <c r="F348" s="31"/>
      <c r="G348" s="31"/>
      <c r="H348" s="31"/>
      <c r="I348" s="31"/>
      <c r="J348" s="31"/>
      <c r="K348" s="31"/>
      <c r="L348" s="31"/>
      <c r="M348" s="31"/>
      <c r="N348" s="31"/>
      <c r="O348" s="31"/>
    </row>
    <row r="349" ht="15.75" customHeight="1">
      <c r="B349" s="31"/>
      <c r="C349" s="31"/>
      <c r="D349" s="31"/>
      <c r="E349" s="31"/>
      <c r="F349" s="31"/>
      <c r="G349" s="31"/>
      <c r="H349" s="31"/>
      <c r="I349" s="31"/>
      <c r="J349" s="31"/>
      <c r="K349" s="31"/>
      <c r="L349" s="31"/>
      <c r="M349" s="31"/>
      <c r="N349" s="31"/>
      <c r="O349" s="31"/>
    </row>
    <row r="350" ht="15.75" customHeight="1">
      <c r="B350" s="31"/>
      <c r="C350" s="31"/>
      <c r="D350" s="31"/>
      <c r="E350" s="31"/>
      <c r="F350" s="31"/>
      <c r="G350" s="31"/>
      <c r="H350" s="31"/>
      <c r="I350" s="31"/>
      <c r="J350" s="31"/>
      <c r="K350" s="31"/>
      <c r="L350" s="31"/>
      <c r="M350" s="31"/>
      <c r="N350" s="31"/>
      <c r="O350" s="31"/>
    </row>
    <row r="351" ht="15.75" customHeight="1">
      <c r="B351" s="31"/>
      <c r="C351" s="31"/>
      <c r="D351" s="31"/>
      <c r="E351" s="31"/>
      <c r="F351" s="31"/>
      <c r="G351" s="31"/>
      <c r="H351" s="31"/>
      <c r="I351" s="31"/>
      <c r="J351" s="31"/>
      <c r="K351" s="31"/>
      <c r="L351" s="31"/>
      <c r="M351" s="31"/>
      <c r="N351" s="31"/>
      <c r="O351" s="31"/>
    </row>
    <row r="352" ht="15.75" customHeight="1">
      <c r="B352" s="31"/>
      <c r="C352" s="31"/>
      <c r="D352" s="31"/>
      <c r="E352" s="31"/>
      <c r="F352" s="31"/>
      <c r="G352" s="31"/>
      <c r="H352" s="31"/>
      <c r="I352" s="31"/>
      <c r="J352" s="31"/>
      <c r="K352" s="31"/>
      <c r="L352" s="31"/>
      <c r="M352" s="31"/>
      <c r="N352" s="31"/>
      <c r="O352" s="31"/>
    </row>
    <row r="353" ht="15.75" customHeight="1">
      <c r="B353" s="31"/>
      <c r="C353" s="31"/>
      <c r="D353" s="31"/>
      <c r="E353" s="31"/>
      <c r="F353" s="31"/>
      <c r="G353" s="31"/>
      <c r="H353" s="31"/>
      <c r="I353" s="31"/>
      <c r="J353" s="31"/>
      <c r="K353" s="31"/>
      <c r="L353" s="31"/>
      <c r="M353" s="31"/>
      <c r="N353" s="31"/>
      <c r="O353" s="31"/>
    </row>
    <row r="354" ht="15.75" customHeight="1">
      <c r="B354" s="31"/>
      <c r="C354" s="31"/>
      <c r="D354" s="31"/>
      <c r="E354" s="31"/>
      <c r="F354" s="31"/>
      <c r="G354" s="31"/>
      <c r="H354" s="31"/>
      <c r="I354" s="31"/>
      <c r="J354" s="31"/>
      <c r="K354" s="31"/>
      <c r="L354" s="31"/>
      <c r="M354" s="31"/>
      <c r="N354" s="31"/>
      <c r="O354" s="31"/>
    </row>
    <row r="355" ht="15.75" customHeight="1">
      <c r="B355" s="31"/>
      <c r="C355" s="31"/>
      <c r="D355" s="31"/>
      <c r="E355" s="31"/>
      <c r="F355" s="31"/>
      <c r="G355" s="31"/>
      <c r="H355" s="31"/>
      <c r="I355" s="31"/>
      <c r="J355" s="31"/>
      <c r="K355" s="31"/>
      <c r="L355" s="31"/>
      <c r="M355" s="31"/>
      <c r="N355" s="31"/>
      <c r="O355" s="31"/>
    </row>
    <row r="356" ht="15.75" customHeight="1">
      <c r="B356" s="31"/>
      <c r="C356" s="31"/>
      <c r="D356" s="31"/>
      <c r="E356" s="31"/>
      <c r="F356" s="31"/>
      <c r="G356" s="31"/>
      <c r="H356" s="31"/>
      <c r="I356" s="31"/>
      <c r="J356" s="31"/>
      <c r="K356" s="31"/>
      <c r="L356" s="31"/>
      <c r="M356" s="31"/>
      <c r="N356" s="31"/>
      <c r="O356" s="31"/>
    </row>
    <row r="357" ht="15.75" customHeight="1">
      <c r="B357" s="31"/>
      <c r="C357" s="31"/>
      <c r="D357" s="31"/>
      <c r="E357" s="31"/>
      <c r="F357" s="31"/>
      <c r="G357" s="31"/>
      <c r="H357" s="31"/>
      <c r="I357" s="31"/>
      <c r="J357" s="31"/>
      <c r="K357" s="31"/>
      <c r="L357" s="31"/>
      <c r="M357" s="31"/>
      <c r="N357" s="31"/>
      <c r="O357" s="31"/>
    </row>
    <row r="358" ht="15.75" customHeight="1">
      <c r="B358" s="31"/>
      <c r="C358" s="31"/>
      <c r="D358" s="31"/>
      <c r="E358" s="31"/>
      <c r="F358" s="31"/>
      <c r="G358" s="31"/>
      <c r="H358" s="31"/>
      <c r="I358" s="31"/>
      <c r="J358" s="31"/>
      <c r="K358" s="31"/>
      <c r="L358" s="31"/>
      <c r="M358" s="31"/>
      <c r="N358" s="31"/>
      <c r="O358" s="31"/>
    </row>
    <row r="359" ht="15.75" customHeight="1">
      <c r="B359" s="31"/>
      <c r="C359" s="31"/>
      <c r="D359" s="31"/>
      <c r="E359" s="31"/>
      <c r="F359" s="31"/>
      <c r="G359" s="31"/>
      <c r="H359" s="31"/>
      <c r="I359" s="31"/>
      <c r="J359" s="31"/>
      <c r="K359" s="31"/>
      <c r="L359" s="31"/>
      <c r="M359" s="31"/>
      <c r="N359" s="31"/>
      <c r="O359" s="31"/>
    </row>
    <row r="360" ht="15.75" customHeight="1">
      <c r="B360" s="31"/>
      <c r="C360" s="31"/>
      <c r="D360" s="31"/>
      <c r="E360" s="31"/>
      <c r="F360" s="31"/>
      <c r="G360" s="31"/>
      <c r="H360" s="31"/>
      <c r="I360" s="31"/>
      <c r="J360" s="31"/>
      <c r="K360" s="31"/>
      <c r="L360" s="31"/>
      <c r="M360" s="31"/>
      <c r="N360" s="31"/>
      <c r="O360" s="31"/>
    </row>
    <row r="361" ht="15.75" customHeight="1">
      <c r="B361" s="31"/>
      <c r="C361" s="31"/>
      <c r="D361" s="31"/>
      <c r="E361" s="31"/>
      <c r="F361" s="31"/>
      <c r="G361" s="31"/>
      <c r="H361" s="31"/>
      <c r="I361" s="31"/>
      <c r="J361" s="31"/>
      <c r="K361" s="31"/>
      <c r="L361" s="31"/>
      <c r="M361" s="31"/>
      <c r="N361" s="31"/>
      <c r="O361" s="31"/>
    </row>
    <row r="362" ht="15.75" customHeight="1">
      <c r="B362" s="31"/>
      <c r="C362" s="31"/>
      <c r="D362" s="31"/>
      <c r="E362" s="31"/>
      <c r="F362" s="31"/>
      <c r="G362" s="31"/>
      <c r="H362" s="31"/>
      <c r="I362" s="31"/>
      <c r="J362" s="31"/>
      <c r="K362" s="31"/>
      <c r="L362" s="31"/>
      <c r="M362" s="31"/>
      <c r="N362" s="31"/>
      <c r="O362" s="31"/>
    </row>
    <row r="363" ht="15.75" customHeight="1">
      <c r="B363" s="31"/>
      <c r="C363" s="31"/>
      <c r="D363" s="31"/>
      <c r="E363" s="31"/>
      <c r="F363" s="31"/>
      <c r="G363" s="31"/>
      <c r="H363" s="31"/>
      <c r="I363" s="31"/>
      <c r="J363" s="31"/>
      <c r="K363" s="31"/>
      <c r="L363" s="31"/>
      <c r="M363" s="31"/>
      <c r="N363" s="31"/>
      <c r="O363" s="31"/>
    </row>
    <row r="364" ht="15.75" customHeight="1">
      <c r="B364" s="31"/>
      <c r="C364" s="31"/>
      <c r="D364" s="31"/>
      <c r="E364" s="31"/>
      <c r="F364" s="31"/>
      <c r="G364" s="31"/>
      <c r="H364" s="31"/>
      <c r="I364" s="31"/>
      <c r="J364" s="31"/>
      <c r="K364" s="31"/>
      <c r="L364" s="31"/>
      <c r="M364" s="31"/>
      <c r="N364" s="31"/>
      <c r="O364" s="31"/>
    </row>
    <row r="365" ht="15.75" customHeight="1">
      <c r="B365" s="31"/>
      <c r="C365" s="31"/>
      <c r="D365" s="31"/>
      <c r="E365" s="31"/>
      <c r="F365" s="31"/>
      <c r="G365" s="31"/>
      <c r="H365" s="31"/>
      <c r="I365" s="31"/>
      <c r="J365" s="31"/>
      <c r="K365" s="31"/>
      <c r="L365" s="31"/>
      <c r="M365" s="31"/>
      <c r="N365" s="31"/>
      <c r="O365" s="31"/>
    </row>
    <row r="366" ht="15.75" customHeight="1">
      <c r="B366" s="31"/>
      <c r="C366" s="31"/>
      <c r="D366" s="31"/>
      <c r="E366" s="31"/>
      <c r="F366" s="31"/>
      <c r="G366" s="31"/>
      <c r="H366" s="31"/>
      <c r="I366" s="31"/>
      <c r="J366" s="31"/>
      <c r="K366" s="31"/>
      <c r="L366" s="31"/>
      <c r="M366" s="31"/>
      <c r="N366" s="31"/>
      <c r="O366" s="31"/>
    </row>
    <row r="367" ht="15.75" customHeight="1">
      <c r="B367" s="31"/>
      <c r="C367" s="31"/>
      <c r="D367" s="31"/>
      <c r="E367" s="31"/>
      <c r="F367" s="31"/>
      <c r="G367" s="31"/>
      <c r="H367" s="31"/>
      <c r="I367" s="31"/>
      <c r="J367" s="31"/>
      <c r="K367" s="31"/>
      <c r="L367" s="31"/>
      <c r="M367" s="31"/>
      <c r="N367" s="31"/>
      <c r="O367" s="31"/>
    </row>
    <row r="368" ht="15.75" customHeight="1">
      <c r="B368" s="31"/>
      <c r="C368" s="31"/>
      <c r="D368" s="31"/>
      <c r="E368" s="31"/>
      <c r="F368" s="31"/>
      <c r="G368" s="31"/>
      <c r="H368" s="31"/>
      <c r="I368" s="31"/>
      <c r="J368" s="31"/>
      <c r="K368" s="31"/>
      <c r="L368" s="31"/>
      <c r="M368" s="31"/>
      <c r="N368" s="31"/>
      <c r="O368" s="31"/>
    </row>
    <row r="369" ht="15.75" customHeight="1">
      <c r="B369" s="31"/>
      <c r="C369" s="31"/>
      <c r="D369" s="31"/>
      <c r="E369" s="31"/>
      <c r="F369" s="31"/>
      <c r="G369" s="31"/>
      <c r="H369" s="31"/>
      <c r="I369" s="31"/>
      <c r="J369" s="31"/>
      <c r="K369" s="31"/>
      <c r="L369" s="31"/>
      <c r="M369" s="31"/>
      <c r="N369" s="31"/>
      <c r="O369" s="31"/>
    </row>
    <row r="370" ht="15.75" customHeight="1">
      <c r="B370" s="31"/>
      <c r="C370" s="31"/>
      <c r="D370" s="31"/>
      <c r="E370" s="31"/>
      <c r="F370" s="31"/>
      <c r="G370" s="31"/>
      <c r="H370" s="31"/>
      <c r="I370" s="31"/>
      <c r="J370" s="31"/>
      <c r="K370" s="31"/>
      <c r="L370" s="31"/>
      <c r="M370" s="31"/>
      <c r="N370" s="31"/>
      <c r="O370" s="31"/>
    </row>
    <row r="371" ht="15.75" customHeight="1">
      <c r="B371" s="31"/>
      <c r="C371" s="31"/>
      <c r="D371" s="31"/>
      <c r="E371" s="31"/>
      <c r="F371" s="31"/>
      <c r="G371" s="31"/>
      <c r="H371" s="31"/>
      <c r="I371" s="31"/>
      <c r="J371" s="31"/>
      <c r="K371" s="31"/>
      <c r="L371" s="31"/>
      <c r="M371" s="31"/>
      <c r="N371" s="31"/>
      <c r="O371" s="31"/>
    </row>
    <row r="372" ht="15.75" customHeight="1">
      <c r="B372" s="31"/>
      <c r="C372" s="31"/>
      <c r="D372" s="31"/>
      <c r="E372" s="31"/>
      <c r="F372" s="31"/>
      <c r="G372" s="31"/>
      <c r="H372" s="31"/>
      <c r="I372" s="31"/>
      <c r="J372" s="31"/>
      <c r="K372" s="31"/>
      <c r="L372" s="31"/>
      <c r="M372" s="31"/>
      <c r="N372" s="31"/>
      <c r="O372" s="31"/>
    </row>
    <row r="373" ht="15.75" customHeight="1">
      <c r="B373" s="31"/>
      <c r="C373" s="31"/>
      <c r="D373" s="31"/>
      <c r="E373" s="31"/>
      <c r="F373" s="31"/>
      <c r="G373" s="31"/>
      <c r="H373" s="31"/>
      <c r="I373" s="31"/>
      <c r="J373" s="31"/>
      <c r="K373" s="31"/>
      <c r="L373" s="31"/>
      <c r="M373" s="31"/>
      <c r="N373" s="31"/>
      <c r="O373" s="31"/>
    </row>
    <row r="374" ht="15.75" customHeight="1">
      <c r="B374" s="31"/>
      <c r="C374" s="31"/>
      <c r="D374" s="31"/>
      <c r="E374" s="31"/>
      <c r="F374" s="31"/>
      <c r="G374" s="31"/>
      <c r="H374" s="31"/>
      <c r="I374" s="31"/>
      <c r="J374" s="31"/>
      <c r="K374" s="31"/>
      <c r="L374" s="31"/>
      <c r="M374" s="31"/>
      <c r="N374" s="31"/>
      <c r="O374" s="31"/>
    </row>
    <row r="375" ht="15.75" customHeight="1">
      <c r="B375" s="31"/>
      <c r="C375" s="31"/>
      <c r="D375" s="31"/>
      <c r="E375" s="31"/>
      <c r="F375" s="31"/>
      <c r="G375" s="31"/>
      <c r="H375" s="31"/>
      <c r="I375" s="31"/>
      <c r="J375" s="31"/>
      <c r="K375" s="31"/>
      <c r="L375" s="31"/>
      <c r="M375" s="31"/>
      <c r="N375" s="31"/>
      <c r="O375" s="31"/>
    </row>
    <row r="376" ht="15.75" customHeight="1">
      <c r="B376" s="31"/>
      <c r="C376" s="31"/>
      <c r="D376" s="31"/>
      <c r="E376" s="31"/>
      <c r="F376" s="31"/>
      <c r="G376" s="31"/>
      <c r="H376" s="31"/>
      <c r="I376" s="31"/>
      <c r="J376" s="31"/>
      <c r="K376" s="31"/>
      <c r="L376" s="31"/>
      <c r="M376" s="31"/>
      <c r="N376" s="31"/>
      <c r="O376" s="31"/>
    </row>
    <row r="377" ht="15.75" customHeight="1">
      <c r="B377" s="31"/>
      <c r="C377" s="31"/>
      <c r="D377" s="31"/>
      <c r="E377" s="31"/>
      <c r="F377" s="31"/>
      <c r="G377" s="31"/>
      <c r="H377" s="31"/>
      <c r="I377" s="31"/>
      <c r="J377" s="31"/>
      <c r="K377" s="31"/>
      <c r="L377" s="31"/>
      <c r="M377" s="31"/>
      <c r="N377" s="31"/>
      <c r="O377" s="31"/>
    </row>
    <row r="378" ht="15.75" customHeight="1">
      <c r="B378" s="31"/>
      <c r="C378" s="31"/>
      <c r="D378" s="31"/>
      <c r="E378" s="31"/>
      <c r="F378" s="31"/>
      <c r="G378" s="31"/>
      <c r="H378" s="31"/>
      <c r="I378" s="31"/>
      <c r="J378" s="31"/>
      <c r="K378" s="31"/>
      <c r="L378" s="31"/>
      <c r="M378" s="31"/>
      <c r="N378" s="31"/>
      <c r="O378" s="31"/>
    </row>
    <row r="379" ht="15.75" customHeight="1">
      <c r="B379" s="31"/>
      <c r="C379" s="31"/>
      <c r="D379" s="31"/>
      <c r="E379" s="31"/>
      <c r="F379" s="31"/>
      <c r="G379" s="31"/>
      <c r="H379" s="31"/>
      <c r="I379" s="31"/>
      <c r="J379" s="31"/>
      <c r="K379" s="31"/>
      <c r="L379" s="31"/>
      <c r="M379" s="31"/>
      <c r="N379" s="31"/>
      <c r="O379" s="31"/>
    </row>
    <row r="380" ht="15.75" customHeight="1">
      <c r="B380" s="31"/>
      <c r="C380" s="31"/>
      <c r="D380" s="31"/>
      <c r="E380" s="31"/>
      <c r="F380" s="31"/>
      <c r="G380" s="31"/>
      <c r="H380" s="31"/>
      <c r="I380" s="31"/>
      <c r="J380" s="31"/>
      <c r="K380" s="31"/>
      <c r="L380" s="31"/>
      <c r="M380" s="31"/>
      <c r="N380" s="31"/>
      <c r="O380" s="31"/>
    </row>
    <row r="381" ht="15.75" customHeight="1">
      <c r="B381" s="31"/>
      <c r="C381" s="31"/>
      <c r="D381" s="31"/>
      <c r="E381" s="31"/>
      <c r="F381" s="31"/>
      <c r="G381" s="31"/>
      <c r="H381" s="31"/>
      <c r="I381" s="31"/>
      <c r="J381" s="31"/>
      <c r="K381" s="31"/>
      <c r="L381" s="31"/>
      <c r="M381" s="31"/>
      <c r="N381" s="31"/>
      <c r="O381" s="31"/>
    </row>
    <row r="382" ht="15.75" customHeight="1">
      <c r="B382" s="31"/>
      <c r="C382" s="31"/>
      <c r="D382" s="31"/>
      <c r="E382" s="31"/>
      <c r="F382" s="31"/>
      <c r="G382" s="31"/>
      <c r="H382" s="31"/>
      <c r="I382" s="31"/>
      <c r="J382" s="31"/>
      <c r="K382" s="31"/>
      <c r="L382" s="31"/>
      <c r="M382" s="31"/>
      <c r="N382" s="31"/>
      <c r="O382" s="31"/>
    </row>
    <row r="383" ht="15.75" customHeight="1">
      <c r="B383" s="31"/>
      <c r="C383" s="31"/>
      <c r="D383" s="31"/>
      <c r="E383" s="31"/>
      <c r="F383" s="31"/>
      <c r="G383" s="31"/>
      <c r="H383" s="31"/>
      <c r="I383" s="31"/>
      <c r="J383" s="31"/>
      <c r="K383" s="31"/>
      <c r="L383" s="31"/>
      <c r="M383" s="31"/>
      <c r="N383" s="31"/>
      <c r="O383" s="31"/>
    </row>
    <row r="384" ht="15.75" customHeight="1">
      <c r="B384" s="31"/>
      <c r="C384" s="31"/>
      <c r="D384" s="31"/>
      <c r="E384" s="31"/>
      <c r="F384" s="31"/>
      <c r="G384" s="31"/>
      <c r="H384" s="31"/>
      <c r="I384" s="31"/>
      <c r="J384" s="31"/>
      <c r="K384" s="31"/>
      <c r="L384" s="31"/>
      <c r="M384" s="31"/>
      <c r="N384" s="31"/>
      <c r="O384" s="31"/>
    </row>
    <row r="385" ht="15.75" customHeight="1">
      <c r="B385" s="31"/>
      <c r="C385" s="31"/>
      <c r="D385" s="31"/>
      <c r="E385" s="31"/>
      <c r="F385" s="31"/>
      <c r="G385" s="31"/>
      <c r="H385" s="31"/>
      <c r="I385" s="31"/>
      <c r="J385" s="31"/>
      <c r="K385" s="31"/>
      <c r="L385" s="31"/>
      <c r="M385" s="31"/>
      <c r="N385" s="31"/>
      <c r="O385" s="31"/>
    </row>
    <row r="386" ht="15.75" customHeight="1">
      <c r="B386" s="31"/>
      <c r="C386" s="31"/>
      <c r="D386" s="31"/>
      <c r="E386" s="31"/>
      <c r="F386" s="31"/>
      <c r="G386" s="31"/>
      <c r="H386" s="31"/>
      <c r="I386" s="31"/>
      <c r="J386" s="31"/>
      <c r="K386" s="31"/>
      <c r="L386" s="31"/>
      <c r="M386" s="31"/>
      <c r="N386" s="31"/>
      <c r="O386" s="31"/>
    </row>
    <row r="387" ht="15.75" customHeight="1">
      <c r="B387" s="31"/>
      <c r="C387" s="31"/>
      <c r="D387" s="31"/>
      <c r="E387" s="31"/>
      <c r="F387" s="31"/>
      <c r="G387" s="31"/>
      <c r="H387" s="31"/>
      <c r="I387" s="31"/>
      <c r="J387" s="31"/>
      <c r="K387" s="31"/>
      <c r="L387" s="31"/>
      <c r="M387" s="31"/>
      <c r="N387" s="31"/>
      <c r="O387" s="31"/>
    </row>
    <row r="388" ht="15.75" customHeight="1">
      <c r="B388" s="31"/>
      <c r="C388" s="31"/>
      <c r="D388" s="31"/>
      <c r="E388" s="31"/>
      <c r="F388" s="31"/>
      <c r="G388" s="31"/>
      <c r="H388" s="31"/>
      <c r="I388" s="31"/>
      <c r="J388" s="31"/>
      <c r="K388" s="31"/>
      <c r="L388" s="31"/>
      <c r="M388" s="31"/>
      <c r="N388" s="31"/>
      <c r="O388" s="31"/>
    </row>
    <row r="389" ht="15.75" customHeight="1">
      <c r="B389" s="31"/>
      <c r="C389" s="31"/>
      <c r="D389" s="31"/>
      <c r="E389" s="31"/>
      <c r="F389" s="31"/>
      <c r="G389" s="31"/>
      <c r="H389" s="31"/>
      <c r="I389" s="31"/>
      <c r="J389" s="31"/>
      <c r="K389" s="31"/>
      <c r="L389" s="31"/>
      <c r="M389" s="31"/>
      <c r="N389" s="31"/>
      <c r="O389" s="31"/>
    </row>
    <row r="390" ht="15.75" customHeight="1">
      <c r="B390" s="31"/>
      <c r="C390" s="31"/>
      <c r="D390" s="31"/>
      <c r="E390" s="31"/>
      <c r="F390" s="31"/>
      <c r="G390" s="31"/>
      <c r="H390" s="31"/>
      <c r="I390" s="31"/>
      <c r="J390" s="31"/>
      <c r="K390" s="31"/>
      <c r="L390" s="31"/>
      <c r="M390" s="31"/>
      <c r="N390" s="31"/>
      <c r="O390" s="31"/>
    </row>
    <row r="391" ht="15.75" customHeight="1">
      <c r="B391" s="31"/>
      <c r="C391" s="31"/>
      <c r="D391" s="31"/>
      <c r="E391" s="31"/>
      <c r="F391" s="31"/>
      <c r="G391" s="31"/>
      <c r="H391" s="31"/>
      <c r="I391" s="31"/>
      <c r="J391" s="31"/>
      <c r="K391" s="31"/>
      <c r="L391" s="31"/>
      <c r="M391" s="31"/>
      <c r="N391" s="31"/>
      <c r="O391" s="31"/>
    </row>
    <row r="392" ht="15.75" customHeight="1">
      <c r="B392" s="31"/>
      <c r="C392" s="31"/>
      <c r="D392" s="31"/>
      <c r="E392" s="31"/>
      <c r="F392" s="31"/>
      <c r="G392" s="31"/>
      <c r="H392" s="31"/>
      <c r="I392" s="31"/>
      <c r="J392" s="31"/>
      <c r="K392" s="31"/>
      <c r="L392" s="31"/>
      <c r="M392" s="31"/>
      <c r="N392" s="31"/>
      <c r="O392" s="31"/>
    </row>
    <row r="393" ht="15.75" customHeight="1">
      <c r="B393" s="31"/>
      <c r="C393" s="31"/>
      <c r="D393" s="31"/>
      <c r="E393" s="31"/>
      <c r="F393" s="31"/>
      <c r="G393" s="31"/>
      <c r="H393" s="31"/>
      <c r="I393" s="31"/>
      <c r="J393" s="31"/>
      <c r="K393" s="31"/>
      <c r="L393" s="31"/>
      <c r="M393" s="31"/>
      <c r="N393" s="31"/>
      <c r="O393" s="31"/>
    </row>
    <row r="394" ht="15.75" customHeight="1">
      <c r="B394" s="31"/>
      <c r="C394" s="31"/>
      <c r="D394" s="31"/>
      <c r="E394" s="31"/>
      <c r="F394" s="31"/>
      <c r="G394" s="31"/>
      <c r="H394" s="31"/>
      <c r="I394" s="31"/>
      <c r="J394" s="31"/>
      <c r="K394" s="31"/>
      <c r="L394" s="31"/>
      <c r="M394" s="31"/>
      <c r="N394" s="31"/>
      <c r="O394" s="31"/>
    </row>
    <row r="395" ht="15.75" customHeight="1">
      <c r="B395" s="31"/>
      <c r="C395" s="31"/>
      <c r="D395" s="31"/>
      <c r="E395" s="31"/>
      <c r="F395" s="31"/>
      <c r="G395" s="31"/>
      <c r="H395" s="31"/>
      <c r="I395" s="31"/>
      <c r="J395" s="31"/>
      <c r="K395" s="31"/>
      <c r="L395" s="31"/>
      <c r="M395" s="31"/>
      <c r="N395" s="31"/>
      <c r="O395" s="31"/>
    </row>
    <row r="396" ht="15.75" customHeight="1">
      <c r="B396" s="31"/>
      <c r="C396" s="31"/>
      <c r="D396" s="31"/>
      <c r="E396" s="31"/>
      <c r="F396" s="31"/>
      <c r="G396" s="31"/>
      <c r="H396" s="31"/>
      <c r="I396" s="31"/>
      <c r="J396" s="31"/>
      <c r="K396" s="31"/>
      <c r="L396" s="31"/>
      <c r="M396" s="31"/>
      <c r="N396" s="31"/>
      <c r="O396" s="31"/>
    </row>
    <row r="397" ht="15.75" customHeight="1">
      <c r="B397" s="31"/>
      <c r="C397" s="31"/>
      <c r="D397" s="31"/>
      <c r="E397" s="31"/>
      <c r="F397" s="31"/>
      <c r="G397" s="31"/>
      <c r="H397" s="31"/>
      <c r="I397" s="31"/>
      <c r="J397" s="31"/>
      <c r="K397" s="31"/>
      <c r="L397" s="31"/>
      <c r="M397" s="31"/>
      <c r="N397" s="31"/>
      <c r="O397" s="31"/>
    </row>
    <row r="398" ht="15.75" customHeight="1">
      <c r="B398" s="31"/>
      <c r="C398" s="31"/>
      <c r="D398" s="31"/>
      <c r="E398" s="31"/>
      <c r="F398" s="31"/>
      <c r="G398" s="31"/>
      <c r="H398" s="31"/>
      <c r="I398" s="31"/>
      <c r="J398" s="31"/>
      <c r="K398" s="31"/>
      <c r="L398" s="31"/>
      <c r="M398" s="31"/>
      <c r="N398" s="31"/>
      <c r="O398" s="31"/>
    </row>
    <row r="399" ht="15.75" customHeight="1">
      <c r="B399" s="31"/>
      <c r="C399" s="31"/>
      <c r="D399" s="31"/>
      <c r="E399" s="31"/>
      <c r="F399" s="31"/>
      <c r="G399" s="31"/>
      <c r="H399" s="31"/>
      <c r="I399" s="31"/>
      <c r="J399" s="31"/>
      <c r="K399" s="31"/>
      <c r="L399" s="31"/>
      <c r="M399" s="31"/>
      <c r="N399" s="31"/>
      <c r="O399" s="31"/>
    </row>
    <row r="400" ht="15.75" customHeight="1">
      <c r="B400" s="31"/>
      <c r="C400" s="31"/>
      <c r="D400" s="31"/>
      <c r="E400" s="31"/>
      <c r="F400" s="31"/>
      <c r="G400" s="31"/>
      <c r="H400" s="31"/>
      <c r="I400" s="31"/>
      <c r="J400" s="31"/>
      <c r="K400" s="31"/>
      <c r="L400" s="31"/>
      <c r="M400" s="31"/>
      <c r="N400" s="31"/>
      <c r="O400" s="31"/>
    </row>
    <row r="401" ht="15.75" customHeight="1">
      <c r="B401" s="31"/>
      <c r="C401" s="31"/>
      <c r="D401" s="31"/>
      <c r="E401" s="31"/>
      <c r="F401" s="31"/>
      <c r="G401" s="31"/>
      <c r="H401" s="31"/>
      <c r="I401" s="31"/>
      <c r="J401" s="31"/>
      <c r="K401" s="31"/>
      <c r="L401" s="31"/>
      <c r="M401" s="31"/>
      <c r="N401" s="31"/>
      <c r="O401" s="31"/>
    </row>
    <row r="402" ht="15.75" customHeight="1">
      <c r="B402" s="31"/>
      <c r="C402" s="31"/>
      <c r="D402" s="31"/>
      <c r="E402" s="31"/>
      <c r="F402" s="31"/>
      <c r="G402" s="31"/>
      <c r="H402" s="31"/>
      <c r="I402" s="31"/>
      <c r="J402" s="31"/>
      <c r="K402" s="31"/>
      <c r="L402" s="31"/>
      <c r="M402" s="31"/>
      <c r="N402" s="31"/>
      <c r="O402" s="31"/>
    </row>
    <row r="403" ht="15.75" customHeight="1">
      <c r="B403" s="31"/>
      <c r="C403" s="31"/>
      <c r="D403" s="31"/>
      <c r="E403" s="31"/>
      <c r="F403" s="31"/>
      <c r="G403" s="31"/>
      <c r="H403" s="31"/>
      <c r="I403" s="31"/>
      <c r="J403" s="31"/>
      <c r="K403" s="31"/>
      <c r="L403" s="31"/>
      <c r="M403" s="31"/>
      <c r="N403" s="31"/>
      <c r="O403" s="31"/>
    </row>
    <row r="404" ht="15.75" customHeight="1">
      <c r="B404" s="31"/>
      <c r="C404" s="31"/>
      <c r="D404" s="31"/>
      <c r="E404" s="31"/>
      <c r="F404" s="31"/>
      <c r="G404" s="31"/>
      <c r="H404" s="31"/>
      <c r="I404" s="31"/>
      <c r="J404" s="31"/>
      <c r="K404" s="31"/>
      <c r="L404" s="31"/>
      <c r="M404" s="31"/>
      <c r="N404" s="31"/>
      <c r="O404" s="31"/>
    </row>
    <row r="405" ht="15.75" customHeight="1">
      <c r="B405" s="31"/>
      <c r="C405" s="31"/>
      <c r="D405" s="31"/>
      <c r="E405" s="31"/>
      <c r="F405" s="31"/>
      <c r="G405" s="31"/>
      <c r="H405" s="31"/>
      <c r="I405" s="31"/>
      <c r="J405" s="31"/>
      <c r="K405" s="31"/>
      <c r="L405" s="31"/>
      <c r="M405" s="31"/>
      <c r="N405" s="31"/>
      <c r="O405" s="31"/>
    </row>
    <row r="406" ht="15.75" customHeight="1">
      <c r="B406" s="31"/>
      <c r="C406" s="31"/>
      <c r="D406" s="31"/>
      <c r="E406" s="31"/>
      <c r="F406" s="31"/>
      <c r="G406" s="31"/>
      <c r="H406" s="31"/>
      <c r="I406" s="31"/>
      <c r="J406" s="31"/>
      <c r="K406" s="31"/>
      <c r="L406" s="31"/>
      <c r="M406" s="31"/>
      <c r="N406" s="31"/>
      <c r="O406" s="31"/>
    </row>
    <row r="407" ht="15.75" customHeight="1">
      <c r="B407" s="31"/>
      <c r="C407" s="31"/>
      <c r="D407" s="31"/>
      <c r="E407" s="31"/>
      <c r="F407" s="31"/>
      <c r="G407" s="31"/>
      <c r="H407" s="31"/>
      <c r="I407" s="31"/>
      <c r="J407" s="31"/>
      <c r="K407" s="31"/>
      <c r="L407" s="31"/>
      <c r="M407" s="31"/>
      <c r="N407" s="31"/>
      <c r="O407" s="31"/>
    </row>
    <row r="408" ht="15.75" customHeight="1">
      <c r="B408" s="31"/>
      <c r="C408" s="31"/>
      <c r="D408" s="31"/>
      <c r="E408" s="31"/>
      <c r="F408" s="31"/>
      <c r="G408" s="31"/>
      <c r="H408" s="31"/>
      <c r="I408" s="31"/>
      <c r="J408" s="31"/>
      <c r="K408" s="31"/>
      <c r="L408" s="31"/>
      <c r="M408" s="31"/>
      <c r="N408" s="31"/>
      <c r="O408" s="31"/>
    </row>
    <row r="409" ht="15.75" customHeight="1">
      <c r="B409" s="31"/>
      <c r="C409" s="31"/>
      <c r="D409" s="31"/>
      <c r="E409" s="31"/>
      <c r="F409" s="31"/>
      <c r="G409" s="31"/>
      <c r="H409" s="31"/>
      <c r="I409" s="31"/>
      <c r="J409" s="31"/>
      <c r="K409" s="31"/>
      <c r="L409" s="31"/>
      <c r="M409" s="31"/>
      <c r="N409" s="31"/>
      <c r="O409" s="31"/>
    </row>
    <row r="410" ht="15.75" customHeight="1">
      <c r="B410" s="31"/>
      <c r="C410" s="31"/>
      <c r="D410" s="31"/>
      <c r="E410" s="31"/>
      <c r="F410" s="31"/>
      <c r="G410" s="31"/>
      <c r="H410" s="31"/>
      <c r="I410" s="31"/>
      <c r="J410" s="31"/>
      <c r="K410" s="31"/>
      <c r="L410" s="31"/>
      <c r="M410" s="31"/>
      <c r="N410" s="31"/>
      <c r="O410" s="31"/>
    </row>
    <row r="411" ht="15.75" customHeight="1">
      <c r="B411" s="31"/>
      <c r="C411" s="31"/>
      <c r="D411" s="31"/>
      <c r="E411" s="31"/>
      <c r="F411" s="31"/>
      <c r="G411" s="31"/>
      <c r="H411" s="31"/>
      <c r="I411" s="31"/>
      <c r="J411" s="31"/>
      <c r="K411" s="31"/>
      <c r="L411" s="31"/>
      <c r="M411" s="31"/>
      <c r="N411" s="31"/>
      <c r="O411" s="31"/>
    </row>
    <row r="412" ht="15.75" customHeight="1">
      <c r="B412" s="31"/>
      <c r="C412" s="31"/>
      <c r="D412" s="31"/>
      <c r="E412" s="31"/>
      <c r="F412" s="31"/>
      <c r="G412" s="31"/>
      <c r="H412" s="31"/>
      <c r="I412" s="31"/>
      <c r="J412" s="31"/>
      <c r="K412" s="31"/>
      <c r="L412" s="31"/>
      <c r="M412" s="31"/>
      <c r="N412" s="31"/>
      <c r="O412" s="31"/>
    </row>
    <row r="413" ht="15.75" customHeight="1">
      <c r="B413" s="31"/>
      <c r="C413" s="31"/>
      <c r="D413" s="31"/>
      <c r="E413" s="31"/>
      <c r="F413" s="31"/>
      <c r="G413" s="31"/>
      <c r="H413" s="31"/>
      <c r="I413" s="31"/>
      <c r="J413" s="31"/>
      <c r="K413" s="31"/>
      <c r="L413" s="31"/>
      <c r="M413" s="31"/>
      <c r="N413" s="31"/>
      <c r="O413" s="31"/>
    </row>
    <row r="414" ht="15.75" customHeight="1">
      <c r="B414" s="31"/>
      <c r="C414" s="31"/>
      <c r="D414" s="31"/>
      <c r="E414" s="31"/>
      <c r="F414" s="31"/>
      <c r="G414" s="31"/>
      <c r="H414" s="31"/>
      <c r="I414" s="31"/>
      <c r="J414" s="31"/>
      <c r="K414" s="31"/>
      <c r="L414" s="31"/>
      <c r="M414" s="31"/>
      <c r="N414" s="31"/>
      <c r="O414" s="31"/>
    </row>
    <row r="415" ht="15.75" customHeight="1">
      <c r="B415" s="31"/>
      <c r="C415" s="31"/>
      <c r="D415" s="31"/>
      <c r="E415" s="31"/>
      <c r="F415" s="31"/>
      <c r="G415" s="31"/>
      <c r="H415" s="31"/>
      <c r="I415" s="31"/>
      <c r="J415" s="31"/>
      <c r="K415" s="31"/>
      <c r="L415" s="31"/>
      <c r="M415" s="31"/>
      <c r="N415" s="31"/>
      <c r="O415" s="31"/>
    </row>
    <row r="416" ht="15.75" customHeight="1">
      <c r="B416" s="31"/>
      <c r="C416" s="31"/>
      <c r="D416" s="31"/>
      <c r="E416" s="31"/>
      <c r="F416" s="31"/>
      <c r="G416" s="31"/>
      <c r="H416" s="31"/>
      <c r="I416" s="31"/>
      <c r="J416" s="31"/>
      <c r="K416" s="31"/>
      <c r="L416" s="31"/>
      <c r="M416" s="31"/>
      <c r="N416" s="31"/>
      <c r="O416" s="31"/>
    </row>
    <row r="417" ht="15.75" customHeight="1">
      <c r="B417" s="31"/>
      <c r="C417" s="31"/>
      <c r="D417" s="31"/>
      <c r="E417" s="31"/>
      <c r="F417" s="31"/>
      <c r="G417" s="31"/>
      <c r="H417" s="31"/>
      <c r="I417" s="31"/>
      <c r="J417" s="31"/>
      <c r="K417" s="31"/>
      <c r="L417" s="31"/>
      <c r="M417" s="31"/>
      <c r="N417" s="31"/>
      <c r="O417" s="31"/>
    </row>
    <row r="418" ht="15.75" customHeight="1">
      <c r="B418" s="31"/>
      <c r="C418" s="31"/>
      <c r="D418" s="31"/>
      <c r="E418" s="31"/>
      <c r="F418" s="31"/>
      <c r="G418" s="31"/>
      <c r="H418" s="31"/>
      <c r="I418" s="31"/>
      <c r="J418" s="31"/>
      <c r="K418" s="31"/>
      <c r="L418" s="31"/>
      <c r="M418" s="31"/>
      <c r="N418" s="31"/>
      <c r="O418" s="31"/>
    </row>
    <row r="419" ht="15.75" customHeight="1">
      <c r="B419" s="31"/>
      <c r="C419" s="31"/>
      <c r="D419" s="31"/>
      <c r="E419" s="31"/>
      <c r="F419" s="31"/>
      <c r="G419" s="31"/>
      <c r="H419" s="31"/>
      <c r="I419" s="31"/>
      <c r="J419" s="31"/>
      <c r="K419" s="31"/>
      <c r="L419" s="31"/>
      <c r="M419" s="31"/>
      <c r="N419" s="31"/>
      <c r="O419" s="31"/>
    </row>
    <row r="420" ht="15.75" customHeight="1">
      <c r="B420" s="31"/>
      <c r="C420" s="31"/>
      <c r="D420" s="31"/>
      <c r="E420" s="31"/>
      <c r="F420" s="31"/>
      <c r="G420" s="31"/>
      <c r="H420" s="31"/>
      <c r="I420" s="31"/>
      <c r="J420" s="31"/>
      <c r="K420" s="31"/>
      <c r="L420" s="31"/>
      <c r="M420" s="31"/>
      <c r="N420" s="31"/>
      <c r="O420" s="31"/>
    </row>
    <row r="421" ht="15.75" customHeight="1">
      <c r="B421" s="31"/>
      <c r="C421" s="31"/>
      <c r="D421" s="31"/>
      <c r="E421" s="31"/>
      <c r="F421" s="31"/>
      <c r="G421" s="31"/>
      <c r="H421" s="31"/>
      <c r="I421" s="31"/>
      <c r="J421" s="31"/>
      <c r="K421" s="31"/>
      <c r="L421" s="31"/>
      <c r="M421" s="31"/>
      <c r="N421" s="31"/>
      <c r="O421" s="31"/>
    </row>
    <row r="422" ht="15.75" customHeight="1">
      <c r="B422" s="31"/>
      <c r="C422" s="31"/>
      <c r="D422" s="31"/>
      <c r="E422" s="31"/>
      <c r="F422" s="31"/>
      <c r="G422" s="31"/>
      <c r="H422" s="31"/>
      <c r="I422" s="31"/>
      <c r="J422" s="31"/>
      <c r="K422" s="31"/>
      <c r="L422" s="31"/>
      <c r="M422" s="31"/>
      <c r="N422" s="31"/>
      <c r="O422" s="31"/>
    </row>
    <row r="423" ht="15.75" customHeight="1">
      <c r="B423" s="31"/>
      <c r="C423" s="31"/>
      <c r="D423" s="31"/>
      <c r="E423" s="31"/>
      <c r="F423" s="31"/>
      <c r="G423" s="31"/>
      <c r="H423" s="31"/>
      <c r="I423" s="31"/>
      <c r="J423" s="31"/>
      <c r="K423" s="31"/>
      <c r="L423" s="31"/>
      <c r="M423" s="31"/>
      <c r="N423" s="31"/>
      <c r="O423" s="31"/>
    </row>
    <row r="424" ht="15.75" customHeight="1">
      <c r="B424" s="31"/>
      <c r="C424" s="31"/>
      <c r="D424" s="31"/>
      <c r="E424" s="31"/>
      <c r="F424" s="31"/>
      <c r="G424" s="31"/>
      <c r="H424" s="31"/>
      <c r="I424" s="31"/>
      <c r="J424" s="31"/>
      <c r="K424" s="31"/>
      <c r="L424" s="31"/>
      <c r="M424" s="31"/>
      <c r="N424" s="31"/>
      <c r="O424" s="31"/>
    </row>
    <row r="425" ht="15.75" customHeight="1">
      <c r="B425" s="31"/>
      <c r="C425" s="31"/>
      <c r="D425" s="31"/>
      <c r="E425" s="31"/>
      <c r="F425" s="31"/>
      <c r="G425" s="31"/>
      <c r="H425" s="31"/>
      <c r="I425" s="31"/>
      <c r="J425" s="31"/>
      <c r="K425" s="31"/>
      <c r="L425" s="31"/>
      <c r="M425" s="31"/>
      <c r="N425" s="31"/>
      <c r="O425" s="31"/>
    </row>
    <row r="426" ht="15.75" customHeight="1">
      <c r="B426" s="31"/>
      <c r="C426" s="31"/>
      <c r="D426" s="31"/>
      <c r="E426" s="31"/>
      <c r="F426" s="31"/>
      <c r="G426" s="31"/>
      <c r="H426" s="31"/>
      <c r="I426" s="31"/>
      <c r="J426" s="31"/>
      <c r="K426" s="31"/>
      <c r="L426" s="31"/>
      <c r="M426" s="31"/>
      <c r="N426" s="31"/>
      <c r="O426" s="31"/>
    </row>
    <row r="427" ht="15.75" customHeight="1">
      <c r="B427" s="31"/>
      <c r="C427" s="31"/>
      <c r="D427" s="31"/>
      <c r="E427" s="31"/>
      <c r="F427" s="31"/>
      <c r="G427" s="31"/>
      <c r="H427" s="31"/>
      <c r="I427" s="31"/>
      <c r="J427" s="31"/>
      <c r="K427" s="31"/>
      <c r="L427" s="31"/>
      <c r="M427" s="31"/>
      <c r="N427" s="31"/>
      <c r="O427" s="31"/>
    </row>
    <row r="428" ht="15.75" customHeight="1">
      <c r="B428" s="31"/>
      <c r="C428" s="31"/>
      <c r="D428" s="31"/>
      <c r="E428" s="31"/>
      <c r="F428" s="31"/>
      <c r="G428" s="31"/>
      <c r="H428" s="31"/>
      <c r="I428" s="31"/>
      <c r="J428" s="31"/>
      <c r="K428" s="31"/>
      <c r="L428" s="31"/>
      <c r="M428" s="31"/>
      <c r="N428" s="31"/>
      <c r="O428" s="31"/>
    </row>
    <row r="429" ht="15.75" customHeight="1">
      <c r="B429" s="31"/>
      <c r="C429" s="31"/>
      <c r="D429" s="31"/>
      <c r="E429" s="31"/>
      <c r="F429" s="31"/>
      <c r="G429" s="31"/>
      <c r="H429" s="31"/>
      <c r="I429" s="31"/>
      <c r="J429" s="31"/>
      <c r="K429" s="31"/>
      <c r="L429" s="31"/>
      <c r="M429" s="31"/>
      <c r="N429" s="31"/>
      <c r="O429" s="31"/>
    </row>
    <row r="430" ht="15.75" customHeight="1">
      <c r="B430" s="31"/>
      <c r="C430" s="31"/>
      <c r="D430" s="31"/>
      <c r="E430" s="31"/>
      <c r="F430" s="31"/>
      <c r="G430" s="31"/>
      <c r="H430" s="31"/>
      <c r="I430" s="31"/>
      <c r="J430" s="31"/>
      <c r="K430" s="31"/>
      <c r="L430" s="31"/>
      <c r="M430" s="31"/>
      <c r="N430" s="31"/>
      <c r="O430" s="31"/>
    </row>
    <row r="431" ht="15.75" customHeight="1">
      <c r="B431" s="31"/>
      <c r="C431" s="31"/>
      <c r="D431" s="31"/>
      <c r="E431" s="31"/>
      <c r="F431" s="31"/>
      <c r="G431" s="31"/>
      <c r="H431" s="31"/>
      <c r="I431" s="31"/>
      <c r="J431" s="31"/>
      <c r="K431" s="31"/>
      <c r="L431" s="31"/>
      <c r="M431" s="31"/>
      <c r="N431" s="31"/>
      <c r="O431" s="31"/>
    </row>
    <row r="432" ht="15.75" customHeight="1">
      <c r="B432" s="31"/>
      <c r="C432" s="31"/>
      <c r="D432" s="31"/>
      <c r="E432" s="31"/>
      <c r="F432" s="31"/>
      <c r="G432" s="31"/>
      <c r="H432" s="31"/>
      <c r="I432" s="31"/>
      <c r="J432" s="31"/>
      <c r="K432" s="31"/>
      <c r="L432" s="31"/>
      <c r="M432" s="31"/>
      <c r="N432" s="31"/>
      <c r="O432" s="31"/>
    </row>
    <row r="433" ht="15.75" customHeight="1">
      <c r="B433" s="31"/>
      <c r="C433" s="31"/>
      <c r="D433" s="31"/>
      <c r="E433" s="31"/>
      <c r="F433" s="31"/>
      <c r="G433" s="31"/>
      <c r="H433" s="31"/>
      <c r="I433" s="31"/>
      <c r="J433" s="31"/>
      <c r="K433" s="31"/>
      <c r="L433" s="31"/>
      <c r="M433" s="31"/>
      <c r="N433" s="31"/>
      <c r="O433" s="31"/>
    </row>
    <row r="434" ht="15.75" customHeight="1">
      <c r="B434" s="31"/>
      <c r="C434" s="31"/>
      <c r="D434" s="31"/>
      <c r="E434" s="31"/>
      <c r="F434" s="31"/>
      <c r="G434" s="31"/>
      <c r="H434" s="31"/>
      <c r="I434" s="31"/>
      <c r="J434" s="31"/>
      <c r="K434" s="31"/>
      <c r="L434" s="31"/>
      <c r="M434" s="31"/>
      <c r="N434" s="31"/>
      <c r="O434" s="31"/>
    </row>
    <row r="435" ht="15.75" customHeight="1">
      <c r="B435" s="31"/>
      <c r="C435" s="31"/>
      <c r="D435" s="31"/>
      <c r="E435" s="31"/>
      <c r="F435" s="31"/>
      <c r="G435" s="31"/>
      <c r="H435" s="31"/>
      <c r="I435" s="31"/>
      <c r="J435" s="31"/>
      <c r="K435" s="31"/>
      <c r="L435" s="31"/>
      <c r="M435" s="31"/>
      <c r="N435" s="31"/>
      <c r="O435" s="31"/>
    </row>
    <row r="436" ht="15.75" customHeight="1">
      <c r="B436" s="31"/>
      <c r="C436" s="31"/>
      <c r="D436" s="31"/>
      <c r="E436" s="31"/>
      <c r="F436" s="31"/>
      <c r="G436" s="31"/>
      <c r="H436" s="31"/>
      <c r="I436" s="31"/>
      <c r="J436" s="31"/>
      <c r="K436" s="31"/>
      <c r="L436" s="31"/>
      <c r="M436" s="31"/>
      <c r="N436" s="31"/>
      <c r="O436" s="31"/>
    </row>
    <row r="437" ht="15.75" customHeight="1">
      <c r="B437" s="31"/>
      <c r="C437" s="31"/>
      <c r="D437" s="31"/>
      <c r="E437" s="31"/>
      <c r="F437" s="31"/>
      <c r="G437" s="31"/>
      <c r="H437" s="31"/>
      <c r="I437" s="31"/>
      <c r="J437" s="31"/>
      <c r="K437" s="31"/>
      <c r="L437" s="31"/>
      <c r="M437" s="31"/>
      <c r="N437" s="31"/>
      <c r="O437" s="31"/>
    </row>
    <row r="438" ht="15.75" customHeight="1">
      <c r="B438" s="31"/>
      <c r="C438" s="31"/>
      <c r="D438" s="31"/>
      <c r="E438" s="31"/>
      <c r="F438" s="31"/>
      <c r="G438" s="31"/>
      <c r="H438" s="31"/>
      <c r="I438" s="31"/>
      <c r="J438" s="31"/>
      <c r="K438" s="31"/>
      <c r="L438" s="31"/>
      <c r="M438" s="31"/>
      <c r="N438" s="31"/>
      <c r="O438" s="31"/>
    </row>
    <row r="439" ht="15.75" customHeight="1">
      <c r="B439" s="31"/>
      <c r="C439" s="31"/>
      <c r="D439" s="31"/>
      <c r="E439" s="31"/>
      <c r="F439" s="31"/>
      <c r="G439" s="31"/>
      <c r="H439" s="31"/>
      <c r="I439" s="31"/>
      <c r="J439" s="31"/>
      <c r="K439" s="31"/>
      <c r="L439" s="31"/>
      <c r="M439" s="31"/>
      <c r="N439" s="31"/>
      <c r="O439" s="31"/>
    </row>
    <row r="440" ht="15.75" customHeight="1">
      <c r="B440" s="31"/>
      <c r="C440" s="31"/>
      <c r="D440" s="31"/>
      <c r="E440" s="31"/>
      <c r="F440" s="31"/>
      <c r="G440" s="31"/>
      <c r="H440" s="31"/>
      <c r="I440" s="31"/>
      <c r="J440" s="31"/>
      <c r="K440" s="31"/>
      <c r="L440" s="31"/>
      <c r="M440" s="31"/>
      <c r="N440" s="31"/>
      <c r="O440" s="31"/>
    </row>
    <row r="441" ht="15.75" customHeight="1">
      <c r="B441" s="31"/>
      <c r="C441" s="31"/>
      <c r="D441" s="31"/>
      <c r="E441" s="31"/>
      <c r="F441" s="31"/>
      <c r="G441" s="31"/>
      <c r="H441" s="31"/>
      <c r="I441" s="31"/>
      <c r="J441" s="31"/>
      <c r="K441" s="31"/>
      <c r="L441" s="31"/>
      <c r="M441" s="31"/>
      <c r="N441" s="31"/>
      <c r="O441" s="31"/>
    </row>
    <row r="442" ht="15.75" customHeight="1">
      <c r="B442" s="31"/>
      <c r="C442" s="31"/>
      <c r="D442" s="31"/>
      <c r="E442" s="31"/>
      <c r="F442" s="31"/>
      <c r="G442" s="31"/>
      <c r="H442" s="31"/>
      <c r="I442" s="31"/>
      <c r="J442" s="31"/>
      <c r="K442" s="31"/>
      <c r="L442" s="31"/>
      <c r="M442" s="31"/>
      <c r="N442" s="31"/>
      <c r="O442" s="31"/>
    </row>
    <row r="443" ht="15.75" customHeight="1">
      <c r="B443" s="31"/>
      <c r="C443" s="31"/>
      <c r="D443" s="31"/>
      <c r="E443" s="31"/>
      <c r="F443" s="31"/>
      <c r="G443" s="31"/>
      <c r="H443" s="31"/>
      <c r="I443" s="31"/>
      <c r="J443" s="31"/>
      <c r="K443" s="31"/>
      <c r="L443" s="31"/>
      <c r="M443" s="31"/>
      <c r="N443" s="31"/>
      <c r="O443" s="31"/>
    </row>
    <row r="444" ht="15.75" customHeight="1">
      <c r="B444" s="31"/>
      <c r="C444" s="31"/>
      <c r="D444" s="31"/>
      <c r="E444" s="31"/>
      <c r="F444" s="31"/>
      <c r="G444" s="31"/>
      <c r="H444" s="31"/>
      <c r="I444" s="31"/>
      <c r="J444" s="31"/>
      <c r="K444" s="31"/>
      <c r="L444" s="31"/>
      <c r="M444" s="31"/>
      <c r="N444" s="31"/>
      <c r="O444" s="31"/>
    </row>
    <row r="445" ht="15.75" customHeight="1">
      <c r="B445" s="31"/>
      <c r="C445" s="31"/>
      <c r="D445" s="31"/>
      <c r="E445" s="31"/>
      <c r="F445" s="31"/>
      <c r="G445" s="31"/>
      <c r="H445" s="31"/>
      <c r="I445" s="31"/>
      <c r="J445" s="31"/>
      <c r="K445" s="31"/>
      <c r="L445" s="31"/>
      <c r="M445" s="31"/>
      <c r="N445" s="31"/>
      <c r="O445" s="31"/>
    </row>
    <row r="446" ht="15.75" customHeight="1">
      <c r="B446" s="31"/>
      <c r="C446" s="31"/>
      <c r="D446" s="31"/>
      <c r="E446" s="31"/>
      <c r="F446" s="31"/>
      <c r="G446" s="31"/>
      <c r="H446" s="31"/>
      <c r="I446" s="31"/>
      <c r="J446" s="31"/>
      <c r="K446" s="31"/>
      <c r="L446" s="31"/>
      <c r="M446" s="31"/>
      <c r="N446" s="31"/>
      <c r="O446" s="31"/>
    </row>
    <row r="447" ht="15.75" customHeight="1">
      <c r="B447" s="31"/>
      <c r="C447" s="31"/>
      <c r="D447" s="31"/>
      <c r="E447" s="31"/>
      <c r="F447" s="31"/>
      <c r="G447" s="31"/>
      <c r="H447" s="31"/>
      <c r="I447" s="31"/>
      <c r="J447" s="31"/>
      <c r="K447" s="31"/>
      <c r="L447" s="31"/>
      <c r="M447" s="31"/>
      <c r="N447" s="31"/>
      <c r="O447" s="31"/>
    </row>
    <row r="448" ht="15.75" customHeight="1">
      <c r="B448" s="31"/>
      <c r="C448" s="31"/>
      <c r="D448" s="31"/>
      <c r="E448" s="31"/>
      <c r="F448" s="31"/>
      <c r="G448" s="31"/>
      <c r="H448" s="31"/>
      <c r="I448" s="31"/>
      <c r="J448" s="31"/>
      <c r="K448" s="31"/>
      <c r="L448" s="31"/>
      <c r="M448" s="31"/>
      <c r="N448" s="31"/>
      <c r="O448" s="31"/>
    </row>
    <row r="449" ht="15.75" customHeight="1">
      <c r="B449" s="31"/>
      <c r="C449" s="31"/>
      <c r="D449" s="31"/>
      <c r="E449" s="31"/>
      <c r="F449" s="31"/>
      <c r="G449" s="31"/>
      <c r="H449" s="31"/>
      <c r="I449" s="31"/>
      <c r="J449" s="31"/>
      <c r="K449" s="31"/>
      <c r="L449" s="31"/>
      <c r="M449" s="31"/>
      <c r="N449" s="31"/>
      <c r="O449" s="31"/>
    </row>
    <row r="450" ht="15.75" customHeight="1">
      <c r="B450" s="31"/>
      <c r="C450" s="31"/>
      <c r="D450" s="31"/>
      <c r="E450" s="31"/>
      <c r="F450" s="31"/>
      <c r="G450" s="31"/>
      <c r="H450" s="31"/>
      <c r="I450" s="31"/>
      <c r="J450" s="31"/>
      <c r="K450" s="31"/>
      <c r="L450" s="31"/>
      <c r="M450" s="31"/>
      <c r="N450" s="31"/>
      <c r="O450" s="31"/>
    </row>
    <row r="451" ht="15.75" customHeight="1">
      <c r="B451" s="31"/>
      <c r="C451" s="31"/>
      <c r="D451" s="31"/>
      <c r="E451" s="31"/>
      <c r="F451" s="31"/>
      <c r="G451" s="31"/>
      <c r="H451" s="31"/>
      <c r="I451" s="31"/>
      <c r="J451" s="31"/>
      <c r="K451" s="31"/>
      <c r="L451" s="31"/>
      <c r="M451" s="31"/>
      <c r="N451" s="31"/>
      <c r="O451" s="31"/>
    </row>
    <row r="452" ht="15.75" customHeight="1">
      <c r="B452" s="31"/>
      <c r="C452" s="31"/>
      <c r="D452" s="31"/>
      <c r="E452" s="31"/>
      <c r="F452" s="31"/>
      <c r="G452" s="31"/>
      <c r="H452" s="31"/>
      <c r="I452" s="31"/>
      <c r="J452" s="31"/>
      <c r="K452" s="31"/>
      <c r="L452" s="31"/>
      <c r="M452" s="31"/>
      <c r="N452" s="31"/>
      <c r="O452" s="31"/>
    </row>
    <row r="453" ht="15.75" customHeight="1">
      <c r="B453" s="31"/>
      <c r="C453" s="31"/>
      <c r="D453" s="31"/>
      <c r="E453" s="31"/>
      <c r="F453" s="31"/>
      <c r="G453" s="31"/>
      <c r="H453" s="31"/>
      <c r="I453" s="31"/>
      <c r="J453" s="31"/>
      <c r="K453" s="31"/>
      <c r="L453" s="31"/>
      <c r="M453" s="31"/>
      <c r="N453" s="31"/>
      <c r="O453" s="31"/>
    </row>
    <row r="454" ht="15.75" customHeight="1">
      <c r="B454" s="31"/>
      <c r="C454" s="31"/>
      <c r="D454" s="31"/>
      <c r="E454" s="31"/>
      <c r="F454" s="31"/>
      <c r="G454" s="31"/>
      <c r="H454" s="31"/>
      <c r="I454" s="31"/>
      <c r="J454" s="31"/>
      <c r="K454" s="31"/>
      <c r="L454" s="31"/>
      <c r="M454" s="31"/>
      <c r="N454" s="31"/>
      <c r="O454" s="31"/>
    </row>
    <row r="455" ht="15.75" customHeight="1">
      <c r="B455" s="31"/>
      <c r="C455" s="31"/>
      <c r="D455" s="31"/>
      <c r="E455" s="31"/>
      <c r="F455" s="31"/>
      <c r="G455" s="31"/>
      <c r="H455" s="31"/>
      <c r="I455" s="31"/>
      <c r="J455" s="31"/>
      <c r="K455" s="31"/>
      <c r="L455" s="31"/>
      <c r="M455" s="31"/>
      <c r="N455" s="31"/>
      <c r="O455" s="31"/>
    </row>
    <row r="456" ht="15.75" customHeight="1">
      <c r="B456" s="31"/>
      <c r="C456" s="31"/>
      <c r="D456" s="31"/>
      <c r="E456" s="31"/>
      <c r="F456" s="31"/>
      <c r="G456" s="31"/>
      <c r="H456" s="31"/>
      <c r="I456" s="31"/>
      <c r="J456" s="31"/>
      <c r="K456" s="31"/>
      <c r="L456" s="31"/>
      <c r="M456" s="31"/>
      <c r="N456" s="31"/>
      <c r="O456" s="31"/>
    </row>
    <row r="457" ht="15.75" customHeight="1">
      <c r="B457" s="31"/>
      <c r="C457" s="31"/>
      <c r="D457" s="31"/>
      <c r="E457" s="31"/>
      <c r="F457" s="31"/>
      <c r="G457" s="31"/>
      <c r="H457" s="31"/>
      <c r="I457" s="31"/>
      <c r="J457" s="31"/>
      <c r="K457" s="31"/>
      <c r="L457" s="31"/>
      <c r="M457" s="31"/>
      <c r="N457" s="31"/>
      <c r="O457" s="31"/>
    </row>
    <row r="458" ht="15.75" customHeight="1">
      <c r="B458" s="31"/>
      <c r="C458" s="31"/>
      <c r="D458" s="31"/>
      <c r="E458" s="31"/>
      <c r="F458" s="31"/>
      <c r="G458" s="31"/>
      <c r="H458" s="31"/>
      <c r="I458" s="31"/>
      <c r="J458" s="31"/>
      <c r="K458" s="31"/>
      <c r="L458" s="31"/>
      <c r="M458" s="31"/>
      <c r="N458" s="31"/>
      <c r="O458" s="31"/>
    </row>
    <row r="459" ht="15.75" customHeight="1">
      <c r="B459" s="31"/>
      <c r="C459" s="31"/>
      <c r="D459" s="31"/>
      <c r="E459" s="31"/>
      <c r="F459" s="31"/>
      <c r="G459" s="31"/>
      <c r="H459" s="31"/>
      <c r="I459" s="31"/>
      <c r="J459" s="31"/>
      <c r="K459" s="31"/>
      <c r="L459" s="31"/>
      <c r="M459" s="31"/>
      <c r="N459" s="31"/>
      <c r="O459" s="31"/>
    </row>
    <row r="460" ht="15.75" customHeight="1">
      <c r="B460" s="31"/>
      <c r="C460" s="31"/>
      <c r="D460" s="31"/>
      <c r="E460" s="31"/>
      <c r="F460" s="31"/>
      <c r="G460" s="31"/>
      <c r="H460" s="31"/>
      <c r="I460" s="31"/>
      <c r="J460" s="31"/>
      <c r="K460" s="31"/>
      <c r="L460" s="31"/>
      <c r="M460" s="31"/>
      <c r="N460" s="31"/>
      <c r="O460" s="31"/>
    </row>
    <row r="461" ht="15.75" customHeight="1">
      <c r="B461" s="31"/>
      <c r="C461" s="31"/>
      <c r="D461" s="31"/>
      <c r="E461" s="31"/>
      <c r="F461" s="31"/>
      <c r="G461" s="31"/>
      <c r="H461" s="31"/>
      <c r="I461" s="31"/>
      <c r="J461" s="31"/>
      <c r="K461" s="31"/>
      <c r="L461" s="31"/>
      <c r="M461" s="31"/>
      <c r="N461" s="31"/>
      <c r="O461" s="31"/>
    </row>
    <row r="462" ht="15.75" customHeight="1">
      <c r="B462" s="31"/>
      <c r="C462" s="31"/>
      <c r="D462" s="31"/>
      <c r="E462" s="31"/>
      <c r="F462" s="31"/>
      <c r="G462" s="31"/>
      <c r="H462" s="31"/>
      <c r="I462" s="31"/>
      <c r="J462" s="31"/>
      <c r="K462" s="31"/>
      <c r="L462" s="31"/>
      <c r="M462" s="31"/>
      <c r="N462" s="31"/>
      <c r="O462" s="31"/>
    </row>
    <row r="463" ht="15.75" customHeight="1">
      <c r="B463" s="31"/>
      <c r="C463" s="31"/>
      <c r="D463" s="31"/>
      <c r="E463" s="31"/>
      <c r="F463" s="31"/>
      <c r="G463" s="31"/>
      <c r="H463" s="31"/>
      <c r="I463" s="31"/>
      <c r="J463" s="31"/>
      <c r="K463" s="31"/>
      <c r="L463" s="31"/>
      <c r="M463" s="31"/>
      <c r="N463" s="31"/>
      <c r="O463" s="31"/>
    </row>
    <row r="464" ht="15.75" customHeight="1">
      <c r="B464" s="31"/>
      <c r="C464" s="31"/>
      <c r="D464" s="31"/>
      <c r="E464" s="31"/>
      <c r="F464" s="31"/>
      <c r="G464" s="31"/>
      <c r="H464" s="31"/>
      <c r="I464" s="31"/>
      <c r="J464" s="31"/>
      <c r="K464" s="31"/>
      <c r="L464" s="31"/>
      <c r="M464" s="31"/>
      <c r="N464" s="31"/>
      <c r="O464" s="31"/>
    </row>
    <row r="465" ht="15.75" customHeight="1">
      <c r="B465" s="31"/>
      <c r="C465" s="31"/>
      <c r="D465" s="31"/>
      <c r="E465" s="31"/>
      <c r="F465" s="31"/>
      <c r="G465" s="31"/>
      <c r="H465" s="31"/>
      <c r="I465" s="31"/>
      <c r="J465" s="31"/>
      <c r="K465" s="31"/>
      <c r="L465" s="31"/>
      <c r="M465" s="31"/>
      <c r="N465" s="31"/>
      <c r="O465" s="31"/>
    </row>
    <row r="466" ht="15.75" customHeight="1">
      <c r="B466" s="31"/>
      <c r="C466" s="31"/>
      <c r="D466" s="31"/>
      <c r="E466" s="31"/>
      <c r="F466" s="31"/>
      <c r="G466" s="31"/>
      <c r="H466" s="31"/>
      <c r="I466" s="31"/>
      <c r="J466" s="31"/>
      <c r="K466" s="31"/>
      <c r="L466" s="31"/>
      <c r="M466" s="31"/>
      <c r="N466" s="31"/>
      <c r="O466" s="31"/>
    </row>
    <row r="467" ht="15.75" customHeight="1">
      <c r="B467" s="31"/>
      <c r="C467" s="31"/>
      <c r="D467" s="31"/>
      <c r="E467" s="31"/>
      <c r="F467" s="31"/>
      <c r="G467" s="31"/>
      <c r="H467" s="31"/>
      <c r="I467" s="31"/>
      <c r="J467" s="31"/>
      <c r="K467" s="31"/>
      <c r="L467" s="31"/>
      <c r="M467" s="31"/>
      <c r="N467" s="31"/>
      <c r="O467" s="31"/>
    </row>
    <row r="468" ht="15.75" customHeight="1">
      <c r="B468" s="31"/>
      <c r="C468" s="31"/>
      <c r="D468" s="31"/>
      <c r="E468" s="31"/>
      <c r="F468" s="31"/>
      <c r="G468" s="31"/>
      <c r="H468" s="31"/>
      <c r="I468" s="31"/>
      <c r="J468" s="31"/>
      <c r="K468" s="31"/>
      <c r="L468" s="31"/>
      <c r="M468" s="31"/>
      <c r="N468" s="31"/>
      <c r="O468" s="31"/>
    </row>
    <row r="469" ht="15.75" customHeight="1">
      <c r="B469" s="31"/>
      <c r="C469" s="31"/>
      <c r="D469" s="31"/>
      <c r="E469" s="31"/>
      <c r="F469" s="31"/>
      <c r="G469" s="31"/>
      <c r="H469" s="31"/>
      <c r="I469" s="31"/>
      <c r="J469" s="31"/>
      <c r="K469" s="31"/>
      <c r="L469" s="31"/>
      <c r="M469" s="31"/>
      <c r="N469" s="31"/>
      <c r="O469" s="31"/>
    </row>
    <row r="470" ht="15.75" customHeight="1">
      <c r="B470" s="31"/>
      <c r="C470" s="31"/>
      <c r="D470" s="31"/>
      <c r="E470" s="31"/>
      <c r="F470" s="31"/>
      <c r="G470" s="31"/>
      <c r="H470" s="31"/>
      <c r="I470" s="31"/>
      <c r="J470" s="31"/>
      <c r="K470" s="31"/>
      <c r="L470" s="31"/>
      <c r="M470" s="31"/>
      <c r="N470" s="31"/>
      <c r="O470" s="31"/>
    </row>
    <row r="471" ht="15.75" customHeight="1">
      <c r="B471" s="31"/>
      <c r="C471" s="31"/>
      <c r="D471" s="31"/>
      <c r="E471" s="31"/>
      <c r="F471" s="31"/>
      <c r="G471" s="31"/>
      <c r="H471" s="31"/>
      <c r="I471" s="31"/>
      <c r="J471" s="31"/>
      <c r="K471" s="31"/>
      <c r="L471" s="31"/>
      <c r="M471" s="31"/>
      <c r="N471" s="31"/>
      <c r="O471" s="31"/>
    </row>
    <row r="472" ht="15.75" customHeight="1">
      <c r="B472" s="31"/>
      <c r="C472" s="31"/>
      <c r="D472" s="31"/>
      <c r="E472" s="31"/>
      <c r="F472" s="31"/>
      <c r="G472" s="31"/>
      <c r="H472" s="31"/>
      <c r="I472" s="31"/>
      <c r="J472" s="31"/>
      <c r="K472" s="31"/>
      <c r="L472" s="31"/>
      <c r="M472" s="31"/>
      <c r="N472" s="31"/>
      <c r="O472" s="31"/>
    </row>
    <row r="473" ht="15.75" customHeight="1">
      <c r="B473" s="31"/>
      <c r="C473" s="31"/>
      <c r="D473" s="31"/>
      <c r="E473" s="31"/>
      <c r="F473" s="31"/>
      <c r="G473" s="31"/>
      <c r="H473" s="31"/>
      <c r="I473" s="31"/>
      <c r="J473" s="31"/>
      <c r="K473" s="31"/>
      <c r="L473" s="31"/>
      <c r="M473" s="31"/>
      <c r="N473" s="31"/>
      <c r="O473" s="31"/>
    </row>
    <row r="474" ht="15.75" customHeight="1">
      <c r="B474" s="31"/>
      <c r="C474" s="31"/>
      <c r="D474" s="31"/>
      <c r="E474" s="31"/>
      <c r="F474" s="31"/>
      <c r="G474" s="31"/>
      <c r="H474" s="31"/>
      <c r="I474" s="31"/>
      <c r="J474" s="31"/>
      <c r="K474" s="31"/>
      <c r="L474" s="31"/>
      <c r="M474" s="31"/>
      <c r="N474" s="31"/>
      <c r="O474" s="31"/>
    </row>
    <row r="475" ht="15.75" customHeight="1">
      <c r="B475" s="31"/>
      <c r="C475" s="31"/>
      <c r="D475" s="31"/>
      <c r="E475" s="31"/>
      <c r="F475" s="31"/>
      <c r="G475" s="31"/>
      <c r="H475" s="31"/>
      <c r="I475" s="31"/>
      <c r="J475" s="31"/>
      <c r="K475" s="31"/>
      <c r="L475" s="31"/>
      <c r="M475" s="31"/>
      <c r="N475" s="31"/>
      <c r="O475" s="31"/>
    </row>
    <row r="476" ht="15.75" customHeight="1">
      <c r="B476" s="31"/>
      <c r="C476" s="31"/>
      <c r="D476" s="31"/>
      <c r="E476" s="31"/>
      <c r="F476" s="31"/>
      <c r="G476" s="31"/>
      <c r="H476" s="31"/>
      <c r="I476" s="31"/>
      <c r="J476" s="31"/>
      <c r="K476" s="31"/>
      <c r="L476" s="31"/>
      <c r="M476" s="31"/>
      <c r="N476" s="31"/>
      <c r="O476" s="31"/>
    </row>
    <row r="477" ht="15.75" customHeight="1">
      <c r="B477" s="31"/>
      <c r="C477" s="31"/>
      <c r="D477" s="31"/>
      <c r="E477" s="31"/>
      <c r="F477" s="31"/>
      <c r="G477" s="31"/>
      <c r="H477" s="31"/>
      <c r="I477" s="31"/>
      <c r="J477" s="31"/>
      <c r="K477" s="31"/>
      <c r="L477" s="31"/>
      <c r="M477" s="31"/>
      <c r="N477" s="31"/>
      <c r="O477" s="31"/>
    </row>
    <row r="478" ht="15.75" customHeight="1">
      <c r="B478" s="31"/>
      <c r="C478" s="31"/>
      <c r="D478" s="31"/>
      <c r="E478" s="31"/>
      <c r="F478" s="31"/>
      <c r="G478" s="31"/>
      <c r="H478" s="31"/>
      <c r="I478" s="31"/>
      <c r="J478" s="31"/>
      <c r="K478" s="31"/>
      <c r="L478" s="31"/>
      <c r="M478" s="31"/>
      <c r="N478" s="31"/>
      <c r="O478" s="31"/>
    </row>
    <row r="479" ht="15.75" customHeight="1">
      <c r="B479" s="31"/>
      <c r="C479" s="31"/>
      <c r="D479" s="31"/>
      <c r="E479" s="31"/>
      <c r="F479" s="31"/>
      <c r="G479" s="31"/>
      <c r="H479" s="31"/>
      <c r="I479" s="31"/>
      <c r="J479" s="31"/>
      <c r="K479" s="31"/>
      <c r="L479" s="31"/>
      <c r="M479" s="31"/>
      <c r="N479" s="31"/>
      <c r="O479" s="31"/>
    </row>
    <row r="480" ht="15.75" customHeight="1">
      <c r="B480" s="31"/>
      <c r="C480" s="31"/>
      <c r="D480" s="31"/>
      <c r="E480" s="31"/>
      <c r="F480" s="31"/>
      <c r="G480" s="31"/>
      <c r="H480" s="31"/>
      <c r="I480" s="31"/>
      <c r="J480" s="31"/>
      <c r="K480" s="31"/>
      <c r="L480" s="31"/>
      <c r="M480" s="31"/>
      <c r="N480" s="31"/>
      <c r="O480" s="31"/>
    </row>
    <row r="481" ht="15.75" customHeight="1">
      <c r="B481" s="31"/>
      <c r="C481" s="31"/>
      <c r="D481" s="31"/>
      <c r="E481" s="31"/>
      <c r="F481" s="31"/>
      <c r="G481" s="31"/>
      <c r="H481" s="31"/>
      <c r="I481" s="31"/>
      <c r="J481" s="31"/>
      <c r="K481" s="31"/>
      <c r="L481" s="31"/>
      <c r="M481" s="31"/>
      <c r="N481" s="31"/>
      <c r="O481" s="31"/>
    </row>
    <row r="482" ht="15.75" customHeight="1">
      <c r="B482" s="31"/>
      <c r="C482" s="31"/>
      <c r="D482" s="31"/>
      <c r="E482" s="31"/>
      <c r="F482" s="31"/>
      <c r="G482" s="31"/>
      <c r="H482" s="31"/>
      <c r="I482" s="31"/>
      <c r="J482" s="31"/>
      <c r="K482" s="31"/>
      <c r="L482" s="31"/>
      <c r="M482" s="31"/>
      <c r="N482" s="31"/>
      <c r="O482" s="31"/>
    </row>
    <row r="483" ht="15.75" customHeight="1">
      <c r="B483" s="31"/>
      <c r="C483" s="31"/>
      <c r="D483" s="31"/>
      <c r="E483" s="31"/>
      <c r="F483" s="31"/>
      <c r="G483" s="31"/>
      <c r="H483" s="31"/>
      <c r="I483" s="31"/>
      <c r="J483" s="31"/>
      <c r="K483" s="31"/>
      <c r="L483" s="31"/>
      <c r="M483" s="31"/>
      <c r="N483" s="31"/>
      <c r="O483" s="31"/>
    </row>
    <row r="484" ht="15.75" customHeight="1">
      <c r="B484" s="31"/>
      <c r="C484" s="31"/>
      <c r="D484" s="31"/>
      <c r="E484" s="31"/>
      <c r="F484" s="31"/>
      <c r="G484" s="31"/>
      <c r="H484" s="31"/>
      <c r="I484" s="31"/>
      <c r="J484" s="31"/>
      <c r="K484" s="31"/>
      <c r="L484" s="31"/>
      <c r="M484" s="31"/>
      <c r="N484" s="31"/>
      <c r="O484" s="31"/>
    </row>
    <row r="485" ht="15.75" customHeight="1">
      <c r="B485" s="31"/>
      <c r="C485" s="31"/>
      <c r="D485" s="31"/>
      <c r="E485" s="31"/>
      <c r="F485" s="31"/>
      <c r="G485" s="31"/>
      <c r="H485" s="31"/>
      <c r="I485" s="31"/>
      <c r="J485" s="31"/>
      <c r="K485" s="31"/>
      <c r="L485" s="31"/>
      <c r="M485" s="31"/>
      <c r="N485" s="31"/>
      <c r="O485" s="31"/>
    </row>
    <row r="486" ht="15.75" customHeight="1">
      <c r="B486" s="31"/>
      <c r="C486" s="31"/>
      <c r="D486" s="31"/>
      <c r="E486" s="31"/>
      <c r="F486" s="31"/>
      <c r="G486" s="31"/>
      <c r="H486" s="31"/>
      <c r="I486" s="31"/>
      <c r="J486" s="31"/>
      <c r="K486" s="31"/>
      <c r="L486" s="31"/>
      <c r="M486" s="31"/>
      <c r="N486" s="31"/>
      <c r="O486" s="31"/>
    </row>
    <row r="487" ht="15.75" customHeight="1">
      <c r="B487" s="31"/>
      <c r="C487" s="31"/>
      <c r="D487" s="31"/>
      <c r="E487" s="31"/>
      <c r="F487" s="31"/>
      <c r="G487" s="31"/>
      <c r="H487" s="31"/>
      <c r="I487" s="31"/>
      <c r="J487" s="31"/>
      <c r="K487" s="31"/>
      <c r="L487" s="31"/>
      <c r="M487" s="31"/>
      <c r="N487" s="31"/>
      <c r="O487" s="31"/>
    </row>
    <row r="488" ht="15.75" customHeight="1">
      <c r="B488" s="31"/>
      <c r="C488" s="31"/>
      <c r="D488" s="31"/>
      <c r="E488" s="31"/>
      <c r="F488" s="31"/>
      <c r="G488" s="31"/>
      <c r="H488" s="31"/>
      <c r="I488" s="31"/>
      <c r="J488" s="31"/>
      <c r="K488" s="31"/>
      <c r="L488" s="31"/>
      <c r="M488" s="31"/>
      <c r="N488" s="31"/>
      <c r="O488" s="31"/>
    </row>
    <row r="489" ht="15.75" customHeight="1">
      <c r="B489" s="31"/>
      <c r="C489" s="31"/>
      <c r="D489" s="31"/>
      <c r="E489" s="31"/>
      <c r="F489" s="31"/>
      <c r="G489" s="31"/>
      <c r="H489" s="31"/>
      <c r="I489" s="31"/>
      <c r="J489" s="31"/>
      <c r="K489" s="31"/>
      <c r="L489" s="31"/>
      <c r="M489" s="31"/>
      <c r="N489" s="31"/>
      <c r="O489" s="31"/>
    </row>
    <row r="490" ht="15.75" customHeight="1">
      <c r="B490" s="31"/>
      <c r="C490" s="31"/>
      <c r="D490" s="31"/>
      <c r="E490" s="31"/>
      <c r="F490" s="31"/>
      <c r="G490" s="31"/>
      <c r="H490" s="31"/>
      <c r="I490" s="31"/>
      <c r="J490" s="31"/>
      <c r="K490" s="31"/>
      <c r="L490" s="31"/>
      <c r="M490" s="31"/>
      <c r="N490" s="31"/>
      <c r="O490" s="31"/>
    </row>
    <row r="491" ht="15.75" customHeight="1">
      <c r="B491" s="31"/>
      <c r="C491" s="31"/>
      <c r="D491" s="31"/>
      <c r="E491" s="31"/>
      <c r="F491" s="31"/>
      <c r="G491" s="31"/>
      <c r="H491" s="31"/>
      <c r="I491" s="31"/>
      <c r="J491" s="31"/>
      <c r="K491" s="31"/>
      <c r="L491" s="31"/>
      <c r="M491" s="31"/>
      <c r="N491" s="31"/>
      <c r="O491" s="31"/>
    </row>
    <row r="492" ht="15.75" customHeight="1">
      <c r="B492" s="31"/>
      <c r="C492" s="31"/>
      <c r="D492" s="31"/>
      <c r="E492" s="31"/>
      <c r="F492" s="31"/>
      <c r="G492" s="31"/>
      <c r="H492" s="31"/>
      <c r="I492" s="31"/>
      <c r="J492" s="31"/>
      <c r="K492" s="31"/>
      <c r="L492" s="31"/>
      <c r="M492" s="31"/>
      <c r="N492" s="31"/>
      <c r="O492" s="31"/>
    </row>
    <row r="493" ht="15.75" customHeight="1">
      <c r="B493" s="31"/>
      <c r="C493" s="31"/>
      <c r="D493" s="31"/>
      <c r="E493" s="31"/>
      <c r="F493" s="31"/>
      <c r="G493" s="31"/>
      <c r="H493" s="31"/>
      <c r="I493" s="31"/>
      <c r="J493" s="31"/>
      <c r="K493" s="31"/>
      <c r="L493" s="31"/>
      <c r="M493" s="31"/>
      <c r="N493" s="31"/>
      <c r="O493" s="31"/>
    </row>
    <row r="494" ht="15.75" customHeight="1">
      <c r="B494" s="31"/>
      <c r="C494" s="31"/>
      <c r="D494" s="31"/>
      <c r="E494" s="31"/>
      <c r="F494" s="31"/>
      <c r="G494" s="31"/>
      <c r="H494" s="31"/>
      <c r="I494" s="31"/>
      <c r="J494" s="31"/>
      <c r="K494" s="31"/>
      <c r="L494" s="31"/>
      <c r="M494" s="31"/>
      <c r="N494" s="31"/>
      <c r="O494" s="31"/>
    </row>
    <row r="495" ht="15.75" customHeight="1">
      <c r="B495" s="31"/>
      <c r="C495" s="31"/>
      <c r="D495" s="31"/>
      <c r="E495" s="31"/>
      <c r="F495" s="31"/>
      <c r="G495" s="31"/>
      <c r="H495" s="31"/>
      <c r="I495" s="31"/>
      <c r="J495" s="31"/>
      <c r="K495" s="31"/>
      <c r="L495" s="31"/>
      <c r="M495" s="31"/>
      <c r="N495" s="31"/>
      <c r="O495" s="31"/>
    </row>
    <row r="496" ht="15.75" customHeight="1">
      <c r="B496" s="31"/>
      <c r="C496" s="31"/>
      <c r="D496" s="31"/>
      <c r="E496" s="31"/>
      <c r="F496" s="31"/>
      <c r="G496" s="31"/>
      <c r="H496" s="31"/>
      <c r="I496" s="31"/>
      <c r="J496" s="31"/>
      <c r="K496" s="31"/>
      <c r="L496" s="31"/>
      <c r="M496" s="31"/>
      <c r="N496" s="31"/>
      <c r="O496" s="31"/>
    </row>
    <row r="497" ht="15.75" customHeight="1">
      <c r="B497" s="31"/>
      <c r="C497" s="31"/>
      <c r="D497" s="31"/>
      <c r="E497" s="31"/>
      <c r="F497" s="31"/>
      <c r="G497" s="31"/>
      <c r="H497" s="31"/>
      <c r="I497" s="31"/>
      <c r="J497" s="31"/>
      <c r="K497" s="31"/>
      <c r="L497" s="31"/>
      <c r="M497" s="31"/>
      <c r="N497" s="31"/>
      <c r="O497" s="31"/>
    </row>
    <row r="498" ht="15.75" customHeight="1">
      <c r="B498" s="31"/>
      <c r="C498" s="31"/>
      <c r="D498" s="31"/>
      <c r="E498" s="31"/>
      <c r="F498" s="31"/>
      <c r="G498" s="31"/>
      <c r="H498" s="31"/>
      <c r="I498" s="31"/>
      <c r="J498" s="31"/>
      <c r="K498" s="31"/>
      <c r="L498" s="31"/>
      <c r="M498" s="31"/>
      <c r="N498" s="31"/>
      <c r="O498" s="31"/>
    </row>
    <row r="499" ht="15.75" customHeight="1">
      <c r="B499" s="31"/>
      <c r="C499" s="31"/>
      <c r="D499" s="31"/>
      <c r="E499" s="31"/>
      <c r="F499" s="31"/>
      <c r="G499" s="31"/>
      <c r="H499" s="31"/>
      <c r="I499" s="31"/>
      <c r="J499" s="31"/>
      <c r="K499" s="31"/>
      <c r="L499" s="31"/>
      <c r="M499" s="31"/>
      <c r="N499" s="31"/>
      <c r="O499" s="31"/>
    </row>
    <row r="500" ht="15.75" customHeight="1">
      <c r="B500" s="31"/>
      <c r="C500" s="31"/>
      <c r="D500" s="31"/>
      <c r="E500" s="31"/>
      <c r="F500" s="31"/>
      <c r="G500" s="31"/>
      <c r="H500" s="31"/>
      <c r="I500" s="31"/>
      <c r="J500" s="31"/>
      <c r="K500" s="31"/>
      <c r="L500" s="31"/>
      <c r="M500" s="31"/>
      <c r="N500" s="31"/>
      <c r="O500" s="31"/>
    </row>
    <row r="501" ht="15.75" customHeight="1">
      <c r="B501" s="31"/>
      <c r="C501" s="31"/>
      <c r="D501" s="31"/>
      <c r="E501" s="31"/>
      <c r="F501" s="31"/>
      <c r="G501" s="31"/>
      <c r="H501" s="31"/>
      <c r="I501" s="31"/>
      <c r="J501" s="31"/>
      <c r="K501" s="31"/>
      <c r="L501" s="31"/>
      <c r="M501" s="31"/>
      <c r="N501" s="31"/>
      <c r="O501" s="31"/>
    </row>
    <row r="502" ht="15.75" customHeight="1">
      <c r="B502" s="31"/>
      <c r="C502" s="31"/>
      <c r="D502" s="31"/>
      <c r="E502" s="31"/>
      <c r="F502" s="31"/>
      <c r="G502" s="31"/>
      <c r="H502" s="31"/>
      <c r="I502" s="31"/>
      <c r="J502" s="31"/>
      <c r="K502" s="31"/>
      <c r="L502" s="31"/>
      <c r="M502" s="31"/>
      <c r="N502" s="31"/>
      <c r="O502" s="31"/>
    </row>
    <row r="503" ht="15.75" customHeight="1">
      <c r="B503" s="31"/>
      <c r="C503" s="31"/>
      <c r="D503" s="31"/>
      <c r="E503" s="31"/>
      <c r="F503" s="31"/>
      <c r="G503" s="31"/>
      <c r="H503" s="31"/>
      <c r="I503" s="31"/>
      <c r="J503" s="31"/>
      <c r="K503" s="31"/>
      <c r="L503" s="31"/>
      <c r="M503" s="31"/>
      <c r="N503" s="31"/>
      <c r="O503" s="31"/>
    </row>
    <row r="504" ht="15.75" customHeight="1">
      <c r="B504" s="31"/>
      <c r="C504" s="31"/>
      <c r="D504" s="31"/>
      <c r="E504" s="31"/>
      <c r="F504" s="31"/>
      <c r="G504" s="31"/>
      <c r="H504" s="31"/>
      <c r="I504" s="31"/>
      <c r="J504" s="31"/>
      <c r="K504" s="31"/>
      <c r="L504" s="31"/>
      <c r="M504" s="31"/>
      <c r="N504" s="31"/>
      <c r="O504" s="31"/>
    </row>
    <row r="505" ht="15.75" customHeight="1">
      <c r="B505" s="31"/>
      <c r="C505" s="31"/>
      <c r="D505" s="31"/>
      <c r="E505" s="31"/>
      <c r="F505" s="31"/>
      <c r="G505" s="31"/>
      <c r="H505" s="31"/>
      <c r="I505" s="31"/>
      <c r="J505" s="31"/>
      <c r="K505" s="31"/>
      <c r="L505" s="31"/>
      <c r="M505" s="31"/>
      <c r="N505" s="31"/>
      <c r="O505" s="31"/>
    </row>
    <row r="506" ht="15.75" customHeight="1">
      <c r="B506" s="31"/>
      <c r="C506" s="31"/>
      <c r="D506" s="31"/>
      <c r="E506" s="31"/>
      <c r="F506" s="31"/>
      <c r="G506" s="31"/>
      <c r="H506" s="31"/>
      <c r="I506" s="31"/>
      <c r="J506" s="31"/>
      <c r="K506" s="31"/>
      <c r="L506" s="31"/>
      <c r="M506" s="31"/>
      <c r="N506" s="31"/>
      <c r="O506" s="31"/>
    </row>
    <row r="507" ht="15.75" customHeight="1">
      <c r="B507" s="31"/>
      <c r="C507" s="31"/>
      <c r="D507" s="31"/>
      <c r="E507" s="31"/>
      <c r="F507" s="31"/>
      <c r="G507" s="31"/>
      <c r="H507" s="31"/>
      <c r="I507" s="31"/>
      <c r="J507" s="31"/>
      <c r="K507" s="31"/>
      <c r="L507" s="31"/>
      <c r="M507" s="31"/>
      <c r="N507" s="31"/>
      <c r="O507" s="31"/>
    </row>
    <row r="508" ht="15.75" customHeight="1">
      <c r="B508" s="31"/>
      <c r="C508" s="31"/>
      <c r="D508" s="31"/>
      <c r="E508" s="31"/>
      <c r="F508" s="31"/>
      <c r="G508" s="31"/>
      <c r="H508" s="31"/>
      <c r="I508" s="31"/>
      <c r="J508" s="31"/>
      <c r="K508" s="31"/>
      <c r="L508" s="31"/>
      <c r="M508" s="31"/>
      <c r="N508" s="31"/>
      <c r="O508" s="31"/>
    </row>
    <row r="509" ht="15.75" customHeight="1">
      <c r="B509" s="31"/>
      <c r="C509" s="31"/>
      <c r="D509" s="31"/>
      <c r="E509" s="31"/>
      <c r="F509" s="31"/>
      <c r="G509" s="31"/>
      <c r="H509" s="31"/>
      <c r="I509" s="31"/>
      <c r="J509" s="31"/>
      <c r="K509" s="31"/>
      <c r="L509" s="31"/>
      <c r="M509" s="31"/>
      <c r="N509" s="31"/>
      <c r="O509" s="31"/>
    </row>
    <row r="510" ht="15.75" customHeight="1">
      <c r="B510" s="31"/>
      <c r="C510" s="31"/>
      <c r="D510" s="31"/>
      <c r="E510" s="31"/>
      <c r="F510" s="31"/>
      <c r="G510" s="31"/>
      <c r="H510" s="31"/>
      <c r="I510" s="31"/>
      <c r="J510" s="31"/>
      <c r="K510" s="31"/>
      <c r="L510" s="31"/>
      <c r="M510" s="31"/>
      <c r="N510" s="31"/>
      <c r="O510" s="31"/>
    </row>
    <row r="511" ht="15.75" customHeight="1">
      <c r="B511" s="31"/>
      <c r="C511" s="31"/>
      <c r="D511" s="31"/>
      <c r="E511" s="31"/>
      <c r="F511" s="31"/>
      <c r="G511" s="31"/>
      <c r="H511" s="31"/>
      <c r="I511" s="31"/>
      <c r="J511" s="31"/>
      <c r="K511" s="31"/>
      <c r="L511" s="31"/>
      <c r="M511" s="31"/>
      <c r="N511" s="31"/>
      <c r="O511" s="31"/>
    </row>
    <row r="512" ht="15.75" customHeight="1">
      <c r="B512" s="31"/>
      <c r="C512" s="31"/>
      <c r="D512" s="31"/>
      <c r="E512" s="31"/>
      <c r="F512" s="31"/>
      <c r="G512" s="31"/>
      <c r="H512" s="31"/>
      <c r="I512" s="31"/>
      <c r="J512" s="31"/>
      <c r="K512" s="31"/>
      <c r="L512" s="31"/>
      <c r="M512" s="31"/>
      <c r="N512" s="31"/>
      <c r="O512" s="31"/>
    </row>
    <row r="513" ht="15.75" customHeight="1">
      <c r="B513" s="31"/>
      <c r="C513" s="31"/>
      <c r="D513" s="31"/>
      <c r="E513" s="31"/>
      <c r="F513" s="31"/>
      <c r="G513" s="31"/>
      <c r="H513" s="31"/>
      <c r="I513" s="31"/>
      <c r="J513" s="31"/>
      <c r="K513" s="31"/>
      <c r="L513" s="31"/>
      <c r="M513" s="31"/>
      <c r="N513" s="31"/>
      <c r="O513" s="31"/>
    </row>
    <row r="514" ht="15.75" customHeight="1">
      <c r="B514" s="31"/>
      <c r="C514" s="31"/>
      <c r="D514" s="31"/>
      <c r="E514" s="31"/>
      <c r="F514" s="31"/>
      <c r="G514" s="31"/>
      <c r="H514" s="31"/>
      <c r="I514" s="31"/>
      <c r="J514" s="31"/>
      <c r="K514" s="31"/>
      <c r="L514" s="31"/>
      <c r="M514" s="31"/>
      <c r="N514" s="31"/>
      <c r="O514" s="31"/>
    </row>
    <row r="515" ht="15.75" customHeight="1">
      <c r="B515" s="31"/>
      <c r="C515" s="31"/>
      <c r="D515" s="31"/>
      <c r="E515" s="31"/>
      <c r="F515" s="31"/>
      <c r="G515" s="31"/>
      <c r="H515" s="31"/>
      <c r="I515" s="31"/>
      <c r="J515" s="31"/>
      <c r="K515" s="31"/>
      <c r="L515" s="31"/>
      <c r="M515" s="31"/>
      <c r="N515" s="31"/>
      <c r="O515" s="31"/>
    </row>
    <row r="516" ht="15.75" customHeight="1">
      <c r="B516" s="31"/>
      <c r="C516" s="31"/>
      <c r="D516" s="31"/>
      <c r="E516" s="31"/>
      <c r="F516" s="31"/>
      <c r="G516" s="31"/>
      <c r="H516" s="31"/>
      <c r="I516" s="31"/>
      <c r="J516" s="31"/>
      <c r="K516" s="31"/>
      <c r="L516" s="31"/>
      <c r="M516" s="31"/>
      <c r="N516" s="31"/>
      <c r="O516" s="31"/>
    </row>
    <row r="517" ht="15.75" customHeight="1">
      <c r="B517" s="31"/>
      <c r="C517" s="31"/>
      <c r="D517" s="31"/>
      <c r="E517" s="31"/>
      <c r="F517" s="31"/>
      <c r="G517" s="31"/>
      <c r="H517" s="31"/>
      <c r="I517" s="31"/>
      <c r="J517" s="31"/>
      <c r="K517" s="31"/>
      <c r="L517" s="31"/>
      <c r="M517" s="31"/>
      <c r="N517" s="31"/>
      <c r="O517" s="31"/>
    </row>
    <row r="518" ht="15.75" customHeight="1">
      <c r="B518" s="31"/>
      <c r="C518" s="31"/>
      <c r="D518" s="31"/>
      <c r="E518" s="31"/>
      <c r="F518" s="31"/>
      <c r="G518" s="31"/>
      <c r="H518" s="31"/>
      <c r="I518" s="31"/>
      <c r="J518" s="31"/>
      <c r="K518" s="31"/>
      <c r="L518" s="31"/>
      <c r="M518" s="31"/>
      <c r="N518" s="31"/>
      <c r="O518" s="31"/>
    </row>
    <row r="519" ht="15.75" customHeight="1">
      <c r="B519" s="31"/>
      <c r="C519" s="31"/>
      <c r="D519" s="31"/>
      <c r="E519" s="31"/>
      <c r="F519" s="31"/>
      <c r="G519" s="31"/>
      <c r="H519" s="31"/>
      <c r="I519" s="31"/>
      <c r="J519" s="31"/>
      <c r="K519" s="31"/>
      <c r="L519" s="31"/>
      <c r="M519" s="31"/>
      <c r="N519" s="31"/>
      <c r="O519" s="31"/>
    </row>
    <row r="520" ht="15.75" customHeight="1">
      <c r="B520" s="31"/>
      <c r="C520" s="31"/>
      <c r="D520" s="31"/>
      <c r="E520" s="31"/>
      <c r="F520" s="31"/>
      <c r="G520" s="31"/>
      <c r="H520" s="31"/>
      <c r="I520" s="31"/>
      <c r="J520" s="31"/>
      <c r="K520" s="31"/>
      <c r="L520" s="31"/>
      <c r="M520" s="31"/>
      <c r="N520" s="31"/>
      <c r="O520" s="31"/>
    </row>
    <row r="521" ht="15.75" customHeight="1">
      <c r="B521" s="31"/>
      <c r="C521" s="31"/>
      <c r="D521" s="31"/>
      <c r="E521" s="31"/>
      <c r="F521" s="31"/>
      <c r="G521" s="31"/>
      <c r="H521" s="31"/>
      <c r="I521" s="31"/>
      <c r="J521" s="31"/>
      <c r="K521" s="31"/>
      <c r="L521" s="31"/>
      <c r="M521" s="31"/>
      <c r="N521" s="31"/>
      <c r="O521" s="31"/>
    </row>
    <row r="522" ht="15.75" customHeight="1">
      <c r="B522" s="31"/>
      <c r="C522" s="31"/>
      <c r="D522" s="31"/>
      <c r="E522" s="31"/>
      <c r="F522" s="31"/>
      <c r="G522" s="31"/>
      <c r="H522" s="31"/>
      <c r="I522" s="31"/>
      <c r="J522" s="31"/>
      <c r="K522" s="31"/>
      <c r="L522" s="31"/>
      <c r="M522" s="31"/>
      <c r="N522" s="31"/>
      <c r="O522" s="31"/>
    </row>
    <row r="523" ht="15.75" customHeight="1">
      <c r="B523" s="31"/>
      <c r="C523" s="31"/>
      <c r="D523" s="31"/>
      <c r="E523" s="31"/>
      <c r="F523" s="31"/>
      <c r="G523" s="31"/>
      <c r="H523" s="31"/>
      <c r="I523" s="31"/>
      <c r="J523" s="31"/>
      <c r="K523" s="31"/>
      <c r="L523" s="31"/>
      <c r="M523" s="31"/>
      <c r="N523" s="31"/>
      <c r="O523" s="31"/>
    </row>
    <row r="524" ht="15.75" customHeight="1">
      <c r="B524" s="31"/>
      <c r="C524" s="31"/>
      <c r="D524" s="31"/>
      <c r="E524" s="31"/>
      <c r="F524" s="31"/>
      <c r="G524" s="31"/>
      <c r="H524" s="31"/>
      <c r="I524" s="31"/>
      <c r="J524" s="31"/>
      <c r="K524" s="31"/>
      <c r="L524" s="31"/>
      <c r="M524" s="31"/>
      <c r="N524" s="31"/>
      <c r="O524" s="31"/>
    </row>
    <row r="525" ht="15.75" customHeight="1">
      <c r="B525" s="31"/>
      <c r="C525" s="31"/>
      <c r="D525" s="31"/>
      <c r="E525" s="31"/>
      <c r="F525" s="31"/>
      <c r="G525" s="31"/>
      <c r="H525" s="31"/>
      <c r="I525" s="31"/>
      <c r="J525" s="31"/>
      <c r="K525" s="31"/>
      <c r="L525" s="31"/>
      <c r="M525" s="31"/>
      <c r="N525" s="31"/>
      <c r="O525" s="31"/>
    </row>
    <row r="526" ht="15.75" customHeight="1">
      <c r="B526" s="31"/>
      <c r="C526" s="31"/>
      <c r="D526" s="31"/>
      <c r="E526" s="31"/>
      <c r="F526" s="31"/>
      <c r="G526" s="31"/>
      <c r="H526" s="31"/>
      <c r="I526" s="31"/>
      <c r="J526" s="31"/>
      <c r="K526" s="31"/>
      <c r="L526" s="31"/>
      <c r="M526" s="31"/>
      <c r="N526" s="31"/>
      <c r="O526" s="31"/>
    </row>
    <row r="527" ht="15.75" customHeight="1">
      <c r="B527" s="31"/>
      <c r="C527" s="31"/>
      <c r="D527" s="31"/>
      <c r="E527" s="31"/>
      <c r="F527" s="31"/>
      <c r="G527" s="31"/>
      <c r="H527" s="31"/>
      <c r="I527" s="31"/>
      <c r="J527" s="31"/>
      <c r="K527" s="31"/>
      <c r="L527" s="31"/>
      <c r="M527" s="31"/>
      <c r="N527" s="31"/>
      <c r="O527" s="31"/>
    </row>
    <row r="528" ht="15.75" customHeight="1">
      <c r="B528" s="31"/>
      <c r="C528" s="31"/>
      <c r="D528" s="31"/>
      <c r="E528" s="31"/>
      <c r="F528" s="31"/>
      <c r="G528" s="31"/>
      <c r="H528" s="31"/>
      <c r="I528" s="31"/>
      <c r="J528" s="31"/>
      <c r="K528" s="31"/>
      <c r="L528" s="31"/>
      <c r="M528" s="31"/>
      <c r="N528" s="31"/>
      <c r="O528" s="31"/>
    </row>
    <row r="529" ht="15.75" customHeight="1">
      <c r="B529" s="31"/>
      <c r="C529" s="31"/>
      <c r="D529" s="31"/>
      <c r="E529" s="31"/>
      <c r="F529" s="31"/>
      <c r="G529" s="31"/>
      <c r="H529" s="31"/>
      <c r="I529" s="31"/>
      <c r="J529" s="31"/>
      <c r="K529" s="31"/>
      <c r="L529" s="31"/>
      <c r="M529" s="31"/>
      <c r="N529" s="31"/>
      <c r="O529" s="31"/>
    </row>
    <row r="530" ht="15.75" customHeight="1">
      <c r="B530" s="31"/>
      <c r="C530" s="31"/>
      <c r="D530" s="31"/>
      <c r="E530" s="31"/>
      <c r="F530" s="31"/>
      <c r="G530" s="31"/>
      <c r="H530" s="31"/>
      <c r="I530" s="31"/>
      <c r="J530" s="31"/>
      <c r="K530" s="31"/>
      <c r="L530" s="31"/>
      <c r="M530" s="31"/>
      <c r="N530" s="31"/>
      <c r="O530" s="31"/>
    </row>
    <row r="531" ht="15.75" customHeight="1">
      <c r="B531" s="31"/>
      <c r="C531" s="31"/>
      <c r="D531" s="31"/>
      <c r="E531" s="31"/>
      <c r="F531" s="31"/>
      <c r="G531" s="31"/>
      <c r="H531" s="31"/>
      <c r="I531" s="31"/>
      <c r="J531" s="31"/>
      <c r="K531" s="31"/>
      <c r="L531" s="31"/>
      <c r="M531" s="31"/>
      <c r="N531" s="31"/>
      <c r="O531" s="31"/>
    </row>
    <row r="532" ht="15.75" customHeight="1">
      <c r="B532" s="31"/>
      <c r="C532" s="31"/>
      <c r="D532" s="31"/>
      <c r="E532" s="31"/>
      <c r="F532" s="31"/>
      <c r="G532" s="31"/>
      <c r="H532" s="31"/>
      <c r="I532" s="31"/>
      <c r="J532" s="31"/>
      <c r="K532" s="31"/>
      <c r="L532" s="31"/>
      <c r="M532" s="31"/>
      <c r="N532" s="31"/>
      <c r="O532" s="31"/>
    </row>
    <row r="533" ht="15.75" customHeight="1">
      <c r="B533" s="31"/>
      <c r="C533" s="31"/>
      <c r="D533" s="31"/>
      <c r="E533" s="31"/>
      <c r="F533" s="31"/>
      <c r="G533" s="31"/>
      <c r="H533" s="31"/>
      <c r="I533" s="31"/>
      <c r="J533" s="31"/>
      <c r="K533" s="31"/>
      <c r="L533" s="31"/>
      <c r="M533" s="31"/>
      <c r="N533" s="31"/>
      <c r="O533" s="31"/>
    </row>
    <row r="534" ht="15.75" customHeight="1">
      <c r="B534" s="31"/>
      <c r="C534" s="31"/>
      <c r="D534" s="31"/>
      <c r="E534" s="31"/>
      <c r="F534" s="31"/>
      <c r="G534" s="31"/>
      <c r="H534" s="31"/>
      <c r="I534" s="31"/>
      <c r="J534" s="31"/>
      <c r="K534" s="31"/>
      <c r="L534" s="31"/>
      <c r="M534" s="31"/>
      <c r="N534" s="31"/>
      <c r="O534" s="31"/>
    </row>
    <row r="535" ht="15.75" customHeight="1">
      <c r="B535" s="31"/>
      <c r="C535" s="31"/>
      <c r="D535" s="31"/>
      <c r="E535" s="31"/>
      <c r="F535" s="31"/>
      <c r="G535" s="31"/>
      <c r="H535" s="31"/>
      <c r="I535" s="31"/>
      <c r="J535" s="31"/>
      <c r="K535" s="31"/>
      <c r="L535" s="31"/>
      <c r="M535" s="31"/>
      <c r="N535" s="31"/>
      <c r="O535" s="31"/>
    </row>
    <row r="536" ht="15.75" customHeight="1">
      <c r="B536" s="31"/>
      <c r="C536" s="31"/>
      <c r="D536" s="31"/>
      <c r="E536" s="31"/>
      <c r="F536" s="31"/>
      <c r="G536" s="31"/>
      <c r="H536" s="31"/>
      <c r="I536" s="31"/>
      <c r="J536" s="31"/>
      <c r="K536" s="31"/>
      <c r="L536" s="31"/>
      <c r="M536" s="31"/>
      <c r="N536" s="31"/>
      <c r="O536" s="31"/>
    </row>
    <row r="537" ht="15.75" customHeight="1">
      <c r="B537" s="31"/>
      <c r="C537" s="31"/>
      <c r="D537" s="31"/>
      <c r="E537" s="31"/>
      <c r="F537" s="31"/>
      <c r="G537" s="31"/>
      <c r="H537" s="31"/>
      <c r="I537" s="31"/>
      <c r="J537" s="31"/>
      <c r="K537" s="31"/>
      <c r="L537" s="31"/>
      <c r="M537" s="31"/>
      <c r="N537" s="31"/>
      <c r="O537" s="31"/>
    </row>
    <row r="538" ht="15.75" customHeight="1">
      <c r="B538" s="31"/>
      <c r="C538" s="31"/>
      <c r="D538" s="31"/>
      <c r="E538" s="31"/>
      <c r="F538" s="31"/>
      <c r="G538" s="31"/>
      <c r="H538" s="31"/>
      <c r="I538" s="31"/>
      <c r="J538" s="31"/>
      <c r="K538" s="31"/>
      <c r="L538" s="31"/>
      <c r="M538" s="31"/>
      <c r="N538" s="31"/>
      <c r="O538" s="31"/>
    </row>
    <row r="539" ht="15.75" customHeight="1">
      <c r="B539" s="31"/>
      <c r="C539" s="31"/>
      <c r="D539" s="31"/>
      <c r="E539" s="31"/>
      <c r="F539" s="31"/>
      <c r="G539" s="31"/>
      <c r="H539" s="31"/>
      <c r="I539" s="31"/>
      <c r="J539" s="31"/>
      <c r="K539" s="31"/>
      <c r="L539" s="31"/>
      <c r="M539" s="31"/>
      <c r="N539" s="31"/>
      <c r="O539" s="31"/>
    </row>
    <row r="540" ht="15.75" customHeight="1">
      <c r="B540" s="31"/>
      <c r="C540" s="31"/>
      <c r="D540" s="31"/>
      <c r="E540" s="31"/>
      <c r="F540" s="31"/>
      <c r="G540" s="31"/>
      <c r="H540" s="31"/>
      <c r="I540" s="31"/>
      <c r="J540" s="31"/>
      <c r="K540" s="31"/>
      <c r="L540" s="31"/>
      <c r="M540" s="31"/>
      <c r="N540" s="31"/>
      <c r="O540" s="31"/>
    </row>
    <row r="541" ht="15.75" customHeight="1">
      <c r="B541" s="31"/>
      <c r="C541" s="31"/>
      <c r="D541" s="31"/>
      <c r="E541" s="31"/>
      <c r="F541" s="31"/>
      <c r="G541" s="31"/>
      <c r="H541" s="31"/>
      <c r="I541" s="31"/>
      <c r="J541" s="31"/>
      <c r="K541" s="31"/>
      <c r="L541" s="31"/>
      <c r="M541" s="31"/>
      <c r="N541" s="31"/>
      <c r="O541" s="31"/>
    </row>
    <row r="542" ht="15.75" customHeight="1">
      <c r="B542" s="31"/>
      <c r="C542" s="31"/>
      <c r="D542" s="31"/>
      <c r="E542" s="31"/>
      <c r="F542" s="31"/>
      <c r="G542" s="31"/>
      <c r="H542" s="31"/>
      <c r="I542" s="31"/>
      <c r="J542" s="31"/>
      <c r="K542" s="31"/>
      <c r="L542" s="31"/>
      <c r="M542" s="31"/>
      <c r="N542" s="31"/>
      <c r="O542" s="31"/>
    </row>
    <row r="543" ht="15.75" customHeight="1">
      <c r="B543" s="31"/>
      <c r="C543" s="31"/>
      <c r="D543" s="31"/>
      <c r="E543" s="31"/>
      <c r="F543" s="31"/>
      <c r="G543" s="31"/>
      <c r="H543" s="31"/>
      <c r="I543" s="31"/>
      <c r="J543" s="31"/>
      <c r="K543" s="31"/>
      <c r="L543" s="31"/>
      <c r="M543" s="31"/>
      <c r="N543" s="31"/>
      <c r="O543" s="31"/>
    </row>
    <row r="544" ht="15.75" customHeight="1">
      <c r="B544" s="31"/>
      <c r="C544" s="31"/>
      <c r="D544" s="31"/>
      <c r="E544" s="31"/>
      <c r="F544" s="31"/>
      <c r="G544" s="31"/>
      <c r="H544" s="31"/>
      <c r="I544" s="31"/>
      <c r="J544" s="31"/>
      <c r="K544" s="31"/>
      <c r="L544" s="31"/>
      <c r="M544" s="31"/>
      <c r="N544" s="31"/>
      <c r="O544" s="31"/>
    </row>
    <row r="545" ht="15.75" customHeight="1">
      <c r="B545" s="31"/>
      <c r="C545" s="31"/>
      <c r="D545" s="31"/>
      <c r="E545" s="31"/>
      <c r="F545" s="31"/>
      <c r="G545" s="31"/>
      <c r="H545" s="31"/>
      <c r="I545" s="31"/>
      <c r="J545" s="31"/>
      <c r="K545" s="31"/>
      <c r="L545" s="31"/>
      <c r="M545" s="31"/>
      <c r="N545" s="31"/>
      <c r="O545" s="31"/>
    </row>
    <row r="546" ht="15.75" customHeight="1">
      <c r="B546" s="31"/>
      <c r="C546" s="31"/>
      <c r="D546" s="31"/>
      <c r="E546" s="31"/>
      <c r="F546" s="31"/>
      <c r="G546" s="31"/>
      <c r="H546" s="31"/>
      <c r="I546" s="31"/>
      <c r="J546" s="31"/>
      <c r="K546" s="31"/>
      <c r="L546" s="31"/>
      <c r="M546" s="31"/>
      <c r="N546" s="31"/>
      <c r="O546" s="31"/>
    </row>
    <row r="547" ht="15.75" customHeight="1">
      <c r="B547" s="31"/>
      <c r="C547" s="31"/>
      <c r="D547" s="31"/>
      <c r="E547" s="31"/>
      <c r="F547" s="31"/>
      <c r="G547" s="31"/>
      <c r="H547" s="31"/>
      <c r="I547" s="31"/>
      <c r="J547" s="31"/>
      <c r="K547" s="31"/>
      <c r="L547" s="31"/>
      <c r="M547" s="31"/>
      <c r="N547" s="31"/>
      <c r="O547" s="31"/>
    </row>
    <row r="548" ht="15.75" customHeight="1">
      <c r="B548" s="31"/>
      <c r="C548" s="31"/>
      <c r="D548" s="31"/>
      <c r="E548" s="31"/>
      <c r="F548" s="31"/>
      <c r="G548" s="31"/>
      <c r="H548" s="31"/>
      <c r="I548" s="31"/>
      <c r="J548" s="31"/>
      <c r="K548" s="31"/>
      <c r="L548" s="31"/>
      <c r="M548" s="31"/>
      <c r="N548" s="31"/>
      <c r="O548" s="31"/>
    </row>
    <row r="549" ht="15.75" customHeight="1">
      <c r="B549" s="31"/>
      <c r="C549" s="31"/>
      <c r="D549" s="31"/>
      <c r="E549" s="31"/>
      <c r="F549" s="31"/>
      <c r="G549" s="31"/>
      <c r="H549" s="31"/>
      <c r="I549" s="31"/>
      <c r="J549" s="31"/>
      <c r="K549" s="31"/>
      <c r="L549" s="31"/>
      <c r="M549" s="31"/>
      <c r="N549" s="31"/>
      <c r="O549" s="31"/>
    </row>
    <row r="550" ht="15.75" customHeight="1">
      <c r="B550" s="31"/>
      <c r="C550" s="31"/>
      <c r="D550" s="31"/>
      <c r="E550" s="31"/>
      <c r="F550" s="31"/>
      <c r="G550" s="31"/>
      <c r="H550" s="31"/>
      <c r="I550" s="31"/>
      <c r="J550" s="31"/>
      <c r="K550" s="31"/>
      <c r="L550" s="31"/>
      <c r="M550" s="31"/>
      <c r="N550" s="31"/>
      <c r="O550" s="31"/>
    </row>
    <row r="551" ht="15.75" customHeight="1">
      <c r="B551" s="31"/>
      <c r="C551" s="31"/>
      <c r="D551" s="31"/>
      <c r="E551" s="31"/>
      <c r="F551" s="31"/>
      <c r="G551" s="31"/>
      <c r="H551" s="31"/>
      <c r="I551" s="31"/>
      <c r="J551" s="31"/>
      <c r="K551" s="31"/>
      <c r="L551" s="31"/>
      <c r="M551" s="31"/>
      <c r="N551" s="31"/>
      <c r="O551" s="31"/>
    </row>
    <row r="552" ht="15.75" customHeight="1">
      <c r="B552" s="31"/>
      <c r="C552" s="31"/>
      <c r="D552" s="31"/>
      <c r="E552" s="31"/>
      <c r="F552" s="31"/>
      <c r="G552" s="31"/>
      <c r="H552" s="31"/>
      <c r="I552" s="31"/>
      <c r="J552" s="31"/>
      <c r="K552" s="31"/>
      <c r="L552" s="31"/>
      <c r="M552" s="31"/>
      <c r="N552" s="31"/>
      <c r="O552" s="31"/>
    </row>
    <row r="553" ht="15.75" customHeight="1">
      <c r="B553" s="31"/>
      <c r="C553" s="31"/>
      <c r="D553" s="31"/>
      <c r="E553" s="31"/>
      <c r="F553" s="31"/>
      <c r="G553" s="31"/>
      <c r="H553" s="31"/>
      <c r="I553" s="31"/>
      <c r="J553" s="31"/>
      <c r="K553" s="31"/>
      <c r="L553" s="31"/>
      <c r="M553" s="31"/>
      <c r="N553" s="31"/>
      <c r="O553" s="31"/>
    </row>
    <row r="554" ht="15.75" customHeight="1">
      <c r="B554" s="31"/>
      <c r="C554" s="31"/>
      <c r="D554" s="31"/>
      <c r="E554" s="31"/>
      <c r="F554" s="31"/>
      <c r="G554" s="31"/>
      <c r="H554" s="31"/>
      <c r="I554" s="31"/>
      <c r="J554" s="31"/>
      <c r="K554" s="31"/>
      <c r="L554" s="31"/>
      <c r="M554" s="31"/>
      <c r="N554" s="31"/>
      <c r="O554" s="31"/>
    </row>
    <row r="555" ht="15.75" customHeight="1">
      <c r="B555" s="31"/>
      <c r="C555" s="31"/>
      <c r="D555" s="31"/>
      <c r="E555" s="31"/>
      <c r="F555" s="31"/>
      <c r="G555" s="31"/>
      <c r="H555" s="31"/>
      <c r="I555" s="31"/>
      <c r="J555" s="31"/>
      <c r="K555" s="31"/>
      <c r="L555" s="31"/>
      <c r="M555" s="31"/>
      <c r="N555" s="31"/>
      <c r="O555" s="31"/>
    </row>
    <row r="556" ht="15.75" customHeight="1">
      <c r="B556" s="31"/>
      <c r="C556" s="31"/>
      <c r="D556" s="31"/>
      <c r="E556" s="31"/>
      <c r="F556" s="31"/>
      <c r="G556" s="31"/>
      <c r="H556" s="31"/>
      <c r="I556" s="31"/>
      <c r="J556" s="31"/>
      <c r="K556" s="31"/>
      <c r="L556" s="31"/>
      <c r="M556" s="31"/>
      <c r="N556" s="31"/>
      <c r="O556" s="31"/>
    </row>
    <row r="557" ht="15.75" customHeight="1">
      <c r="B557" s="31"/>
      <c r="C557" s="31"/>
      <c r="D557" s="31"/>
      <c r="E557" s="31"/>
      <c r="F557" s="31"/>
      <c r="G557" s="31"/>
      <c r="H557" s="31"/>
      <c r="I557" s="31"/>
      <c r="J557" s="31"/>
      <c r="K557" s="31"/>
      <c r="L557" s="31"/>
      <c r="M557" s="31"/>
      <c r="N557" s="31"/>
      <c r="O557" s="31"/>
    </row>
    <row r="558" ht="15.75" customHeight="1">
      <c r="B558" s="31"/>
      <c r="C558" s="31"/>
      <c r="D558" s="31"/>
      <c r="E558" s="31"/>
      <c r="F558" s="31"/>
      <c r="G558" s="31"/>
      <c r="H558" s="31"/>
      <c r="I558" s="31"/>
      <c r="J558" s="31"/>
      <c r="K558" s="31"/>
      <c r="L558" s="31"/>
      <c r="M558" s="31"/>
      <c r="N558" s="31"/>
      <c r="O558" s="31"/>
    </row>
    <row r="559" ht="15.75" customHeight="1">
      <c r="B559" s="31"/>
      <c r="C559" s="31"/>
      <c r="D559" s="31"/>
      <c r="E559" s="31"/>
      <c r="F559" s="31"/>
      <c r="G559" s="31"/>
      <c r="H559" s="31"/>
      <c r="I559" s="31"/>
      <c r="J559" s="31"/>
      <c r="K559" s="31"/>
      <c r="L559" s="31"/>
      <c r="M559" s="31"/>
      <c r="N559" s="31"/>
      <c r="O559" s="31"/>
    </row>
    <row r="560" ht="15.75" customHeight="1">
      <c r="B560" s="31"/>
      <c r="C560" s="31"/>
      <c r="D560" s="31"/>
      <c r="E560" s="31"/>
      <c r="F560" s="31"/>
      <c r="G560" s="31"/>
      <c r="H560" s="31"/>
      <c r="I560" s="31"/>
      <c r="J560" s="31"/>
      <c r="K560" s="31"/>
      <c r="L560" s="31"/>
      <c r="M560" s="31"/>
      <c r="N560" s="31"/>
      <c r="O560" s="31"/>
    </row>
    <row r="561" ht="15.75" customHeight="1">
      <c r="B561" s="31"/>
      <c r="C561" s="31"/>
      <c r="D561" s="31"/>
      <c r="E561" s="31"/>
      <c r="F561" s="31"/>
      <c r="G561" s="31"/>
      <c r="H561" s="31"/>
      <c r="I561" s="31"/>
      <c r="J561" s="31"/>
      <c r="K561" s="31"/>
      <c r="L561" s="31"/>
      <c r="M561" s="31"/>
      <c r="N561" s="31"/>
      <c r="O561" s="31"/>
    </row>
    <row r="562" ht="15.75" customHeight="1">
      <c r="B562" s="31"/>
      <c r="C562" s="31"/>
      <c r="D562" s="31"/>
      <c r="E562" s="31"/>
      <c r="F562" s="31"/>
      <c r="G562" s="31"/>
      <c r="H562" s="31"/>
      <c r="I562" s="31"/>
      <c r="J562" s="31"/>
      <c r="K562" s="31"/>
      <c r="L562" s="31"/>
      <c r="M562" s="31"/>
      <c r="N562" s="31"/>
      <c r="O562" s="31"/>
    </row>
    <row r="563" ht="15.75" customHeight="1">
      <c r="B563" s="31"/>
      <c r="C563" s="31"/>
      <c r="D563" s="31"/>
      <c r="E563" s="31"/>
      <c r="F563" s="31"/>
      <c r="G563" s="31"/>
      <c r="H563" s="31"/>
      <c r="I563" s="31"/>
      <c r="J563" s="31"/>
      <c r="K563" s="31"/>
      <c r="L563" s="31"/>
      <c r="M563" s="31"/>
      <c r="N563" s="31"/>
      <c r="O563" s="31"/>
    </row>
    <row r="564" ht="15.75" customHeight="1">
      <c r="B564" s="31"/>
      <c r="C564" s="31"/>
      <c r="D564" s="31"/>
      <c r="E564" s="31"/>
      <c r="F564" s="31"/>
      <c r="G564" s="31"/>
      <c r="H564" s="31"/>
      <c r="I564" s="31"/>
      <c r="J564" s="31"/>
      <c r="K564" s="31"/>
      <c r="L564" s="31"/>
      <c r="M564" s="31"/>
      <c r="N564" s="31"/>
      <c r="O564" s="31"/>
    </row>
    <row r="565" ht="15.75" customHeight="1">
      <c r="B565" s="31"/>
      <c r="C565" s="31"/>
      <c r="D565" s="31"/>
      <c r="E565" s="31"/>
      <c r="F565" s="31"/>
      <c r="G565" s="31"/>
      <c r="H565" s="31"/>
      <c r="I565" s="31"/>
      <c r="J565" s="31"/>
      <c r="K565" s="31"/>
      <c r="L565" s="31"/>
      <c r="M565" s="31"/>
      <c r="N565" s="31"/>
      <c r="O565" s="31"/>
    </row>
    <row r="566" ht="15.75" customHeight="1">
      <c r="B566" s="31"/>
      <c r="C566" s="31"/>
      <c r="D566" s="31"/>
      <c r="E566" s="31"/>
      <c r="F566" s="31"/>
      <c r="G566" s="31"/>
      <c r="H566" s="31"/>
      <c r="I566" s="31"/>
      <c r="J566" s="31"/>
      <c r="K566" s="31"/>
      <c r="L566" s="31"/>
      <c r="M566" s="31"/>
      <c r="N566" s="31"/>
      <c r="O566" s="31"/>
    </row>
    <row r="567" ht="15.75" customHeight="1">
      <c r="B567" s="31"/>
      <c r="C567" s="31"/>
      <c r="D567" s="31"/>
      <c r="E567" s="31"/>
      <c r="F567" s="31"/>
      <c r="G567" s="31"/>
      <c r="H567" s="31"/>
      <c r="I567" s="31"/>
      <c r="J567" s="31"/>
      <c r="K567" s="31"/>
      <c r="L567" s="31"/>
      <c r="M567" s="31"/>
      <c r="N567" s="31"/>
      <c r="O567" s="31"/>
    </row>
    <row r="568" ht="15.75" customHeight="1">
      <c r="B568" s="31"/>
      <c r="C568" s="31"/>
      <c r="D568" s="31"/>
      <c r="E568" s="31"/>
      <c r="F568" s="31"/>
      <c r="G568" s="31"/>
      <c r="H568" s="31"/>
      <c r="I568" s="31"/>
      <c r="J568" s="31"/>
      <c r="K568" s="31"/>
      <c r="L568" s="31"/>
      <c r="M568" s="31"/>
      <c r="N568" s="31"/>
      <c r="O568" s="31"/>
    </row>
    <row r="569" ht="15.75" customHeight="1">
      <c r="B569" s="31"/>
      <c r="C569" s="31"/>
      <c r="D569" s="31"/>
      <c r="E569" s="31"/>
      <c r="F569" s="31"/>
      <c r="G569" s="31"/>
      <c r="H569" s="31"/>
      <c r="I569" s="31"/>
      <c r="J569" s="31"/>
      <c r="K569" s="31"/>
      <c r="L569" s="31"/>
      <c r="M569" s="31"/>
      <c r="N569" s="31"/>
      <c r="O569" s="31"/>
    </row>
    <row r="570" ht="15.75" customHeight="1">
      <c r="B570" s="31"/>
      <c r="C570" s="31"/>
      <c r="D570" s="31"/>
      <c r="E570" s="31"/>
      <c r="F570" s="31"/>
      <c r="G570" s="31"/>
      <c r="H570" s="31"/>
      <c r="I570" s="31"/>
      <c r="J570" s="31"/>
      <c r="K570" s="31"/>
      <c r="L570" s="31"/>
      <c r="M570" s="31"/>
      <c r="N570" s="31"/>
      <c r="O570" s="31"/>
    </row>
    <row r="571" ht="15.75" customHeight="1">
      <c r="B571" s="31"/>
      <c r="C571" s="31"/>
      <c r="D571" s="31"/>
      <c r="E571" s="31"/>
      <c r="F571" s="31"/>
      <c r="G571" s="31"/>
      <c r="H571" s="31"/>
      <c r="I571" s="31"/>
      <c r="J571" s="31"/>
      <c r="K571" s="31"/>
      <c r="L571" s="31"/>
      <c r="M571" s="31"/>
      <c r="N571" s="31"/>
      <c r="O571" s="31"/>
    </row>
    <row r="572" ht="15.75" customHeight="1">
      <c r="B572" s="31"/>
      <c r="C572" s="31"/>
      <c r="D572" s="31"/>
      <c r="E572" s="31"/>
      <c r="F572" s="31"/>
      <c r="G572" s="31"/>
      <c r="H572" s="31"/>
      <c r="I572" s="31"/>
      <c r="J572" s="31"/>
      <c r="K572" s="31"/>
      <c r="L572" s="31"/>
      <c r="M572" s="31"/>
      <c r="N572" s="31"/>
      <c r="O572" s="31"/>
    </row>
    <row r="573" ht="15.75" customHeight="1">
      <c r="B573" s="31"/>
      <c r="C573" s="31"/>
      <c r="D573" s="31"/>
      <c r="E573" s="31"/>
      <c r="F573" s="31"/>
      <c r="G573" s="31"/>
      <c r="H573" s="31"/>
      <c r="I573" s="31"/>
      <c r="J573" s="31"/>
      <c r="K573" s="31"/>
      <c r="L573" s="31"/>
      <c r="M573" s="31"/>
      <c r="N573" s="31"/>
      <c r="O573" s="31"/>
    </row>
    <row r="574" ht="15.75" customHeight="1">
      <c r="B574" s="31"/>
      <c r="C574" s="31"/>
      <c r="D574" s="31"/>
      <c r="E574" s="31"/>
      <c r="F574" s="31"/>
      <c r="G574" s="31"/>
      <c r="H574" s="31"/>
      <c r="I574" s="31"/>
      <c r="J574" s="31"/>
      <c r="K574" s="31"/>
      <c r="L574" s="31"/>
      <c r="M574" s="31"/>
      <c r="N574" s="31"/>
      <c r="O574" s="31"/>
    </row>
    <row r="575" ht="15.75" customHeight="1">
      <c r="B575" s="31"/>
      <c r="C575" s="31"/>
      <c r="D575" s="31"/>
      <c r="E575" s="31"/>
      <c r="F575" s="31"/>
      <c r="G575" s="31"/>
      <c r="H575" s="31"/>
      <c r="I575" s="31"/>
      <c r="J575" s="31"/>
      <c r="K575" s="31"/>
      <c r="L575" s="31"/>
      <c r="M575" s="31"/>
      <c r="N575" s="31"/>
      <c r="O575" s="31"/>
    </row>
    <row r="576" ht="15.75" customHeight="1">
      <c r="B576" s="31"/>
      <c r="C576" s="31"/>
      <c r="D576" s="31"/>
      <c r="E576" s="31"/>
      <c r="F576" s="31"/>
      <c r="G576" s="31"/>
      <c r="H576" s="31"/>
      <c r="I576" s="31"/>
      <c r="J576" s="31"/>
      <c r="K576" s="31"/>
      <c r="L576" s="31"/>
      <c r="M576" s="31"/>
      <c r="N576" s="31"/>
      <c r="O576" s="31"/>
    </row>
    <row r="577" ht="15.75" customHeight="1">
      <c r="B577" s="31"/>
      <c r="C577" s="31"/>
      <c r="D577" s="31"/>
      <c r="E577" s="31"/>
      <c r="F577" s="31"/>
      <c r="G577" s="31"/>
      <c r="H577" s="31"/>
      <c r="I577" s="31"/>
      <c r="J577" s="31"/>
      <c r="K577" s="31"/>
      <c r="L577" s="31"/>
      <c r="M577" s="31"/>
      <c r="N577" s="31"/>
      <c r="O577" s="31"/>
    </row>
    <row r="578" ht="15.75" customHeight="1">
      <c r="B578" s="31"/>
      <c r="C578" s="31"/>
      <c r="D578" s="31"/>
      <c r="E578" s="31"/>
      <c r="F578" s="31"/>
      <c r="G578" s="31"/>
      <c r="H578" s="31"/>
      <c r="I578" s="31"/>
      <c r="J578" s="31"/>
      <c r="K578" s="31"/>
      <c r="L578" s="31"/>
      <c r="M578" s="31"/>
      <c r="N578" s="31"/>
      <c r="O578" s="31"/>
    </row>
    <row r="579" ht="15.75" customHeight="1">
      <c r="B579" s="31"/>
      <c r="C579" s="31"/>
      <c r="D579" s="31"/>
      <c r="E579" s="31"/>
      <c r="F579" s="31"/>
      <c r="G579" s="31"/>
      <c r="H579" s="31"/>
      <c r="I579" s="31"/>
      <c r="J579" s="31"/>
      <c r="K579" s="31"/>
      <c r="L579" s="31"/>
      <c r="M579" s="31"/>
      <c r="N579" s="31"/>
      <c r="O579" s="31"/>
    </row>
    <row r="580" ht="15.75" customHeight="1">
      <c r="B580" s="31"/>
      <c r="C580" s="31"/>
      <c r="D580" s="31"/>
      <c r="E580" s="31"/>
      <c r="F580" s="31"/>
      <c r="G580" s="31"/>
      <c r="H580" s="31"/>
      <c r="I580" s="31"/>
      <c r="J580" s="31"/>
      <c r="K580" s="31"/>
      <c r="L580" s="31"/>
      <c r="M580" s="31"/>
      <c r="N580" s="31"/>
      <c r="O580" s="31"/>
    </row>
    <row r="581" ht="15.75" customHeight="1">
      <c r="B581" s="31"/>
      <c r="C581" s="31"/>
      <c r="D581" s="31"/>
      <c r="E581" s="31"/>
      <c r="F581" s="31"/>
      <c r="G581" s="31"/>
      <c r="H581" s="31"/>
      <c r="I581" s="31"/>
      <c r="J581" s="31"/>
      <c r="K581" s="31"/>
      <c r="L581" s="31"/>
      <c r="M581" s="31"/>
      <c r="N581" s="31"/>
      <c r="O581" s="31"/>
    </row>
    <row r="582" ht="15.75" customHeight="1">
      <c r="B582" s="31"/>
      <c r="C582" s="31"/>
      <c r="D582" s="31"/>
      <c r="E582" s="31"/>
      <c r="F582" s="31"/>
      <c r="G582" s="31"/>
      <c r="H582" s="31"/>
      <c r="I582" s="31"/>
      <c r="J582" s="31"/>
      <c r="K582" s="31"/>
      <c r="L582" s="31"/>
      <c r="M582" s="31"/>
      <c r="N582" s="31"/>
      <c r="O582" s="31"/>
    </row>
    <row r="583" ht="15.75" customHeight="1">
      <c r="B583" s="31"/>
      <c r="C583" s="31"/>
      <c r="D583" s="31"/>
      <c r="E583" s="31"/>
      <c r="F583" s="31"/>
      <c r="G583" s="31"/>
      <c r="H583" s="31"/>
      <c r="I583" s="31"/>
      <c r="J583" s="31"/>
      <c r="K583" s="31"/>
      <c r="L583" s="31"/>
      <c r="M583" s="31"/>
      <c r="N583" s="31"/>
      <c r="O583" s="31"/>
    </row>
    <row r="584" ht="15.75" customHeight="1">
      <c r="B584" s="31"/>
      <c r="C584" s="31"/>
      <c r="D584" s="31"/>
      <c r="E584" s="31"/>
      <c r="F584" s="31"/>
      <c r="G584" s="31"/>
      <c r="H584" s="31"/>
      <c r="I584" s="31"/>
      <c r="J584" s="31"/>
      <c r="K584" s="31"/>
      <c r="L584" s="31"/>
      <c r="M584" s="31"/>
      <c r="N584" s="31"/>
      <c r="O584" s="31"/>
    </row>
    <row r="585" ht="15.75" customHeight="1">
      <c r="B585" s="31"/>
      <c r="C585" s="31"/>
      <c r="D585" s="31"/>
      <c r="E585" s="31"/>
      <c r="F585" s="31"/>
      <c r="G585" s="31"/>
      <c r="H585" s="31"/>
      <c r="I585" s="31"/>
      <c r="J585" s="31"/>
      <c r="K585" s="31"/>
      <c r="L585" s="31"/>
      <c r="M585" s="31"/>
      <c r="N585" s="31"/>
      <c r="O585" s="31"/>
    </row>
    <row r="586" ht="15.75" customHeight="1">
      <c r="B586" s="31"/>
      <c r="C586" s="31"/>
      <c r="D586" s="31"/>
      <c r="E586" s="31"/>
      <c r="F586" s="31"/>
      <c r="G586" s="31"/>
      <c r="H586" s="31"/>
      <c r="I586" s="31"/>
      <c r="J586" s="31"/>
      <c r="K586" s="31"/>
      <c r="L586" s="31"/>
      <c r="M586" s="31"/>
      <c r="N586" s="31"/>
      <c r="O586" s="31"/>
    </row>
    <row r="587" ht="15.75" customHeight="1">
      <c r="B587" s="31"/>
      <c r="C587" s="31"/>
      <c r="D587" s="31"/>
      <c r="E587" s="31"/>
      <c r="F587" s="31"/>
      <c r="G587" s="31"/>
      <c r="H587" s="31"/>
      <c r="I587" s="31"/>
      <c r="J587" s="31"/>
      <c r="K587" s="31"/>
      <c r="L587" s="31"/>
      <c r="M587" s="31"/>
      <c r="N587" s="31"/>
      <c r="O587" s="31"/>
    </row>
    <row r="588" ht="15.75" customHeight="1">
      <c r="B588" s="31"/>
      <c r="C588" s="31"/>
      <c r="D588" s="31"/>
      <c r="E588" s="31"/>
      <c r="F588" s="31"/>
      <c r="G588" s="31"/>
      <c r="H588" s="31"/>
      <c r="I588" s="31"/>
      <c r="J588" s="31"/>
      <c r="K588" s="31"/>
      <c r="L588" s="31"/>
      <c r="M588" s="31"/>
      <c r="N588" s="31"/>
      <c r="O588" s="31"/>
    </row>
    <row r="589" ht="15.75" customHeight="1">
      <c r="B589" s="31"/>
      <c r="C589" s="31"/>
      <c r="D589" s="31"/>
      <c r="E589" s="31"/>
      <c r="F589" s="31"/>
      <c r="G589" s="31"/>
      <c r="H589" s="31"/>
      <c r="I589" s="31"/>
      <c r="J589" s="31"/>
      <c r="K589" s="31"/>
      <c r="L589" s="31"/>
      <c r="M589" s="31"/>
      <c r="N589" s="31"/>
      <c r="O589" s="31"/>
    </row>
    <row r="590" ht="15.75" customHeight="1">
      <c r="B590" s="31"/>
      <c r="C590" s="31"/>
      <c r="D590" s="31"/>
      <c r="E590" s="31"/>
      <c r="F590" s="31"/>
      <c r="G590" s="31"/>
      <c r="H590" s="31"/>
      <c r="I590" s="31"/>
      <c r="J590" s="31"/>
      <c r="K590" s="31"/>
      <c r="L590" s="31"/>
      <c r="M590" s="31"/>
      <c r="N590" s="31"/>
      <c r="O590" s="31"/>
    </row>
    <row r="591" ht="15.75" customHeight="1">
      <c r="B591" s="31"/>
      <c r="C591" s="31"/>
      <c r="D591" s="31"/>
      <c r="E591" s="31"/>
      <c r="F591" s="31"/>
      <c r="G591" s="31"/>
      <c r="H591" s="31"/>
      <c r="I591" s="31"/>
      <c r="J591" s="31"/>
      <c r="K591" s="31"/>
      <c r="L591" s="31"/>
      <c r="M591" s="31"/>
      <c r="N591" s="31"/>
      <c r="O591" s="31"/>
    </row>
    <row r="592" ht="15.75" customHeight="1">
      <c r="B592" s="31"/>
      <c r="C592" s="31"/>
      <c r="D592" s="31"/>
      <c r="E592" s="31"/>
      <c r="F592" s="31"/>
      <c r="G592" s="31"/>
      <c r="H592" s="31"/>
      <c r="I592" s="31"/>
      <c r="J592" s="31"/>
      <c r="K592" s="31"/>
      <c r="L592" s="31"/>
      <c r="M592" s="31"/>
      <c r="N592" s="31"/>
      <c r="O592" s="31"/>
    </row>
    <row r="593" ht="15.75" customHeight="1">
      <c r="B593" s="31"/>
      <c r="C593" s="31"/>
      <c r="D593" s="31"/>
      <c r="E593" s="31"/>
      <c r="F593" s="31"/>
      <c r="G593" s="31"/>
      <c r="H593" s="31"/>
      <c r="I593" s="31"/>
      <c r="J593" s="31"/>
      <c r="K593" s="31"/>
      <c r="L593" s="31"/>
      <c r="M593" s="31"/>
      <c r="N593" s="31"/>
      <c r="O593" s="31"/>
    </row>
    <row r="594" ht="15.75" customHeight="1">
      <c r="B594" s="31"/>
      <c r="C594" s="31"/>
      <c r="D594" s="31"/>
      <c r="E594" s="31"/>
      <c r="F594" s="31"/>
      <c r="G594" s="31"/>
      <c r="H594" s="31"/>
      <c r="I594" s="31"/>
      <c r="J594" s="31"/>
      <c r="K594" s="31"/>
      <c r="L594" s="31"/>
      <c r="M594" s="31"/>
      <c r="N594" s="31"/>
      <c r="O594" s="31"/>
    </row>
    <row r="595" ht="15.75" customHeight="1">
      <c r="B595" s="31"/>
      <c r="C595" s="31"/>
      <c r="D595" s="31"/>
      <c r="E595" s="31"/>
      <c r="F595" s="31"/>
      <c r="G595" s="31"/>
      <c r="H595" s="31"/>
      <c r="I595" s="31"/>
      <c r="J595" s="31"/>
      <c r="K595" s="31"/>
      <c r="L595" s="31"/>
      <c r="M595" s="31"/>
      <c r="N595" s="31"/>
      <c r="O595" s="31"/>
    </row>
    <row r="596" ht="15.75" customHeight="1">
      <c r="B596" s="31"/>
      <c r="C596" s="31"/>
      <c r="D596" s="31"/>
      <c r="E596" s="31"/>
      <c r="F596" s="31"/>
      <c r="G596" s="31"/>
      <c r="H596" s="31"/>
      <c r="I596" s="31"/>
      <c r="J596" s="31"/>
      <c r="K596" s="31"/>
      <c r="L596" s="31"/>
      <c r="M596" s="31"/>
      <c r="N596" s="31"/>
      <c r="O596" s="31"/>
    </row>
    <row r="597" ht="15.75" customHeight="1">
      <c r="B597" s="31"/>
      <c r="C597" s="31"/>
      <c r="D597" s="31"/>
      <c r="E597" s="31"/>
      <c r="F597" s="31"/>
      <c r="G597" s="31"/>
      <c r="H597" s="31"/>
      <c r="I597" s="31"/>
      <c r="J597" s="31"/>
      <c r="K597" s="31"/>
      <c r="L597" s="31"/>
      <c r="M597" s="31"/>
      <c r="N597" s="31"/>
      <c r="O597" s="31"/>
    </row>
    <row r="598" ht="15.75" customHeight="1">
      <c r="B598" s="31"/>
      <c r="C598" s="31"/>
      <c r="D598" s="31"/>
      <c r="E598" s="31"/>
      <c r="F598" s="31"/>
      <c r="G598" s="31"/>
      <c r="H598" s="31"/>
      <c r="I598" s="31"/>
      <c r="J598" s="31"/>
      <c r="K598" s="31"/>
      <c r="L598" s="31"/>
      <c r="M598" s="31"/>
      <c r="N598" s="31"/>
      <c r="O598" s="31"/>
    </row>
    <row r="599" ht="15.75" customHeight="1">
      <c r="B599" s="31"/>
      <c r="C599" s="31"/>
      <c r="D599" s="31"/>
      <c r="E599" s="31"/>
      <c r="F599" s="31"/>
      <c r="G599" s="31"/>
      <c r="H599" s="31"/>
      <c r="I599" s="31"/>
      <c r="J599" s="31"/>
      <c r="K599" s="31"/>
      <c r="L599" s="31"/>
      <c r="M599" s="31"/>
      <c r="N599" s="31"/>
      <c r="O599" s="31"/>
    </row>
    <row r="600" ht="15.75" customHeight="1">
      <c r="B600" s="31"/>
      <c r="C600" s="31"/>
      <c r="D600" s="31"/>
      <c r="E600" s="31"/>
      <c r="F600" s="31"/>
      <c r="G600" s="31"/>
      <c r="H600" s="31"/>
      <c r="I600" s="31"/>
      <c r="J600" s="31"/>
      <c r="K600" s="31"/>
      <c r="L600" s="31"/>
      <c r="M600" s="31"/>
      <c r="N600" s="31"/>
      <c r="O600" s="31"/>
    </row>
    <row r="601" ht="15.75" customHeight="1">
      <c r="B601" s="31"/>
      <c r="C601" s="31"/>
      <c r="D601" s="31"/>
      <c r="E601" s="31"/>
      <c r="F601" s="31"/>
      <c r="G601" s="31"/>
      <c r="H601" s="31"/>
      <c r="I601" s="31"/>
      <c r="J601" s="31"/>
      <c r="K601" s="31"/>
      <c r="L601" s="31"/>
      <c r="M601" s="31"/>
      <c r="N601" s="31"/>
      <c r="O601" s="31"/>
    </row>
    <row r="602" ht="15.75" customHeight="1">
      <c r="B602" s="31"/>
      <c r="C602" s="31"/>
      <c r="D602" s="31"/>
      <c r="E602" s="31"/>
      <c r="F602" s="31"/>
      <c r="G602" s="31"/>
      <c r="H602" s="31"/>
      <c r="I602" s="31"/>
      <c r="J602" s="31"/>
      <c r="K602" s="31"/>
      <c r="L602" s="31"/>
      <c r="M602" s="31"/>
      <c r="N602" s="31"/>
      <c r="O602" s="31"/>
    </row>
    <row r="603" ht="15.75" customHeight="1">
      <c r="B603" s="31"/>
      <c r="C603" s="31"/>
      <c r="D603" s="31"/>
      <c r="E603" s="31"/>
      <c r="F603" s="31"/>
      <c r="G603" s="31"/>
      <c r="H603" s="31"/>
      <c r="I603" s="31"/>
      <c r="J603" s="31"/>
      <c r="K603" s="31"/>
      <c r="L603" s="31"/>
      <c r="M603" s="31"/>
      <c r="N603" s="31"/>
      <c r="O603" s="31"/>
    </row>
    <row r="604" ht="15.75" customHeight="1">
      <c r="B604" s="31"/>
      <c r="C604" s="31"/>
      <c r="D604" s="31"/>
      <c r="E604" s="31"/>
      <c r="F604" s="31"/>
      <c r="G604" s="31"/>
      <c r="H604" s="31"/>
      <c r="I604" s="31"/>
      <c r="J604" s="31"/>
      <c r="K604" s="31"/>
      <c r="L604" s="31"/>
      <c r="M604" s="31"/>
      <c r="N604" s="31"/>
      <c r="O604" s="31"/>
    </row>
    <row r="605" ht="15.75" customHeight="1">
      <c r="B605" s="31"/>
      <c r="C605" s="31"/>
      <c r="D605" s="31"/>
      <c r="E605" s="31"/>
      <c r="F605" s="31"/>
      <c r="G605" s="31"/>
      <c r="H605" s="31"/>
      <c r="I605" s="31"/>
      <c r="J605" s="31"/>
      <c r="K605" s="31"/>
      <c r="L605" s="31"/>
      <c r="M605" s="31"/>
      <c r="N605" s="31"/>
      <c r="O605" s="31"/>
    </row>
    <row r="606" ht="15.75" customHeight="1">
      <c r="B606" s="31"/>
      <c r="C606" s="31"/>
      <c r="D606" s="31"/>
      <c r="E606" s="31"/>
      <c r="F606" s="31"/>
      <c r="G606" s="31"/>
      <c r="H606" s="31"/>
      <c r="I606" s="31"/>
      <c r="J606" s="31"/>
      <c r="K606" s="31"/>
      <c r="L606" s="31"/>
      <c r="M606" s="31"/>
      <c r="N606" s="31"/>
      <c r="O606" s="31"/>
    </row>
    <row r="607" ht="15.75" customHeight="1">
      <c r="B607" s="31"/>
      <c r="C607" s="31"/>
      <c r="D607" s="31"/>
      <c r="E607" s="31"/>
      <c r="F607" s="31"/>
      <c r="G607" s="31"/>
      <c r="H607" s="31"/>
      <c r="I607" s="31"/>
      <c r="J607" s="31"/>
      <c r="K607" s="31"/>
      <c r="L607" s="31"/>
      <c r="M607" s="31"/>
      <c r="N607" s="31"/>
      <c r="O607" s="31"/>
    </row>
    <row r="608" ht="15.75" customHeight="1">
      <c r="B608" s="31"/>
      <c r="C608" s="31"/>
      <c r="D608" s="31"/>
      <c r="E608" s="31"/>
      <c r="F608" s="31"/>
      <c r="G608" s="31"/>
      <c r="H608" s="31"/>
      <c r="I608" s="31"/>
      <c r="J608" s="31"/>
      <c r="K608" s="31"/>
      <c r="L608" s="31"/>
      <c r="M608" s="31"/>
      <c r="N608" s="31"/>
      <c r="O608" s="31"/>
    </row>
    <row r="609" ht="15.75" customHeight="1">
      <c r="B609" s="31"/>
      <c r="C609" s="31"/>
      <c r="D609" s="31"/>
      <c r="E609" s="31"/>
      <c r="F609" s="31"/>
      <c r="G609" s="31"/>
      <c r="H609" s="31"/>
      <c r="I609" s="31"/>
      <c r="J609" s="31"/>
      <c r="K609" s="31"/>
      <c r="L609" s="31"/>
      <c r="M609" s="31"/>
      <c r="N609" s="31"/>
      <c r="O609" s="31"/>
    </row>
    <row r="610" ht="15.75" customHeight="1">
      <c r="B610" s="31"/>
      <c r="C610" s="31"/>
      <c r="D610" s="31"/>
      <c r="E610" s="31"/>
      <c r="F610" s="31"/>
      <c r="G610" s="31"/>
      <c r="H610" s="31"/>
      <c r="I610" s="31"/>
      <c r="J610" s="31"/>
      <c r="K610" s="31"/>
      <c r="L610" s="31"/>
      <c r="M610" s="31"/>
      <c r="N610" s="31"/>
      <c r="O610" s="31"/>
    </row>
    <row r="611" ht="15.75" customHeight="1">
      <c r="B611" s="31"/>
      <c r="C611" s="31"/>
      <c r="D611" s="31"/>
      <c r="E611" s="31"/>
      <c r="F611" s="31"/>
      <c r="G611" s="31"/>
      <c r="H611" s="31"/>
      <c r="I611" s="31"/>
      <c r="J611" s="31"/>
      <c r="K611" s="31"/>
      <c r="L611" s="31"/>
      <c r="M611" s="31"/>
      <c r="N611" s="31"/>
      <c r="O611" s="31"/>
    </row>
    <row r="612" ht="15.75" customHeight="1">
      <c r="B612" s="31"/>
      <c r="C612" s="31"/>
      <c r="D612" s="31"/>
      <c r="E612" s="31"/>
      <c r="F612" s="31"/>
      <c r="G612" s="31"/>
      <c r="H612" s="31"/>
      <c r="I612" s="31"/>
      <c r="J612" s="31"/>
      <c r="K612" s="31"/>
      <c r="L612" s="31"/>
      <c r="M612" s="31"/>
      <c r="N612" s="31"/>
      <c r="O612" s="31"/>
    </row>
    <row r="613" ht="15.75" customHeight="1">
      <c r="B613" s="31"/>
      <c r="C613" s="31"/>
      <c r="D613" s="31"/>
      <c r="E613" s="31"/>
      <c r="F613" s="31"/>
      <c r="G613" s="31"/>
      <c r="H613" s="31"/>
      <c r="I613" s="31"/>
      <c r="J613" s="31"/>
      <c r="K613" s="31"/>
      <c r="L613" s="31"/>
      <c r="M613" s="31"/>
      <c r="N613" s="31"/>
      <c r="O613" s="31"/>
    </row>
    <row r="614" ht="15.75" customHeight="1">
      <c r="B614" s="31"/>
      <c r="C614" s="31"/>
      <c r="D614" s="31"/>
      <c r="E614" s="31"/>
      <c r="F614" s="31"/>
      <c r="G614" s="31"/>
      <c r="H614" s="31"/>
      <c r="I614" s="31"/>
      <c r="J614" s="31"/>
      <c r="K614" s="31"/>
      <c r="L614" s="31"/>
      <c r="M614" s="31"/>
      <c r="N614" s="31"/>
      <c r="O614" s="31"/>
    </row>
    <row r="615" ht="15.75" customHeight="1">
      <c r="B615" s="31"/>
      <c r="C615" s="31"/>
      <c r="D615" s="31"/>
      <c r="E615" s="31"/>
      <c r="F615" s="31"/>
      <c r="G615" s="31"/>
      <c r="H615" s="31"/>
      <c r="I615" s="31"/>
      <c r="J615" s="31"/>
      <c r="K615" s="31"/>
      <c r="L615" s="31"/>
      <c r="M615" s="31"/>
      <c r="N615" s="31"/>
      <c r="O615" s="31"/>
    </row>
    <row r="616" ht="15.75" customHeight="1">
      <c r="B616" s="31"/>
      <c r="C616" s="31"/>
      <c r="D616" s="31"/>
      <c r="E616" s="31"/>
      <c r="F616" s="31"/>
      <c r="G616" s="31"/>
      <c r="H616" s="31"/>
      <c r="I616" s="31"/>
      <c r="J616" s="31"/>
      <c r="K616" s="31"/>
      <c r="L616" s="31"/>
      <c r="M616" s="31"/>
      <c r="N616" s="31"/>
      <c r="O616" s="31"/>
    </row>
    <row r="617" ht="15.75" customHeight="1">
      <c r="B617" s="31"/>
      <c r="C617" s="31"/>
      <c r="D617" s="31"/>
      <c r="E617" s="31"/>
      <c r="F617" s="31"/>
      <c r="G617" s="31"/>
      <c r="H617" s="31"/>
      <c r="I617" s="31"/>
      <c r="J617" s="31"/>
      <c r="K617" s="31"/>
      <c r="L617" s="31"/>
      <c r="M617" s="31"/>
      <c r="N617" s="31"/>
      <c r="O617" s="31"/>
    </row>
    <row r="618" ht="15.75" customHeight="1">
      <c r="B618" s="31"/>
      <c r="C618" s="31"/>
      <c r="D618" s="31"/>
      <c r="E618" s="31"/>
      <c r="F618" s="31"/>
      <c r="G618" s="31"/>
      <c r="H618" s="31"/>
      <c r="I618" s="31"/>
      <c r="J618" s="31"/>
      <c r="K618" s="31"/>
      <c r="L618" s="31"/>
      <c r="M618" s="31"/>
      <c r="N618" s="31"/>
      <c r="O618" s="31"/>
    </row>
    <row r="619" ht="15.75" customHeight="1">
      <c r="B619" s="31"/>
      <c r="C619" s="31"/>
      <c r="D619" s="31"/>
      <c r="E619" s="31"/>
      <c r="F619" s="31"/>
      <c r="G619" s="31"/>
      <c r="H619" s="31"/>
      <c r="I619" s="31"/>
      <c r="J619" s="31"/>
      <c r="K619" s="31"/>
      <c r="L619" s="31"/>
      <c r="M619" s="31"/>
      <c r="N619" s="31"/>
      <c r="O619" s="31"/>
    </row>
    <row r="620" ht="15.75" customHeight="1">
      <c r="B620" s="31"/>
      <c r="C620" s="31"/>
      <c r="D620" s="31"/>
      <c r="E620" s="31"/>
      <c r="F620" s="31"/>
      <c r="G620" s="31"/>
      <c r="H620" s="31"/>
      <c r="I620" s="31"/>
      <c r="J620" s="31"/>
      <c r="K620" s="31"/>
      <c r="L620" s="31"/>
      <c r="M620" s="31"/>
      <c r="N620" s="31"/>
      <c r="O620" s="31"/>
    </row>
    <row r="621" ht="15.75" customHeight="1">
      <c r="B621" s="31"/>
      <c r="C621" s="31"/>
      <c r="D621" s="31"/>
      <c r="E621" s="31"/>
      <c r="F621" s="31"/>
      <c r="G621" s="31"/>
      <c r="H621" s="31"/>
      <c r="I621" s="31"/>
      <c r="J621" s="31"/>
      <c r="K621" s="31"/>
      <c r="L621" s="31"/>
      <c r="M621" s="31"/>
      <c r="N621" s="31"/>
      <c r="O621" s="31"/>
    </row>
    <row r="622" ht="15.75" customHeight="1">
      <c r="B622" s="31"/>
      <c r="C622" s="31"/>
      <c r="D622" s="31"/>
      <c r="E622" s="31"/>
      <c r="F622" s="31"/>
      <c r="G622" s="31"/>
      <c r="H622" s="31"/>
      <c r="I622" s="31"/>
      <c r="J622" s="31"/>
      <c r="K622" s="31"/>
      <c r="L622" s="31"/>
      <c r="M622" s="31"/>
      <c r="N622" s="31"/>
      <c r="O622" s="31"/>
    </row>
    <row r="623" ht="15.75" customHeight="1">
      <c r="B623" s="31"/>
      <c r="C623" s="31"/>
      <c r="D623" s="31"/>
      <c r="E623" s="31"/>
      <c r="F623" s="31"/>
      <c r="G623" s="31"/>
      <c r="H623" s="31"/>
      <c r="I623" s="31"/>
      <c r="J623" s="31"/>
      <c r="K623" s="31"/>
      <c r="L623" s="31"/>
      <c r="M623" s="31"/>
      <c r="N623" s="31"/>
      <c r="O623" s="31"/>
    </row>
    <row r="624" ht="15.75" customHeight="1">
      <c r="B624" s="31"/>
      <c r="C624" s="31"/>
      <c r="D624" s="31"/>
      <c r="E624" s="31"/>
      <c r="F624" s="31"/>
      <c r="G624" s="31"/>
      <c r="H624" s="31"/>
      <c r="I624" s="31"/>
      <c r="J624" s="31"/>
      <c r="K624" s="31"/>
      <c r="L624" s="31"/>
      <c r="M624" s="31"/>
      <c r="N624" s="31"/>
      <c r="O624" s="31"/>
    </row>
    <row r="625" ht="15.75" customHeight="1">
      <c r="B625" s="31"/>
      <c r="C625" s="31"/>
      <c r="D625" s="31"/>
      <c r="E625" s="31"/>
      <c r="F625" s="31"/>
      <c r="G625" s="31"/>
      <c r="H625" s="31"/>
      <c r="I625" s="31"/>
      <c r="J625" s="31"/>
      <c r="K625" s="31"/>
      <c r="L625" s="31"/>
      <c r="M625" s="31"/>
      <c r="N625" s="31"/>
      <c r="O625" s="31"/>
    </row>
    <row r="626" ht="15.75" customHeight="1">
      <c r="B626" s="31"/>
      <c r="C626" s="31"/>
      <c r="D626" s="31"/>
      <c r="E626" s="31"/>
      <c r="F626" s="31"/>
      <c r="G626" s="31"/>
      <c r="H626" s="31"/>
      <c r="I626" s="31"/>
      <c r="J626" s="31"/>
      <c r="K626" s="31"/>
      <c r="L626" s="31"/>
      <c r="M626" s="31"/>
      <c r="N626" s="31"/>
      <c r="O626" s="31"/>
    </row>
    <row r="627" ht="15.75" customHeight="1">
      <c r="B627" s="31"/>
      <c r="C627" s="31"/>
      <c r="D627" s="31"/>
      <c r="E627" s="31"/>
      <c r="F627" s="31"/>
      <c r="G627" s="31"/>
      <c r="H627" s="31"/>
      <c r="I627" s="31"/>
      <c r="J627" s="31"/>
      <c r="K627" s="31"/>
      <c r="L627" s="31"/>
      <c r="M627" s="31"/>
      <c r="N627" s="31"/>
      <c r="O627" s="31"/>
    </row>
    <row r="628" ht="15.75" customHeight="1">
      <c r="B628" s="31"/>
      <c r="C628" s="31"/>
      <c r="D628" s="31"/>
      <c r="E628" s="31"/>
      <c r="F628" s="31"/>
      <c r="G628" s="31"/>
      <c r="H628" s="31"/>
      <c r="I628" s="31"/>
      <c r="J628" s="31"/>
      <c r="K628" s="31"/>
      <c r="L628" s="31"/>
      <c r="M628" s="31"/>
      <c r="N628" s="31"/>
      <c r="O628" s="31"/>
    </row>
    <row r="629" ht="15.75" customHeight="1">
      <c r="B629" s="31"/>
      <c r="C629" s="31"/>
      <c r="D629" s="31"/>
      <c r="E629" s="31"/>
      <c r="F629" s="31"/>
      <c r="G629" s="31"/>
      <c r="H629" s="31"/>
      <c r="I629" s="31"/>
      <c r="J629" s="31"/>
      <c r="K629" s="31"/>
      <c r="L629" s="31"/>
      <c r="M629" s="31"/>
      <c r="N629" s="31"/>
      <c r="O629" s="31"/>
    </row>
    <row r="630" ht="15.75" customHeight="1">
      <c r="B630" s="31"/>
      <c r="C630" s="31"/>
      <c r="D630" s="31"/>
      <c r="E630" s="31"/>
      <c r="F630" s="31"/>
      <c r="G630" s="31"/>
      <c r="H630" s="31"/>
      <c r="I630" s="31"/>
      <c r="J630" s="31"/>
      <c r="K630" s="31"/>
      <c r="L630" s="31"/>
      <c r="M630" s="31"/>
      <c r="N630" s="31"/>
      <c r="O630" s="31"/>
    </row>
    <row r="631" ht="15.75" customHeight="1">
      <c r="B631" s="31"/>
      <c r="C631" s="31"/>
      <c r="D631" s="31"/>
      <c r="E631" s="31"/>
      <c r="F631" s="31"/>
      <c r="G631" s="31"/>
      <c r="H631" s="31"/>
      <c r="I631" s="31"/>
      <c r="J631" s="31"/>
      <c r="K631" s="31"/>
      <c r="L631" s="31"/>
      <c r="M631" s="31"/>
      <c r="N631" s="31"/>
      <c r="O631" s="31"/>
    </row>
    <row r="632" ht="15.75" customHeight="1">
      <c r="B632" s="31"/>
      <c r="C632" s="31"/>
      <c r="D632" s="31"/>
      <c r="E632" s="31"/>
      <c r="F632" s="31"/>
      <c r="G632" s="31"/>
      <c r="H632" s="31"/>
      <c r="I632" s="31"/>
      <c r="J632" s="31"/>
      <c r="K632" s="31"/>
      <c r="L632" s="31"/>
      <c r="M632" s="31"/>
      <c r="N632" s="31"/>
      <c r="O632" s="31"/>
    </row>
    <row r="633" ht="15.75" customHeight="1">
      <c r="B633" s="31"/>
      <c r="C633" s="31"/>
      <c r="D633" s="31"/>
      <c r="E633" s="31"/>
      <c r="F633" s="31"/>
      <c r="G633" s="31"/>
      <c r="H633" s="31"/>
      <c r="I633" s="31"/>
      <c r="J633" s="31"/>
      <c r="K633" s="31"/>
      <c r="L633" s="31"/>
      <c r="M633" s="31"/>
      <c r="N633" s="31"/>
      <c r="O633" s="31"/>
    </row>
    <row r="634" ht="15.75" customHeight="1">
      <c r="B634" s="31"/>
      <c r="C634" s="31"/>
      <c r="D634" s="31"/>
      <c r="E634" s="31"/>
      <c r="F634" s="31"/>
      <c r="G634" s="31"/>
      <c r="H634" s="31"/>
      <c r="I634" s="31"/>
      <c r="J634" s="31"/>
      <c r="K634" s="31"/>
      <c r="L634" s="31"/>
      <c r="M634" s="31"/>
      <c r="N634" s="31"/>
      <c r="O634" s="31"/>
    </row>
    <row r="635" ht="15.75" customHeight="1">
      <c r="B635" s="31"/>
      <c r="C635" s="31"/>
      <c r="D635" s="31"/>
      <c r="E635" s="31"/>
      <c r="F635" s="31"/>
      <c r="G635" s="31"/>
      <c r="H635" s="31"/>
      <c r="I635" s="31"/>
      <c r="J635" s="31"/>
      <c r="K635" s="31"/>
      <c r="L635" s="31"/>
      <c r="M635" s="31"/>
      <c r="N635" s="31"/>
      <c r="O635" s="31"/>
    </row>
    <row r="636" ht="15.75" customHeight="1">
      <c r="B636" s="31"/>
      <c r="C636" s="31"/>
      <c r="D636" s="31"/>
      <c r="E636" s="31"/>
      <c r="F636" s="31"/>
      <c r="G636" s="31"/>
      <c r="H636" s="31"/>
      <c r="I636" s="31"/>
      <c r="J636" s="31"/>
      <c r="K636" s="31"/>
      <c r="L636" s="31"/>
      <c r="M636" s="31"/>
      <c r="N636" s="31"/>
      <c r="O636" s="31"/>
    </row>
    <row r="637" ht="15.75" customHeight="1">
      <c r="B637" s="31"/>
      <c r="C637" s="31"/>
      <c r="D637" s="31"/>
      <c r="E637" s="31"/>
      <c r="F637" s="31"/>
      <c r="G637" s="31"/>
      <c r="H637" s="31"/>
      <c r="I637" s="31"/>
      <c r="J637" s="31"/>
      <c r="K637" s="31"/>
      <c r="L637" s="31"/>
      <c r="M637" s="31"/>
      <c r="N637" s="31"/>
      <c r="O637" s="31"/>
    </row>
    <row r="638" ht="15.75" customHeight="1">
      <c r="B638" s="31"/>
      <c r="C638" s="31"/>
      <c r="D638" s="31"/>
      <c r="E638" s="31"/>
      <c r="F638" s="31"/>
      <c r="G638" s="31"/>
      <c r="H638" s="31"/>
      <c r="I638" s="31"/>
      <c r="J638" s="31"/>
      <c r="K638" s="31"/>
      <c r="L638" s="31"/>
      <c r="M638" s="31"/>
      <c r="N638" s="31"/>
      <c r="O638" s="31"/>
    </row>
    <row r="639" ht="15.75" customHeight="1">
      <c r="B639" s="31"/>
      <c r="C639" s="31"/>
      <c r="D639" s="31"/>
      <c r="E639" s="31"/>
      <c r="F639" s="31"/>
      <c r="G639" s="31"/>
      <c r="H639" s="31"/>
      <c r="I639" s="31"/>
      <c r="J639" s="31"/>
      <c r="K639" s="31"/>
      <c r="L639" s="31"/>
      <c r="M639" s="31"/>
      <c r="N639" s="31"/>
      <c r="O639" s="31"/>
    </row>
    <row r="640" ht="15.75" customHeight="1">
      <c r="B640" s="31"/>
      <c r="C640" s="31"/>
      <c r="D640" s="31"/>
      <c r="E640" s="31"/>
      <c r="F640" s="31"/>
      <c r="G640" s="31"/>
      <c r="H640" s="31"/>
      <c r="I640" s="31"/>
      <c r="J640" s="31"/>
      <c r="K640" s="31"/>
      <c r="L640" s="31"/>
      <c r="M640" s="31"/>
      <c r="N640" s="31"/>
      <c r="O640" s="31"/>
    </row>
    <row r="641" ht="15.75" customHeight="1">
      <c r="B641" s="31"/>
      <c r="C641" s="31"/>
      <c r="D641" s="31"/>
      <c r="E641" s="31"/>
      <c r="F641" s="31"/>
      <c r="G641" s="31"/>
      <c r="H641" s="31"/>
      <c r="I641" s="31"/>
      <c r="J641" s="31"/>
      <c r="K641" s="31"/>
      <c r="L641" s="31"/>
      <c r="M641" s="31"/>
      <c r="N641" s="31"/>
      <c r="O641" s="31"/>
    </row>
    <row r="642" ht="15.75" customHeight="1">
      <c r="B642" s="31"/>
      <c r="C642" s="31"/>
      <c r="D642" s="31"/>
      <c r="E642" s="31"/>
      <c r="F642" s="31"/>
      <c r="G642" s="31"/>
      <c r="H642" s="31"/>
      <c r="I642" s="31"/>
      <c r="J642" s="31"/>
      <c r="K642" s="31"/>
      <c r="L642" s="31"/>
      <c r="M642" s="31"/>
      <c r="N642" s="31"/>
      <c r="O642" s="31"/>
    </row>
    <row r="643" ht="15.75" customHeight="1">
      <c r="B643" s="31"/>
      <c r="C643" s="31"/>
      <c r="D643" s="31"/>
      <c r="E643" s="31"/>
      <c r="F643" s="31"/>
      <c r="G643" s="31"/>
      <c r="H643" s="31"/>
      <c r="I643" s="31"/>
      <c r="J643" s="31"/>
      <c r="K643" s="31"/>
      <c r="L643" s="31"/>
      <c r="M643" s="31"/>
      <c r="N643" s="31"/>
      <c r="O643" s="31"/>
    </row>
    <row r="644" ht="15.75" customHeight="1">
      <c r="B644" s="31"/>
      <c r="C644" s="31"/>
      <c r="D644" s="31"/>
      <c r="E644" s="31"/>
      <c r="F644" s="31"/>
      <c r="G644" s="31"/>
      <c r="H644" s="31"/>
      <c r="I644" s="31"/>
      <c r="J644" s="31"/>
      <c r="K644" s="31"/>
      <c r="L644" s="31"/>
      <c r="M644" s="31"/>
      <c r="N644" s="31"/>
      <c r="O644" s="31"/>
    </row>
    <row r="645" ht="15.75" customHeight="1">
      <c r="B645" s="31"/>
      <c r="C645" s="31"/>
      <c r="D645" s="31"/>
      <c r="E645" s="31"/>
      <c r="F645" s="31"/>
      <c r="G645" s="31"/>
      <c r="H645" s="31"/>
      <c r="I645" s="31"/>
      <c r="J645" s="31"/>
      <c r="K645" s="31"/>
      <c r="L645" s="31"/>
      <c r="M645" s="31"/>
      <c r="N645" s="31"/>
      <c r="O645" s="31"/>
    </row>
    <row r="646" ht="15.75" customHeight="1">
      <c r="B646" s="31"/>
      <c r="C646" s="31"/>
      <c r="D646" s="31"/>
      <c r="E646" s="31"/>
      <c r="F646" s="31"/>
      <c r="G646" s="31"/>
      <c r="H646" s="31"/>
      <c r="I646" s="31"/>
      <c r="J646" s="31"/>
      <c r="K646" s="31"/>
      <c r="L646" s="31"/>
      <c r="M646" s="31"/>
      <c r="N646" s="31"/>
      <c r="O646" s="31"/>
    </row>
    <row r="647" ht="15.75" customHeight="1">
      <c r="B647" s="31"/>
      <c r="C647" s="31"/>
      <c r="D647" s="31"/>
      <c r="E647" s="31"/>
      <c r="F647" s="31"/>
      <c r="G647" s="31"/>
      <c r="H647" s="31"/>
      <c r="I647" s="31"/>
      <c r="J647" s="31"/>
      <c r="K647" s="31"/>
      <c r="L647" s="31"/>
      <c r="M647" s="31"/>
      <c r="N647" s="31"/>
      <c r="O647" s="31"/>
    </row>
    <row r="648" ht="15.75" customHeight="1">
      <c r="B648" s="31"/>
      <c r="C648" s="31"/>
      <c r="D648" s="31"/>
      <c r="E648" s="31"/>
      <c r="F648" s="31"/>
      <c r="G648" s="31"/>
      <c r="H648" s="31"/>
      <c r="I648" s="31"/>
      <c r="J648" s="31"/>
      <c r="K648" s="31"/>
      <c r="L648" s="31"/>
      <c r="M648" s="31"/>
      <c r="N648" s="31"/>
      <c r="O648" s="31"/>
    </row>
    <row r="649" ht="15.75" customHeight="1">
      <c r="B649" s="31"/>
      <c r="C649" s="31"/>
      <c r="D649" s="31"/>
      <c r="E649" s="31"/>
      <c r="F649" s="31"/>
      <c r="G649" s="31"/>
      <c r="H649" s="31"/>
      <c r="I649" s="31"/>
      <c r="J649" s="31"/>
      <c r="K649" s="31"/>
      <c r="L649" s="31"/>
      <c r="M649" s="31"/>
      <c r="N649" s="31"/>
      <c r="O649" s="31"/>
    </row>
    <row r="650" ht="15.75" customHeight="1">
      <c r="B650" s="31"/>
      <c r="C650" s="31"/>
      <c r="D650" s="31"/>
      <c r="E650" s="31"/>
      <c r="F650" s="31"/>
      <c r="G650" s="31"/>
      <c r="H650" s="31"/>
      <c r="I650" s="31"/>
      <c r="J650" s="31"/>
      <c r="K650" s="31"/>
      <c r="L650" s="31"/>
      <c r="M650" s="31"/>
      <c r="N650" s="31"/>
      <c r="O650" s="31"/>
    </row>
    <row r="651" ht="15.75" customHeight="1">
      <c r="B651" s="31"/>
      <c r="C651" s="31"/>
      <c r="D651" s="31"/>
      <c r="E651" s="31"/>
      <c r="F651" s="31"/>
      <c r="G651" s="31"/>
      <c r="H651" s="31"/>
      <c r="I651" s="31"/>
      <c r="J651" s="31"/>
      <c r="K651" s="31"/>
      <c r="L651" s="31"/>
      <c r="M651" s="31"/>
      <c r="N651" s="31"/>
      <c r="O651" s="31"/>
    </row>
    <row r="652" ht="15.75" customHeight="1">
      <c r="B652" s="31"/>
      <c r="C652" s="31"/>
      <c r="D652" s="31"/>
      <c r="E652" s="31"/>
      <c r="F652" s="31"/>
      <c r="G652" s="31"/>
      <c r="H652" s="31"/>
      <c r="I652" s="31"/>
      <c r="J652" s="31"/>
      <c r="K652" s="31"/>
      <c r="L652" s="31"/>
      <c r="M652" s="31"/>
      <c r="N652" s="31"/>
      <c r="O652" s="31"/>
    </row>
    <row r="653" ht="15.75" customHeight="1">
      <c r="B653" s="31"/>
      <c r="C653" s="31"/>
      <c r="D653" s="31"/>
      <c r="E653" s="31"/>
      <c r="F653" s="31"/>
      <c r="G653" s="31"/>
      <c r="H653" s="31"/>
      <c r="I653" s="31"/>
      <c r="J653" s="31"/>
      <c r="K653" s="31"/>
      <c r="L653" s="31"/>
      <c r="M653" s="31"/>
      <c r="N653" s="31"/>
      <c r="O653" s="31"/>
    </row>
    <row r="654" ht="15.75" customHeight="1">
      <c r="B654" s="31"/>
      <c r="C654" s="31"/>
      <c r="D654" s="31"/>
      <c r="E654" s="31"/>
      <c r="F654" s="31"/>
      <c r="G654" s="31"/>
      <c r="H654" s="31"/>
      <c r="I654" s="31"/>
      <c r="J654" s="31"/>
      <c r="K654" s="31"/>
      <c r="L654" s="31"/>
      <c r="M654" s="31"/>
      <c r="N654" s="31"/>
      <c r="O654" s="31"/>
    </row>
    <row r="655" ht="15.75" customHeight="1">
      <c r="B655" s="31"/>
      <c r="C655" s="31"/>
      <c r="D655" s="31"/>
      <c r="E655" s="31"/>
      <c r="F655" s="31"/>
      <c r="G655" s="31"/>
      <c r="H655" s="31"/>
      <c r="I655" s="31"/>
      <c r="J655" s="31"/>
      <c r="K655" s="31"/>
      <c r="L655" s="31"/>
      <c r="M655" s="31"/>
      <c r="N655" s="31"/>
      <c r="O655" s="31"/>
    </row>
    <row r="656" ht="15.75" customHeight="1">
      <c r="B656" s="31"/>
      <c r="C656" s="31"/>
      <c r="D656" s="31"/>
      <c r="E656" s="31"/>
      <c r="F656" s="31"/>
      <c r="G656" s="31"/>
      <c r="H656" s="31"/>
      <c r="I656" s="31"/>
      <c r="J656" s="31"/>
      <c r="K656" s="31"/>
      <c r="L656" s="31"/>
      <c r="M656" s="31"/>
      <c r="N656" s="31"/>
      <c r="O656" s="31"/>
    </row>
    <row r="657" ht="15.75" customHeight="1">
      <c r="B657" s="31"/>
      <c r="C657" s="31"/>
      <c r="D657" s="31"/>
      <c r="E657" s="31"/>
      <c r="F657" s="31"/>
      <c r="G657" s="31"/>
      <c r="H657" s="31"/>
      <c r="I657" s="31"/>
      <c r="J657" s="31"/>
      <c r="K657" s="31"/>
      <c r="L657" s="31"/>
      <c r="M657" s="31"/>
      <c r="N657" s="31"/>
      <c r="O657" s="31"/>
    </row>
    <row r="658" ht="15.75" customHeight="1">
      <c r="B658" s="31"/>
      <c r="C658" s="31"/>
      <c r="D658" s="31"/>
      <c r="E658" s="31"/>
      <c r="F658" s="31"/>
      <c r="G658" s="31"/>
      <c r="H658" s="31"/>
      <c r="I658" s="31"/>
      <c r="J658" s="31"/>
      <c r="K658" s="31"/>
      <c r="L658" s="31"/>
      <c r="M658" s="31"/>
      <c r="N658" s="31"/>
      <c r="O658" s="31"/>
    </row>
    <row r="659" ht="15.75" customHeight="1">
      <c r="B659" s="31"/>
      <c r="C659" s="31"/>
      <c r="D659" s="31"/>
      <c r="E659" s="31"/>
      <c r="F659" s="31"/>
      <c r="G659" s="31"/>
      <c r="H659" s="31"/>
      <c r="I659" s="31"/>
      <c r="J659" s="31"/>
      <c r="K659" s="31"/>
      <c r="L659" s="31"/>
      <c r="M659" s="31"/>
      <c r="N659" s="31"/>
      <c r="O659" s="31"/>
    </row>
    <row r="660" ht="15.75" customHeight="1">
      <c r="B660" s="31"/>
      <c r="C660" s="31"/>
      <c r="D660" s="31"/>
      <c r="E660" s="31"/>
      <c r="F660" s="31"/>
      <c r="G660" s="31"/>
      <c r="H660" s="31"/>
      <c r="I660" s="31"/>
      <c r="J660" s="31"/>
      <c r="K660" s="31"/>
      <c r="L660" s="31"/>
      <c r="M660" s="31"/>
      <c r="N660" s="31"/>
      <c r="O660" s="31"/>
    </row>
    <row r="661" ht="15.75" customHeight="1">
      <c r="B661" s="31"/>
      <c r="C661" s="31"/>
      <c r="D661" s="31"/>
      <c r="E661" s="31"/>
      <c r="F661" s="31"/>
      <c r="G661" s="31"/>
      <c r="H661" s="31"/>
      <c r="I661" s="31"/>
      <c r="J661" s="31"/>
      <c r="K661" s="31"/>
      <c r="L661" s="31"/>
      <c r="M661" s="31"/>
      <c r="N661" s="31"/>
      <c r="O661" s="31"/>
    </row>
    <row r="662" ht="15.75" customHeight="1">
      <c r="B662" s="31"/>
      <c r="C662" s="31"/>
      <c r="D662" s="31"/>
      <c r="E662" s="31"/>
      <c r="F662" s="31"/>
      <c r="G662" s="31"/>
      <c r="H662" s="31"/>
      <c r="I662" s="31"/>
      <c r="J662" s="31"/>
      <c r="K662" s="31"/>
      <c r="L662" s="31"/>
      <c r="M662" s="31"/>
      <c r="N662" s="31"/>
      <c r="O662" s="31"/>
    </row>
    <row r="663" ht="15.75" customHeight="1">
      <c r="B663" s="31"/>
      <c r="C663" s="31"/>
      <c r="D663" s="31"/>
      <c r="E663" s="31"/>
      <c r="F663" s="31"/>
      <c r="G663" s="31"/>
      <c r="H663" s="31"/>
      <c r="I663" s="31"/>
      <c r="J663" s="31"/>
      <c r="K663" s="31"/>
      <c r="L663" s="31"/>
      <c r="M663" s="31"/>
      <c r="N663" s="31"/>
      <c r="O663" s="31"/>
    </row>
    <row r="664" ht="15.75" customHeight="1">
      <c r="B664" s="31"/>
      <c r="C664" s="31"/>
      <c r="D664" s="31"/>
      <c r="E664" s="31"/>
      <c r="F664" s="31"/>
      <c r="G664" s="31"/>
      <c r="H664" s="31"/>
      <c r="I664" s="31"/>
      <c r="J664" s="31"/>
      <c r="K664" s="31"/>
      <c r="L664" s="31"/>
      <c r="M664" s="31"/>
      <c r="N664" s="31"/>
      <c r="O664" s="31"/>
    </row>
    <row r="665" ht="15.75" customHeight="1">
      <c r="B665" s="31"/>
      <c r="C665" s="31"/>
      <c r="D665" s="31"/>
      <c r="E665" s="31"/>
      <c r="F665" s="31"/>
      <c r="G665" s="31"/>
      <c r="H665" s="31"/>
      <c r="I665" s="31"/>
      <c r="J665" s="31"/>
      <c r="K665" s="31"/>
      <c r="L665" s="31"/>
      <c r="M665" s="31"/>
      <c r="N665" s="31"/>
      <c r="O665" s="31"/>
    </row>
    <row r="666" ht="15.75" customHeight="1">
      <c r="B666" s="31"/>
      <c r="C666" s="31"/>
      <c r="D666" s="31"/>
      <c r="E666" s="31"/>
      <c r="F666" s="31"/>
      <c r="G666" s="31"/>
      <c r="H666" s="31"/>
      <c r="I666" s="31"/>
      <c r="J666" s="31"/>
      <c r="K666" s="31"/>
      <c r="L666" s="31"/>
      <c r="M666" s="31"/>
      <c r="N666" s="31"/>
      <c r="O666" s="31"/>
    </row>
    <row r="667" ht="15.75" customHeight="1">
      <c r="B667" s="31"/>
      <c r="C667" s="31"/>
      <c r="D667" s="31"/>
      <c r="E667" s="31"/>
      <c r="F667" s="31"/>
      <c r="G667" s="31"/>
      <c r="H667" s="31"/>
      <c r="I667" s="31"/>
      <c r="J667" s="31"/>
      <c r="K667" s="31"/>
      <c r="L667" s="31"/>
      <c r="M667" s="31"/>
      <c r="N667" s="31"/>
      <c r="O667" s="31"/>
    </row>
    <row r="668" ht="15.75" customHeight="1">
      <c r="B668" s="31"/>
      <c r="C668" s="31"/>
      <c r="D668" s="31"/>
      <c r="E668" s="31"/>
      <c r="F668" s="31"/>
      <c r="G668" s="31"/>
      <c r="H668" s="31"/>
      <c r="I668" s="31"/>
      <c r="J668" s="31"/>
      <c r="K668" s="31"/>
      <c r="L668" s="31"/>
      <c r="M668" s="31"/>
      <c r="N668" s="31"/>
      <c r="O668" s="31"/>
    </row>
    <row r="669" ht="15.75" customHeight="1">
      <c r="B669" s="31"/>
      <c r="C669" s="31"/>
      <c r="D669" s="31"/>
      <c r="E669" s="31"/>
      <c r="F669" s="31"/>
      <c r="G669" s="31"/>
      <c r="H669" s="31"/>
      <c r="I669" s="31"/>
      <c r="J669" s="31"/>
      <c r="K669" s="31"/>
      <c r="L669" s="31"/>
      <c r="M669" s="31"/>
      <c r="N669" s="31"/>
      <c r="O669" s="31"/>
    </row>
    <row r="670" ht="15.75" customHeight="1">
      <c r="B670" s="31"/>
      <c r="C670" s="31"/>
      <c r="D670" s="31"/>
      <c r="E670" s="31"/>
      <c r="F670" s="31"/>
      <c r="G670" s="31"/>
      <c r="H670" s="31"/>
      <c r="I670" s="31"/>
      <c r="J670" s="31"/>
      <c r="K670" s="31"/>
      <c r="L670" s="31"/>
      <c r="M670" s="31"/>
      <c r="N670" s="31"/>
      <c r="O670" s="31"/>
    </row>
    <row r="671" ht="15.75" customHeight="1">
      <c r="B671" s="31"/>
      <c r="C671" s="31"/>
      <c r="D671" s="31"/>
      <c r="E671" s="31"/>
      <c r="F671" s="31"/>
      <c r="G671" s="31"/>
      <c r="H671" s="31"/>
      <c r="I671" s="31"/>
      <c r="J671" s="31"/>
      <c r="K671" s="31"/>
      <c r="L671" s="31"/>
      <c r="M671" s="31"/>
      <c r="N671" s="31"/>
      <c r="O671" s="31"/>
    </row>
    <row r="672" ht="15.75" customHeight="1">
      <c r="B672" s="31"/>
      <c r="C672" s="31"/>
      <c r="D672" s="31"/>
      <c r="E672" s="31"/>
      <c r="F672" s="31"/>
      <c r="G672" s="31"/>
      <c r="H672" s="31"/>
      <c r="I672" s="31"/>
      <c r="J672" s="31"/>
      <c r="K672" s="31"/>
      <c r="L672" s="31"/>
      <c r="M672" s="31"/>
      <c r="N672" s="31"/>
      <c r="O672" s="31"/>
    </row>
    <row r="673" ht="15.75" customHeight="1">
      <c r="B673" s="31"/>
      <c r="C673" s="31"/>
      <c r="D673" s="31"/>
      <c r="E673" s="31"/>
      <c r="F673" s="31"/>
      <c r="G673" s="31"/>
      <c r="H673" s="31"/>
      <c r="I673" s="31"/>
      <c r="J673" s="31"/>
      <c r="K673" s="31"/>
      <c r="L673" s="31"/>
      <c r="M673" s="31"/>
      <c r="N673" s="31"/>
      <c r="O673" s="31"/>
    </row>
    <row r="674" ht="15.75" customHeight="1">
      <c r="B674" s="31"/>
      <c r="C674" s="31"/>
      <c r="D674" s="31"/>
      <c r="E674" s="31"/>
      <c r="F674" s="31"/>
      <c r="G674" s="31"/>
      <c r="H674" s="31"/>
      <c r="I674" s="31"/>
      <c r="J674" s="31"/>
      <c r="K674" s="31"/>
      <c r="L674" s="31"/>
      <c r="M674" s="31"/>
      <c r="N674" s="31"/>
      <c r="O674" s="31"/>
    </row>
    <row r="675" ht="15.75" customHeight="1">
      <c r="B675" s="31"/>
      <c r="C675" s="31"/>
      <c r="D675" s="31"/>
      <c r="E675" s="31"/>
      <c r="F675" s="31"/>
      <c r="G675" s="31"/>
      <c r="H675" s="31"/>
      <c r="I675" s="31"/>
      <c r="J675" s="31"/>
      <c r="K675" s="31"/>
      <c r="L675" s="31"/>
      <c r="M675" s="31"/>
      <c r="N675" s="31"/>
      <c r="O675" s="31"/>
    </row>
    <row r="676" ht="15.75" customHeight="1">
      <c r="B676" s="31"/>
      <c r="C676" s="31"/>
      <c r="D676" s="31"/>
      <c r="E676" s="31"/>
      <c r="F676" s="31"/>
      <c r="G676" s="31"/>
      <c r="H676" s="31"/>
      <c r="I676" s="31"/>
      <c r="J676" s="31"/>
      <c r="K676" s="31"/>
      <c r="L676" s="31"/>
      <c r="M676" s="31"/>
      <c r="N676" s="31"/>
      <c r="O676" s="31"/>
    </row>
    <row r="677" ht="15.75" customHeight="1">
      <c r="B677" s="31"/>
      <c r="C677" s="31"/>
      <c r="D677" s="31"/>
      <c r="E677" s="31"/>
      <c r="F677" s="31"/>
      <c r="G677" s="31"/>
      <c r="H677" s="31"/>
      <c r="I677" s="31"/>
      <c r="J677" s="31"/>
      <c r="K677" s="31"/>
      <c r="L677" s="31"/>
      <c r="M677" s="31"/>
      <c r="N677" s="31"/>
      <c r="O677" s="31"/>
    </row>
    <row r="678" ht="15.75" customHeight="1">
      <c r="B678" s="31"/>
      <c r="C678" s="31"/>
      <c r="D678" s="31"/>
      <c r="E678" s="31"/>
      <c r="F678" s="31"/>
      <c r="G678" s="31"/>
      <c r="H678" s="31"/>
      <c r="I678" s="31"/>
      <c r="J678" s="31"/>
      <c r="K678" s="31"/>
      <c r="L678" s="31"/>
      <c r="M678" s="31"/>
      <c r="N678" s="31"/>
      <c r="O678" s="31"/>
    </row>
    <row r="679" ht="15.75" customHeight="1">
      <c r="B679" s="31"/>
      <c r="C679" s="31"/>
      <c r="D679" s="31"/>
      <c r="E679" s="31"/>
      <c r="F679" s="31"/>
      <c r="G679" s="31"/>
      <c r="H679" s="31"/>
      <c r="I679" s="31"/>
      <c r="J679" s="31"/>
      <c r="K679" s="31"/>
      <c r="L679" s="31"/>
      <c r="M679" s="31"/>
      <c r="N679" s="31"/>
      <c r="O679" s="31"/>
    </row>
    <row r="680" ht="15.75" customHeight="1">
      <c r="B680" s="31"/>
      <c r="C680" s="31"/>
      <c r="D680" s="31"/>
      <c r="E680" s="31"/>
      <c r="F680" s="31"/>
      <c r="G680" s="31"/>
      <c r="H680" s="31"/>
      <c r="I680" s="31"/>
      <c r="J680" s="31"/>
      <c r="K680" s="31"/>
      <c r="L680" s="31"/>
      <c r="M680" s="31"/>
      <c r="N680" s="31"/>
      <c r="O680" s="31"/>
    </row>
    <row r="681" ht="15.75" customHeight="1">
      <c r="B681" s="31"/>
      <c r="C681" s="31"/>
      <c r="D681" s="31"/>
      <c r="E681" s="31"/>
      <c r="F681" s="31"/>
      <c r="G681" s="31"/>
      <c r="H681" s="31"/>
      <c r="I681" s="31"/>
      <c r="J681" s="31"/>
      <c r="K681" s="31"/>
      <c r="L681" s="31"/>
      <c r="M681" s="31"/>
      <c r="N681" s="31"/>
      <c r="O681" s="31"/>
    </row>
    <row r="682" ht="15.75" customHeight="1">
      <c r="B682" s="31"/>
      <c r="C682" s="31"/>
      <c r="D682" s="31"/>
      <c r="E682" s="31"/>
      <c r="F682" s="31"/>
      <c r="G682" s="31"/>
      <c r="H682" s="31"/>
      <c r="I682" s="31"/>
      <c r="J682" s="31"/>
      <c r="K682" s="31"/>
      <c r="L682" s="31"/>
      <c r="M682" s="31"/>
      <c r="N682" s="31"/>
      <c r="O682" s="31"/>
    </row>
    <row r="683" ht="15.75" customHeight="1">
      <c r="B683" s="31"/>
      <c r="C683" s="31"/>
      <c r="D683" s="31"/>
      <c r="E683" s="31"/>
      <c r="F683" s="31"/>
      <c r="G683" s="31"/>
      <c r="H683" s="31"/>
      <c r="I683" s="31"/>
      <c r="J683" s="31"/>
      <c r="K683" s="31"/>
      <c r="L683" s="31"/>
      <c r="M683" s="31"/>
      <c r="N683" s="31"/>
      <c r="O683" s="31"/>
    </row>
    <row r="684" ht="15.75" customHeight="1">
      <c r="B684" s="31"/>
      <c r="C684" s="31"/>
      <c r="D684" s="31"/>
      <c r="E684" s="31"/>
      <c r="F684" s="31"/>
      <c r="G684" s="31"/>
      <c r="H684" s="31"/>
      <c r="I684" s="31"/>
      <c r="J684" s="31"/>
      <c r="K684" s="31"/>
      <c r="L684" s="31"/>
      <c r="M684" s="31"/>
      <c r="N684" s="31"/>
      <c r="O684" s="31"/>
    </row>
    <row r="685" ht="15.75" customHeight="1">
      <c r="B685" s="31"/>
      <c r="C685" s="31"/>
      <c r="D685" s="31"/>
      <c r="E685" s="31"/>
      <c r="F685" s="31"/>
      <c r="G685" s="31"/>
      <c r="H685" s="31"/>
      <c r="I685" s="31"/>
      <c r="J685" s="31"/>
      <c r="K685" s="31"/>
      <c r="L685" s="31"/>
      <c r="M685" s="31"/>
      <c r="N685" s="31"/>
      <c r="O685" s="31"/>
    </row>
    <row r="686" ht="15.75" customHeight="1">
      <c r="B686" s="31"/>
      <c r="C686" s="31"/>
      <c r="D686" s="31"/>
      <c r="E686" s="31"/>
      <c r="F686" s="31"/>
      <c r="G686" s="31"/>
      <c r="H686" s="31"/>
      <c r="I686" s="31"/>
      <c r="J686" s="31"/>
      <c r="K686" s="31"/>
      <c r="L686" s="31"/>
      <c r="M686" s="31"/>
      <c r="N686" s="31"/>
      <c r="O686" s="31"/>
    </row>
    <row r="687" ht="15.75" customHeight="1">
      <c r="B687" s="31"/>
      <c r="C687" s="31"/>
      <c r="D687" s="31"/>
      <c r="E687" s="31"/>
      <c r="F687" s="31"/>
      <c r="G687" s="31"/>
      <c r="H687" s="31"/>
      <c r="I687" s="31"/>
      <c r="J687" s="31"/>
      <c r="K687" s="31"/>
      <c r="L687" s="31"/>
      <c r="M687" s="31"/>
      <c r="N687" s="31"/>
      <c r="O687" s="31"/>
    </row>
    <row r="688" ht="15.75" customHeight="1">
      <c r="B688" s="31"/>
      <c r="C688" s="31"/>
      <c r="D688" s="31"/>
      <c r="E688" s="31"/>
      <c r="F688" s="31"/>
      <c r="G688" s="31"/>
      <c r="H688" s="31"/>
      <c r="I688" s="31"/>
      <c r="J688" s="31"/>
      <c r="K688" s="31"/>
      <c r="L688" s="31"/>
      <c r="M688" s="31"/>
      <c r="N688" s="31"/>
      <c r="O688" s="31"/>
    </row>
    <row r="689" ht="15.75" customHeight="1">
      <c r="B689" s="31"/>
      <c r="C689" s="31"/>
      <c r="D689" s="31"/>
      <c r="E689" s="31"/>
      <c r="F689" s="31"/>
      <c r="G689" s="31"/>
      <c r="H689" s="31"/>
      <c r="I689" s="31"/>
      <c r="J689" s="31"/>
      <c r="K689" s="31"/>
      <c r="L689" s="31"/>
      <c r="M689" s="31"/>
      <c r="N689" s="31"/>
      <c r="O689" s="31"/>
    </row>
    <row r="690" ht="15.75" customHeight="1">
      <c r="B690" s="31"/>
      <c r="C690" s="31"/>
      <c r="D690" s="31"/>
      <c r="E690" s="31"/>
      <c r="F690" s="31"/>
      <c r="G690" s="31"/>
      <c r="H690" s="31"/>
      <c r="I690" s="31"/>
      <c r="J690" s="31"/>
      <c r="K690" s="31"/>
      <c r="L690" s="31"/>
      <c r="M690" s="31"/>
      <c r="N690" s="31"/>
      <c r="O690" s="31"/>
    </row>
    <row r="691" ht="15.75" customHeight="1">
      <c r="B691" s="31"/>
      <c r="C691" s="31"/>
      <c r="D691" s="31"/>
      <c r="E691" s="31"/>
      <c r="F691" s="31"/>
      <c r="G691" s="31"/>
      <c r="H691" s="31"/>
      <c r="I691" s="31"/>
      <c r="J691" s="31"/>
      <c r="K691" s="31"/>
      <c r="L691" s="31"/>
      <c r="M691" s="31"/>
      <c r="N691" s="31"/>
      <c r="O691" s="31"/>
    </row>
    <row r="692" ht="15.75" customHeight="1">
      <c r="B692" s="31"/>
      <c r="C692" s="31"/>
      <c r="D692" s="31"/>
      <c r="E692" s="31"/>
      <c r="F692" s="31"/>
      <c r="G692" s="31"/>
      <c r="H692" s="31"/>
      <c r="I692" s="31"/>
      <c r="J692" s="31"/>
      <c r="K692" s="31"/>
      <c r="L692" s="31"/>
      <c r="M692" s="31"/>
      <c r="N692" s="31"/>
      <c r="O692" s="31"/>
    </row>
    <row r="693" ht="15.75" customHeight="1">
      <c r="B693" s="31"/>
      <c r="C693" s="31"/>
      <c r="D693" s="31"/>
      <c r="E693" s="31"/>
      <c r="F693" s="31"/>
      <c r="G693" s="31"/>
      <c r="H693" s="31"/>
      <c r="I693" s="31"/>
      <c r="J693" s="31"/>
      <c r="K693" s="31"/>
      <c r="L693" s="31"/>
      <c r="M693" s="31"/>
      <c r="N693" s="31"/>
      <c r="O693" s="31"/>
    </row>
    <row r="694" ht="15.75" customHeight="1">
      <c r="B694" s="31"/>
      <c r="C694" s="31"/>
      <c r="D694" s="31"/>
      <c r="E694" s="31"/>
      <c r="F694" s="31"/>
      <c r="G694" s="31"/>
      <c r="H694" s="31"/>
      <c r="I694" s="31"/>
      <c r="J694" s="31"/>
      <c r="K694" s="31"/>
      <c r="L694" s="31"/>
      <c r="M694" s="31"/>
      <c r="N694" s="31"/>
      <c r="O694" s="31"/>
    </row>
    <row r="695" ht="15.75" customHeight="1">
      <c r="B695" s="31"/>
      <c r="C695" s="31"/>
      <c r="D695" s="31"/>
      <c r="E695" s="31"/>
      <c r="F695" s="31"/>
      <c r="G695" s="31"/>
      <c r="H695" s="31"/>
      <c r="I695" s="31"/>
      <c r="J695" s="31"/>
      <c r="K695" s="31"/>
      <c r="L695" s="31"/>
      <c r="M695" s="31"/>
      <c r="N695" s="31"/>
      <c r="O695" s="31"/>
    </row>
    <row r="696" ht="15.75" customHeight="1">
      <c r="B696" s="31"/>
      <c r="C696" s="31"/>
      <c r="D696" s="31"/>
      <c r="E696" s="31"/>
      <c r="F696" s="31"/>
      <c r="G696" s="31"/>
      <c r="H696" s="31"/>
      <c r="I696" s="31"/>
      <c r="J696" s="31"/>
      <c r="K696" s="31"/>
      <c r="L696" s="31"/>
      <c r="M696" s="31"/>
      <c r="N696" s="31"/>
      <c r="O696" s="31"/>
    </row>
    <row r="697" ht="15.75" customHeight="1">
      <c r="B697" s="31"/>
      <c r="C697" s="31"/>
      <c r="D697" s="31"/>
      <c r="E697" s="31"/>
      <c r="F697" s="31"/>
      <c r="G697" s="31"/>
      <c r="H697" s="31"/>
      <c r="I697" s="31"/>
      <c r="J697" s="31"/>
      <c r="K697" s="31"/>
      <c r="L697" s="31"/>
      <c r="M697" s="31"/>
      <c r="N697" s="31"/>
      <c r="O697" s="31"/>
    </row>
    <row r="698" ht="15.75" customHeight="1">
      <c r="B698" s="31"/>
      <c r="C698" s="31"/>
      <c r="D698" s="31"/>
      <c r="E698" s="31"/>
      <c r="F698" s="31"/>
      <c r="G698" s="31"/>
      <c r="H698" s="31"/>
      <c r="I698" s="31"/>
      <c r="J698" s="31"/>
      <c r="K698" s="31"/>
      <c r="L698" s="31"/>
      <c r="M698" s="31"/>
      <c r="N698" s="31"/>
      <c r="O698" s="31"/>
    </row>
    <row r="699" ht="15.75" customHeight="1">
      <c r="B699" s="31"/>
      <c r="C699" s="31"/>
      <c r="D699" s="31"/>
      <c r="E699" s="31"/>
      <c r="F699" s="31"/>
      <c r="G699" s="31"/>
      <c r="H699" s="31"/>
      <c r="I699" s="31"/>
      <c r="J699" s="31"/>
      <c r="K699" s="31"/>
      <c r="L699" s="31"/>
      <c r="M699" s="31"/>
      <c r="N699" s="31"/>
      <c r="O699" s="31"/>
    </row>
    <row r="700" ht="15.75" customHeight="1">
      <c r="B700" s="31"/>
      <c r="C700" s="31"/>
      <c r="D700" s="31"/>
      <c r="E700" s="31"/>
      <c r="F700" s="31"/>
      <c r="G700" s="31"/>
      <c r="H700" s="31"/>
      <c r="I700" s="31"/>
      <c r="J700" s="31"/>
      <c r="K700" s="31"/>
      <c r="L700" s="31"/>
      <c r="M700" s="31"/>
      <c r="N700" s="31"/>
      <c r="O700" s="31"/>
    </row>
    <row r="701" ht="15.75" customHeight="1">
      <c r="B701" s="31"/>
      <c r="C701" s="31"/>
      <c r="D701" s="31"/>
      <c r="E701" s="31"/>
      <c r="F701" s="31"/>
      <c r="G701" s="31"/>
      <c r="H701" s="31"/>
      <c r="I701" s="31"/>
      <c r="J701" s="31"/>
      <c r="K701" s="31"/>
      <c r="L701" s="31"/>
      <c r="M701" s="31"/>
      <c r="N701" s="31"/>
      <c r="O701" s="31"/>
    </row>
    <row r="702" ht="15.75" customHeight="1">
      <c r="B702" s="31"/>
      <c r="C702" s="31"/>
      <c r="D702" s="31"/>
      <c r="E702" s="31"/>
      <c r="F702" s="31"/>
      <c r="G702" s="31"/>
      <c r="H702" s="31"/>
      <c r="I702" s="31"/>
      <c r="J702" s="31"/>
      <c r="K702" s="31"/>
      <c r="L702" s="31"/>
      <c r="M702" s="31"/>
      <c r="N702" s="31"/>
      <c r="O702" s="31"/>
    </row>
    <row r="703" ht="15.75" customHeight="1">
      <c r="B703" s="31"/>
      <c r="C703" s="31"/>
      <c r="D703" s="31"/>
      <c r="E703" s="31"/>
      <c r="F703" s="31"/>
      <c r="G703" s="31"/>
      <c r="H703" s="31"/>
      <c r="I703" s="31"/>
      <c r="J703" s="31"/>
      <c r="K703" s="31"/>
      <c r="L703" s="31"/>
      <c r="M703" s="31"/>
      <c r="N703" s="31"/>
      <c r="O703" s="31"/>
    </row>
    <row r="704" ht="15.75" customHeight="1">
      <c r="B704" s="31"/>
      <c r="C704" s="31"/>
      <c r="D704" s="31"/>
      <c r="E704" s="31"/>
      <c r="F704" s="31"/>
      <c r="G704" s="31"/>
      <c r="H704" s="31"/>
      <c r="I704" s="31"/>
      <c r="J704" s="31"/>
      <c r="K704" s="31"/>
      <c r="L704" s="31"/>
      <c r="M704" s="31"/>
      <c r="N704" s="31"/>
      <c r="O704" s="31"/>
    </row>
    <row r="705" ht="15.75" customHeight="1">
      <c r="B705" s="31"/>
      <c r="C705" s="31"/>
      <c r="D705" s="31"/>
      <c r="E705" s="31"/>
      <c r="F705" s="31"/>
      <c r="G705" s="31"/>
      <c r="H705" s="31"/>
      <c r="I705" s="31"/>
      <c r="J705" s="31"/>
      <c r="K705" s="31"/>
      <c r="L705" s="31"/>
      <c r="M705" s="31"/>
      <c r="N705" s="31"/>
      <c r="O705" s="31"/>
    </row>
    <row r="706" ht="15.75" customHeight="1">
      <c r="B706" s="31"/>
      <c r="C706" s="31"/>
      <c r="D706" s="31"/>
      <c r="E706" s="31"/>
      <c r="F706" s="31"/>
      <c r="G706" s="31"/>
      <c r="H706" s="31"/>
      <c r="I706" s="31"/>
      <c r="J706" s="31"/>
      <c r="K706" s="31"/>
      <c r="L706" s="31"/>
      <c r="M706" s="31"/>
      <c r="N706" s="31"/>
      <c r="O706" s="31"/>
    </row>
    <row r="707" ht="15.75" customHeight="1">
      <c r="B707" s="31"/>
      <c r="C707" s="31"/>
      <c r="D707" s="31"/>
      <c r="E707" s="31"/>
      <c r="F707" s="31"/>
      <c r="G707" s="31"/>
      <c r="H707" s="31"/>
      <c r="I707" s="31"/>
      <c r="J707" s="31"/>
      <c r="K707" s="31"/>
      <c r="L707" s="31"/>
      <c r="M707" s="31"/>
      <c r="N707" s="31"/>
      <c r="O707" s="31"/>
    </row>
    <row r="708" ht="15.75" customHeight="1">
      <c r="B708" s="31"/>
      <c r="C708" s="31"/>
      <c r="D708" s="31"/>
      <c r="E708" s="31"/>
      <c r="F708" s="31"/>
      <c r="G708" s="31"/>
      <c r="H708" s="31"/>
      <c r="I708" s="31"/>
      <c r="J708" s="31"/>
      <c r="K708" s="31"/>
      <c r="L708" s="31"/>
      <c r="M708" s="31"/>
      <c r="N708" s="31"/>
      <c r="O708" s="31"/>
    </row>
    <row r="709" ht="15.75" customHeight="1">
      <c r="B709" s="31"/>
      <c r="C709" s="31"/>
      <c r="D709" s="31"/>
      <c r="E709" s="31"/>
      <c r="F709" s="31"/>
      <c r="G709" s="31"/>
      <c r="H709" s="31"/>
      <c r="I709" s="31"/>
      <c r="J709" s="31"/>
      <c r="K709" s="31"/>
      <c r="L709" s="31"/>
      <c r="M709" s="31"/>
      <c r="N709" s="31"/>
      <c r="O709" s="31"/>
    </row>
    <row r="710" ht="15.75" customHeight="1">
      <c r="B710" s="31"/>
      <c r="C710" s="31"/>
      <c r="D710" s="31"/>
      <c r="E710" s="31"/>
      <c r="F710" s="31"/>
      <c r="G710" s="31"/>
      <c r="H710" s="31"/>
      <c r="I710" s="31"/>
      <c r="J710" s="31"/>
      <c r="K710" s="31"/>
      <c r="L710" s="31"/>
      <c r="M710" s="31"/>
      <c r="N710" s="31"/>
      <c r="O710" s="31"/>
    </row>
    <row r="711" ht="15.75" customHeight="1">
      <c r="B711" s="31"/>
      <c r="C711" s="31"/>
      <c r="D711" s="31"/>
      <c r="E711" s="31"/>
      <c r="F711" s="31"/>
      <c r="G711" s="31"/>
      <c r="H711" s="31"/>
      <c r="I711" s="31"/>
      <c r="J711" s="31"/>
      <c r="K711" s="31"/>
      <c r="L711" s="31"/>
      <c r="M711" s="31"/>
      <c r="N711" s="31"/>
      <c r="O711" s="31"/>
    </row>
    <row r="712" ht="15.75" customHeight="1">
      <c r="B712" s="31"/>
      <c r="C712" s="31"/>
      <c r="D712" s="31"/>
      <c r="E712" s="31"/>
      <c r="F712" s="31"/>
      <c r="G712" s="31"/>
      <c r="H712" s="31"/>
      <c r="I712" s="31"/>
      <c r="J712" s="31"/>
      <c r="K712" s="31"/>
      <c r="L712" s="31"/>
      <c r="M712" s="31"/>
      <c r="N712" s="31"/>
      <c r="O712" s="31"/>
    </row>
    <row r="713" ht="15.75" customHeight="1">
      <c r="B713" s="31"/>
      <c r="C713" s="31"/>
      <c r="D713" s="31"/>
      <c r="E713" s="31"/>
      <c r="F713" s="31"/>
      <c r="G713" s="31"/>
      <c r="H713" s="31"/>
      <c r="I713" s="31"/>
      <c r="J713" s="31"/>
      <c r="K713" s="31"/>
      <c r="L713" s="31"/>
      <c r="M713" s="31"/>
      <c r="N713" s="31"/>
      <c r="O713" s="31"/>
    </row>
    <row r="714" ht="15.75" customHeight="1">
      <c r="B714" s="31"/>
      <c r="C714" s="31"/>
      <c r="D714" s="31"/>
      <c r="E714" s="31"/>
      <c r="F714" s="31"/>
      <c r="G714" s="31"/>
      <c r="H714" s="31"/>
      <c r="I714" s="31"/>
      <c r="J714" s="31"/>
      <c r="K714" s="31"/>
      <c r="L714" s="31"/>
      <c r="M714" s="31"/>
      <c r="N714" s="31"/>
      <c r="O714" s="31"/>
    </row>
    <row r="715" ht="15.75" customHeight="1">
      <c r="B715" s="31"/>
      <c r="C715" s="31"/>
      <c r="D715" s="31"/>
      <c r="E715" s="31"/>
      <c r="F715" s="31"/>
      <c r="G715" s="31"/>
      <c r="H715" s="31"/>
      <c r="I715" s="31"/>
      <c r="J715" s="31"/>
      <c r="K715" s="31"/>
      <c r="L715" s="31"/>
      <c r="M715" s="31"/>
      <c r="N715" s="31"/>
      <c r="O715" s="31"/>
    </row>
    <row r="716" ht="15.75" customHeight="1">
      <c r="B716" s="31"/>
      <c r="C716" s="31"/>
      <c r="D716" s="31"/>
      <c r="E716" s="31"/>
      <c r="F716" s="31"/>
      <c r="G716" s="31"/>
      <c r="H716" s="31"/>
      <c r="I716" s="31"/>
      <c r="J716" s="31"/>
      <c r="K716" s="31"/>
      <c r="L716" s="31"/>
      <c r="M716" s="31"/>
      <c r="N716" s="31"/>
      <c r="O716" s="31"/>
    </row>
    <row r="717" ht="15.75" customHeight="1">
      <c r="B717" s="31"/>
      <c r="C717" s="31"/>
      <c r="D717" s="31"/>
      <c r="E717" s="31"/>
      <c r="F717" s="31"/>
      <c r="G717" s="31"/>
      <c r="H717" s="31"/>
      <c r="I717" s="31"/>
      <c r="J717" s="31"/>
      <c r="K717" s="31"/>
      <c r="L717" s="31"/>
      <c r="M717" s="31"/>
      <c r="N717" s="31"/>
      <c r="O717" s="31"/>
    </row>
    <row r="718" ht="15.75" customHeight="1">
      <c r="B718" s="31"/>
      <c r="C718" s="31"/>
      <c r="D718" s="31"/>
      <c r="E718" s="31"/>
      <c r="F718" s="31"/>
      <c r="G718" s="31"/>
      <c r="H718" s="31"/>
      <c r="I718" s="31"/>
      <c r="J718" s="31"/>
      <c r="K718" s="31"/>
      <c r="L718" s="31"/>
      <c r="M718" s="31"/>
      <c r="N718" s="31"/>
      <c r="O718" s="31"/>
    </row>
    <row r="719" ht="15.75" customHeight="1">
      <c r="B719" s="31"/>
      <c r="C719" s="31"/>
      <c r="D719" s="31"/>
      <c r="E719" s="31"/>
      <c r="F719" s="31"/>
      <c r="G719" s="31"/>
      <c r="H719" s="31"/>
      <c r="I719" s="31"/>
      <c r="J719" s="31"/>
      <c r="K719" s="31"/>
      <c r="L719" s="31"/>
      <c r="M719" s="31"/>
      <c r="N719" s="31"/>
      <c r="O719" s="31"/>
    </row>
    <row r="720" ht="15.75" customHeight="1">
      <c r="B720" s="31"/>
      <c r="C720" s="31"/>
      <c r="D720" s="31"/>
      <c r="E720" s="31"/>
      <c r="F720" s="31"/>
      <c r="G720" s="31"/>
      <c r="H720" s="31"/>
      <c r="I720" s="31"/>
      <c r="J720" s="31"/>
      <c r="K720" s="31"/>
      <c r="L720" s="31"/>
      <c r="M720" s="31"/>
      <c r="N720" s="31"/>
      <c r="O720" s="31"/>
    </row>
    <row r="721" ht="15.75" customHeight="1">
      <c r="B721" s="31"/>
      <c r="C721" s="31"/>
      <c r="D721" s="31"/>
      <c r="E721" s="31"/>
      <c r="F721" s="31"/>
      <c r="G721" s="31"/>
      <c r="H721" s="31"/>
      <c r="I721" s="31"/>
      <c r="J721" s="31"/>
      <c r="K721" s="31"/>
      <c r="L721" s="31"/>
      <c r="M721" s="31"/>
      <c r="N721" s="31"/>
      <c r="O721" s="31"/>
    </row>
    <row r="722" ht="15.75" customHeight="1">
      <c r="B722" s="31"/>
      <c r="C722" s="31"/>
      <c r="D722" s="31"/>
      <c r="E722" s="31"/>
      <c r="F722" s="31"/>
      <c r="G722" s="31"/>
      <c r="H722" s="31"/>
      <c r="I722" s="31"/>
      <c r="J722" s="31"/>
      <c r="K722" s="31"/>
      <c r="L722" s="31"/>
      <c r="M722" s="31"/>
      <c r="N722" s="31"/>
      <c r="O722" s="31"/>
    </row>
    <row r="723" ht="15.75" customHeight="1">
      <c r="B723" s="31"/>
      <c r="C723" s="31"/>
      <c r="D723" s="31"/>
      <c r="E723" s="31"/>
      <c r="F723" s="31"/>
      <c r="G723" s="31"/>
      <c r="H723" s="31"/>
      <c r="I723" s="31"/>
      <c r="J723" s="31"/>
      <c r="K723" s="31"/>
      <c r="L723" s="31"/>
      <c r="M723" s="31"/>
      <c r="N723" s="31"/>
      <c r="O723" s="31"/>
    </row>
    <row r="724" ht="15.75" customHeight="1">
      <c r="B724" s="31"/>
      <c r="C724" s="31"/>
      <c r="D724" s="31"/>
      <c r="E724" s="31"/>
      <c r="F724" s="31"/>
      <c r="G724" s="31"/>
      <c r="H724" s="31"/>
      <c r="I724" s="31"/>
      <c r="J724" s="31"/>
      <c r="K724" s="31"/>
      <c r="L724" s="31"/>
      <c r="M724" s="31"/>
      <c r="N724" s="31"/>
      <c r="O724" s="31"/>
    </row>
    <row r="725" ht="15.75" customHeight="1">
      <c r="B725" s="31"/>
      <c r="C725" s="31"/>
      <c r="D725" s="31"/>
      <c r="E725" s="31"/>
      <c r="F725" s="31"/>
      <c r="G725" s="31"/>
      <c r="H725" s="31"/>
      <c r="I725" s="31"/>
      <c r="J725" s="31"/>
      <c r="K725" s="31"/>
      <c r="L725" s="31"/>
      <c r="M725" s="31"/>
      <c r="N725" s="31"/>
      <c r="O725" s="31"/>
    </row>
    <row r="726" ht="15.75" customHeight="1">
      <c r="B726" s="31"/>
      <c r="C726" s="31"/>
      <c r="D726" s="31"/>
      <c r="E726" s="31"/>
      <c r="F726" s="31"/>
      <c r="G726" s="31"/>
      <c r="H726" s="31"/>
      <c r="I726" s="31"/>
      <c r="J726" s="31"/>
      <c r="K726" s="31"/>
      <c r="L726" s="31"/>
      <c r="M726" s="31"/>
      <c r="N726" s="31"/>
      <c r="O726" s="31"/>
    </row>
    <row r="727" ht="15.75" customHeight="1">
      <c r="B727" s="31"/>
      <c r="C727" s="31"/>
      <c r="D727" s="31"/>
      <c r="E727" s="31"/>
      <c r="F727" s="31"/>
      <c r="G727" s="31"/>
      <c r="H727" s="31"/>
      <c r="I727" s="31"/>
      <c r="J727" s="31"/>
      <c r="K727" s="31"/>
      <c r="L727" s="31"/>
      <c r="M727" s="31"/>
      <c r="N727" s="31"/>
      <c r="O727" s="31"/>
    </row>
    <row r="728" ht="15.75" customHeight="1">
      <c r="B728" s="31"/>
      <c r="C728" s="31"/>
      <c r="D728" s="31"/>
      <c r="E728" s="31"/>
      <c r="F728" s="31"/>
      <c r="G728" s="31"/>
      <c r="H728" s="31"/>
      <c r="I728" s="31"/>
      <c r="J728" s="31"/>
      <c r="K728" s="31"/>
      <c r="L728" s="31"/>
      <c r="M728" s="31"/>
      <c r="N728" s="31"/>
      <c r="O728" s="31"/>
    </row>
    <row r="729" ht="15.75" customHeight="1">
      <c r="B729" s="31"/>
      <c r="C729" s="31"/>
      <c r="D729" s="31"/>
      <c r="E729" s="31"/>
      <c r="F729" s="31"/>
      <c r="G729" s="31"/>
      <c r="H729" s="31"/>
      <c r="I729" s="31"/>
      <c r="J729" s="31"/>
      <c r="K729" s="31"/>
      <c r="L729" s="31"/>
      <c r="M729" s="31"/>
      <c r="N729" s="31"/>
      <c r="O729" s="31"/>
    </row>
    <row r="730" ht="15.75" customHeight="1">
      <c r="B730" s="31"/>
      <c r="C730" s="31"/>
      <c r="D730" s="31"/>
      <c r="E730" s="31"/>
      <c r="F730" s="31"/>
      <c r="G730" s="31"/>
      <c r="H730" s="31"/>
      <c r="I730" s="31"/>
      <c r="J730" s="31"/>
      <c r="K730" s="31"/>
      <c r="L730" s="31"/>
      <c r="M730" s="31"/>
      <c r="N730" s="31"/>
      <c r="O730" s="31"/>
    </row>
    <row r="731" ht="15.75" customHeight="1">
      <c r="B731" s="31"/>
      <c r="C731" s="31"/>
      <c r="D731" s="31"/>
      <c r="E731" s="31"/>
      <c r="F731" s="31"/>
      <c r="G731" s="31"/>
      <c r="H731" s="31"/>
      <c r="I731" s="31"/>
      <c r="J731" s="31"/>
      <c r="K731" s="31"/>
      <c r="L731" s="31"/>
      <c r="M731" s="31"/>
      <c r="N731" s="31"/>
      <c r="O731" s="31"/>
    </row>
    <row r="732" ht="15.75" customHeight="1">
      <c r="B732" s="31"/>
      <c r="C732" s="31"/>
      <c r="D732" s="31"/>
      <c r="E732" s="31"/>
      <c r="F732" s="31"/>
      <c r="G732" s="31"/>
      <c r="H732" s="31"/>
      <c r="I732" s="31"/>
      <c r="J732" s="31"/>
      <c r="K732" s="31"/>
      <c r="L732" s="31"/>
      <c r="M732" s="31"/>
      <c r="N732" s="31"/>
      <c r="O732" s="31"/>
    </row>
    <row r="733" ht="15.75" customHeight="1">
      <c r="B733" s="31"/>
      <c r="C733" s="31"/>
      <c r="D733" s="31"/>
      <c r="E733" s="31"/>
      <c r="F733" s="31"/>
      <c r="G733" s="31"/>
      <c r="H733" s="31"/>
      <c r="I733" s="31"/>
      <c r="J733" s="31"/>
      <c r="K733" s="31"/>
      <c r="L733" s="31"/>
      <c r="M733" s="31"/>
      <c r="N733" s="31"/>
      <c r="O733" s="31"/>
    </row>
    <row r="734" ht="15.75" customHeight="1">
      <c r="B734" s="31"/>
      <c r="C734" s="31"/>
      <c r="D734" s="31"/>
      <c r="E734" s="31"/>
      <c r="F734" s="31"/>
      <c r="G734" s="31"/>
      <c r="H734" s="31"/>
      <c r="I734" s="31"/>
      <c r="J734" s="31"/>
      <c r="K734" s="31"/>
      <c r="L734" s="31"/>
      <c r="M734" s="31"/>
      <c r="N734" s="31"/>
      <c r="O734" s="31"/>
    </row>
    <row r="735" ht="15.75" customHeight="1">
      <c r="B735" s="31"/>
      <c r="C735" s="31"/>
      <c r="D735" s="31"/>
      <c r="E735" s="31"/>
      <c r="F735" s="31"/>
      <c r="G735" s="31"/>
      <c r="H735" s="31"/>
      <c r="I735" s="31"/>
      <c r="J735" s="31"/>
      <c r="K735" s="31"/>
      <c r="L735" s="31"/>
      <c r="M735" s="31"/>
      <c r="N735" s="31"/>
      <c r="O735" s="31"/>
    </row>
    <row r="736" ht="15.75" customHeight="1">
      <c r="B736" s="31"/>
      <c r="C736" s="31"/>
      <c r="D736" s="31"/>
      <c r="E736" s="31"/>
      <c r="F736" s="31"/>
      <c r="G736" s="31"/>
      <c r="H736" s="31"/>
      <c r="I736" s="31"/>
      <c r="J736" s="31"/>
      <c r="K736" s="31"/>
      <c r="L736" s="31"/>
      <c r="M736" s="31"/>
      <c r="N736" s="31"/>
      <c r="O736" s="31"/>
    </row>
    <row r="737" ht="15.75" customHeight="1">
      <c r="B737" s="31"/>
      <c r="C737" s="31"/>
      <c r="D737" s="31"/>
      <c r="E737" s="31"/>
      <c r="F737" s="31"/>
      <c r="G737" s="31"/>
      <c r="H737" s="31"/>
      <c r="I737" s="31"/>
      <c r="J737" s="31"/>
      <c r="K737" s="31"/>
      <c r="L737" s="31"/>
      <c r="M737" s="31"/>
      <c r="N737" s="31"/>
      <c r="O737" s="31"/>
    </row>
    <row r="738" ht="15.75" customHeight="1">
      <c r="B738" s="31"/>
      <c r="C738" s="31"/>
      <c r="D738" s="31"/>
      <c r="E738" s="31"/>
      <c r="F738" s="31"/>
      <c r="G738" s="31"/>
      <c r="H738" s="31"/>
      <c r="I738" s="31"/>
      <c r="J738" s="31"/>
      <c r="K738" s="31"/>
      <c r="L738" s="31"/>
      <c r="M738" s="31"/>
      <c r="N738" s="31"/>
      <c r="O738" s="31"/>
    </row>
    <row r="739" ht="15.75" customHeight="1">
      <c r="B739" s="31"/>
      <c r="C739" s="31"/>
      <c r="D739" s="31"/>
      <c r="E739" s="31"/>
      <c r="F739" s="31"/>
      <c r="G739" s="31"/>
      <c r="H739" s="31"/>
      <c r="I739" s="31"/>
      <c r="J739" s="31"/>
      <c r="K739" s="31"/>
      <c r="L739" s="31"/>
      <c r="M739" s="31"/>
      <c r="N739" s="31"/>
      <c r="O739" s="31"/>
    </row>
    <row r="740" ht="15.75" customHeight="1">
      <c r="B740" s="31"/>
      <c r="C740" s="31"/>
      <c r="D740" s="31"/>
      <c r="E740" s="31"/>
      <c r="F740" s="31"/>
      <c r="G740" s="31"/>
      <c r="H740" s="31"/>
      <c r="I740" s="31"/>
      <c r="J740" s="31"/>
      <c r="K740" s="31"/>
      <c r="L740" s="31"/>
      <c r="M740" s="31"/>
      <c r="N740" s="31"/>
      <c r="O740" s="31"/>
    </row>
    <row r="741" ht="15.75" customHeight="1">
      <c r="B741" s="31"/>
      <c r="C741" s="31"/>
      <c r="D741" s="31"/>
      <c r="E741" s="31"/>
      <c r="F741" s="31"/>
      <c r="G741" s="31"/>
      <c r="H741" s="31"/>
      <c r="I741" s="31"/>
      <c r="J741" s="31"/>
      <c r="K741" s="31"/>
      <c r="L741" s="31"/>
      <c r="M741" s="31"/>
      <c r="N741" s="31"/>
      <c r="O741" s="31"/>
    </row>
    <row r="742" ht="15.75" customHeight="1">
      <c r="B742" s="31"/>
      <c r="C742" s="31"/>
      <c r="D742" s="31"/>
      <c r="E742" s="31"/>
      <c r="F742" s="31"/>
      <c r="G742" s="31"/>
      <c r="H742" s="31"/>
      <c r="I742" s="31"/>
      <c r="J742" s="31"/>
      <c r="K742" s="31"/>
      <c r="L742" s="31"/>
      <c r="M742" s="31"/>
      <c r="N742" s="31"/>
      <c r="O742" s="31"/>
    </row>
    <row r="743" ht="15.75" customHeight="1">
      <c r="B743" s="31"/>
      <c r="C743" s="31"/>
      <c r="D743" s="31"/>
      <c r="E743" s="31"/>
      <c r="F743" s="31"/>
      <c r="G743" s="31"/>
      <c r="H743" s="31"/>
      <c r="I743" s="31"/>
      <c r="J743" s="31"/>
      <c r="K743" s="31"/>
      <c r="L743" s="31"/>
      <c r="M743" s="31"/>
      <c r="N743" s="31"/>
      <c r="O743" s="31"/>
    </row>
    <row r="744" ht="15.75" customHeight="1">
      <c r="B744" s="31"/>
      <c r="C744" s="31"/>
      <c r="D744" s="31"/>
      <c r="E744" s="31"/>
      <c r="F744" s="31"/>
      <c r="G744" s="31"/>
      <c r="H744" s="31"/>
      <c r="I744" s="31"/>
      <c r="J744" s="31"/>
      <c r="K744" s="31"/>
      <c r="L744" s="31"/>
      <c r="M744" s="31"/>
      <c r="N744" s="31"/>
      <c r="O744" s="31"/>
    </row>
    <row r="745" ht="15.75" customHeight="1">
      <c r="B745" s="31"/>
      <c r="C745" s="31"/>
      <c r="D745" s="31"/>
      <c r="E745" s="31"/>
      <c r="F745" s="31"/>
      <c r="G745" s="31"/>
      <c r="H745" s="31"/>
      <c r="I745" s="31"/>
      <c r="J745" s="31"/>
      <c r="K745" s="31"/>
      <c r="L745" s="31"/>
      <c r="M745" s="31"/>
      <c r="N745" s="31"/>
      <c r="O745" s="31"/>
    </row>
    <row r="746" ht="15.75" customHeight="1">
      <c r="B746" s="31"/>
      <c r="C746" s="31"/>
      <c r="D746" s="31"/>
      <c r="E746" s="31"/>
      <c r="F746" s="31"/>
      <c r="G746" s="31"/>
      <c r="H746" s="31"/>
      <c r="I746" s="31"/>
      <c r="J746" s="31"/>
      <c r="K746" s="31"/>
      <c r="L746" s="31"/>
      <c r="M746" s="31"/>
      <c r="N746" s="31"/>
      <c r="O746" s="31"/>
    </row>
    <row r="747" ht="15.75" customHeight="1">
      <c r="B747" s="31"/>
      <c r="C747" s="31"/>
      <c r="D747" s="31"/>
      <c r="E747" s="31"/>
      <c r="F747" s="31"/>
      <c r="G747" s="31"/>
      <c r="H747" s="31"/>
      <c r="I747" s="31"/>
      <c r="J747" s="31"/>
      <c r="K747" s="31"/>
      <c r="L747" s="31"/>
      <c r="M747" s="31"/>
      <c r="N747" s="31"/>
      <c r="O747" s="31"/>
    </row>
    <row r="748" ht="15.75" customHeight="1">
      <c r="B748" s="31"/>
      <c r="C748" s="31"/>
      <c r="D748" s="31"/>
      <c r="E748" s="31"/>
      <c r="F748" s="31"/>
      <c r="G748" s="31"/>
      <c r="H748" s="31"/>
      <c r="I748" s="31"/>
      <c r="J748" s="31"/>
      <c r="K748" s="31"/>
      <c r="L748" s="31"/>
      <c r="M748" s="31"/>
      <c r="N748" s="31"/>
      <c r="O748" s="31"/>
    </row>
    <row r="749" ht="15.75" customHeight="1">
      <c r="B749" s="31"/>
      <c r="C749" s="31"/>
      <c r="D749" s="31"/>
      <c r="E749" s="31"/>
      <c r="F749" s="31"/>
      <c r="G749" s="31"/>
      <c r="H749" s="31"/>
      <c r="I749" s="31"/>
      <c r="J749" s="31"/>
      <c r="K749" s="31"/>
      <c r="L749" s="31"/>
      <c r="M749" s="31"/>
      <c r="N749" s="31"/>
      <c r="O749" s="31"/>
    </row>
    <row r="750" ht="15.75" customHeight="1">
      <c r="B750" s="31"/>
      <c r="C750" s="31"/>
      <c r="D750" s="31"/>
      <c r="E750" s="31"/>
      <c r="F750" s="31"/>
      <c r="G750" s="31"/>
      <c r="H750" s="31"/>
      <c r="I750" s="31"/>
      <c r="J750" s="31"/>
      <c r="K750" s="31"/>
      <c r="L750" s="31"/>
      <c r="M750" s="31"/>
      <c r="N750" s="31"/>
      <c r="O750" s="31"/>
    </row>
    <row r="751" ht="15.75" customHeight="1">
      <c r="B751" s="31"/>
      <c r="C751" s="31"/>
      <c r="D751" s="31"/>
      <c r="E751" s="31"/>
      <c r="F751" s="31"/>
      <c r="G751" s="31"/>
      <c r="H751" s="31"/>
      <c r="I751" s="31"/>
      <c r="J751" s="31"/>
      <c r="K751" s="31"/>
      <c r="L751" s="31"/>
      <c r="M751" s="31"/>
      <c r="N751" s="31"/>
      <c r="O751" s="31"/>
    </row>
    <row r="752" ht="15.75" customHeight="1">
      <c r="B752" s="31"/>
      <c r="C752" s="31"/>
      <c r="D752" s="31"/>
      <c r="E752" s="31"/>
      <c r="F752" s="31"/>
      <c r="G752" s="31"/>
      <c r="H752" s="31"/>
      <c r="I752" s="31"/>
      <c r="J752" s="31"/>
      <c r="K752" s="31"/>
      <c r="L752" s="31"/>
      <c r="M752" s="31"/>
      <c r="N752" s="31"/>
      <c r="O752" s="31"/>
    </row>
    <row r="753" ht="15.75" customHeight="1">
      <c r="B753" s="31"/>
      <c r="C753" s="31"/>
      <c r="D753" s="31"/>
      <c r="E753" s="31"/>
      <c r="F753" s="31"/>
      <c r="G753" s="31"/>
      <c r="H753" s="31"/>
      <c r="I753" s="31"/>
      <c r="J753" s="31"/>
      <c r="K753" s="31"/>
      <c r="L753" s="31"/>
      <c r="M753" s="31"/>
      <c r="N753" s="31"/>
      <c r="O753" s="31"/>
    </row>
    <row r="754" ht="15.75" customHeight="1">
      <c r="B754" s="31"/>
      <c r="C754" s="31"/>
      <c r="D754" s="31"/>
      <c r="E754" s="31"/>
      <c r="F754" s="31"/>
      <c r="G754" s="31"/>
      <c r="H754" s="31"/>
      <c r="I754" s="31"/>
      <c r="J754" s="31"/>
      <c r="K754" s="31"/>
      <c r="L754" s="31"/>
      <c r="M754" s="31"/>
      <c r="N754" s="31"/>
      <c r="O754" s="31"/>
    </row>
    <row r="755" ht="15.75" customHeight="1">
      <c r="B755" s="31"/>
      <c r="C755" s="31"/>
      <c r="D755" s="31"/>
      <c r="E755" s="31"/>
      <c r="F755" s="31"/>
      <c r="G755" s="31"/>
      <c r="H755" s="31"/>
      <c r="I755" s="31"/>
      <c r="J755" s="31"/>
      <c r="K755" s="31"/>
      <c r="L755" s="31"/>
      <c r="M755" s="31"/>
      <c r="N755" s="31"/>
      <c r="O755" s="31"/>
    </row>
    <row r="756" ht="15.75" customHeight="1">
      <c r="B756" s="31"/>
      <c r="C756" s="31"/>
      <c r="D756" s="31"/>
      <c r="E756" s="31"/>
      <c r="F756" s="31"/>
      <c r="G756" s="31"/>
      <c r="H756" s="31"/>
      <c r="I756" s="31"/>
      <c r="J756" s="31"/>
      <c r="K756" s="31"/>
      <c r="L756" s="31"/>
      <c r="M756" s="31"/>
      <c r="N756" s="31"/>
      <c r="O756" s="31"/>
    </row>
    <row r="757" ht="15.75" customHeight="1">
      <c r="B757" s="31"/>
      <c r="C757" s="31"/>
      <c r="D757" s="31"/>
      <c r="E757" s="31"/>
      <c r="F757" s="31"/>
      <c r="G757" s="31"/>
      <c r="H757" s="31"/>
      <c r="I757" s="31"/>
      <c r="J757" s="31"/>
      <c r="K757" s="31"/>
      <c r="L757" s="31"/>
      <c r="M757" s="31"/>
      <c r="N757" s="31"/>
      <c r="O757" s="31"/>
    </row>
    <row r="758" ht="15.75" customHeight="1">
      <c r="B758" s="31"/>
      <c r="C758" s="31"/>
      <c r="D758" s="31"/>
      <c r="E758" s="31"/>
      <c r="F758" s="31"/>
      <c r="G758" s="31"/>
      <c r="H758" s="31"/>
      <c r="I758" s="31"/>
      <c r="J758" s="31"/>
      <c r="K758" s="31"/>
      <c r="L758" s="31"/>
      <c r="M758" s="31"/>
      <c r="N758" s="31"/>
      <c r="O758" s="31"/>
    </row>
    <row r="759" ht="15.75" customHeight="1">
      <c r="B759" s="31"/>
      <c r="C759" s="31"/>
      <c r="D759" s="31"/>
      <c r="E759" s="31"/>
      <c r="F759" s="31"/>
      <c r="G759" s="31"/>
      <c r="H759" s="31"/>
      <c r="I759" s="31"/>
      <c r="J759" s="31"/>
      <c r="K759" s="31"/>
      <c r="L759" s="31"/>
      <c r="M759" s="31"/>
      <c r="N759" s="31"/>
      <c r="O759" s="31"/>
    </row>
    <row r="760" ht="15.75" customHeight="1">
      <c r="B760" s="31"/>
      <c r="C760" s="31"/>
      <c r="D760" s="31"/>
      <c r="E760" s="31"/>
      <c r="F760" s="31"/>
      <c r="G760" s="31"/>
      <c r="H760" s="31"/>
      <c r="I760" s="31"/>
      <c r="J760" s="31"/>
      <c r="K760" s="31"/>
      <c r="L760" s="31"/>
      <c r="M760" s="31"/>
      <c r="N760" s="31"/>
      <c r="O760" s="31"/>
    </row>
    <row r="761" ht="15.75" customHeight="1">
      <c r="B761" s="31"/>
      <c r="C761" s="31"/>
      <c r="D761" s="31"/>
      <c r="E761" s="31"/>
      <c r="F761" s="31"/>
      <c r="G761" s="31"/>
      <c r="H761" s="31"/>
      <c r="I761" s="31"/>
      <c r="J761" s="31"/>
      <c r="K761" s="31"/>
      <c r="L761" s="31"/>
      <c r="M761" s="31"/>
      <c r="N761" s="31"/>
      <c r="O761" s="31"/>
    </row>
    <row r="762" ht="15.75" customHeight="1">
      <c r="B762" s="31"/>
      <c r="C762" s="31"/>
      <c r="D762" s="31"/>
      <c r="E762" s="31"/>
      <c r="F762" s="31"/>
      <c r="G762" s="31"/>
      <c r="H762" s="31"/>
      <c r="I762" s="31"/>
      <c r="J762" s="31"/>
      <c r="K762" s="31"/>
      <c r="L762" s="31"/>
      <c r="M762" s="31"/>
      <c r="N762" s="31"/>
      <c r="O762" s="31"/>
    </row>
    <row r="763" ht="15.75" customHeight="1">
      <c r="B763" s="31"/>
      <c r="C763" s="31"/>
      <c r="D763" s="31"/>
      <c r="E763" s="31"/>
      <c r="F763" s="31"/>
      <c r="G763" s="31"/>
      <c r="H763" s="31"/>
      <c r="I763" s="31"/>
      <c r="J763" s="31"/>
      <c r="K763" s="31"/>
      <c r="L763" s="31"/>
      <c r="M763" s="31"/>
      <c r="N763" s="31"/>
      <c r="O763" s="31"/>
    </row>
    <row r="764" ht="15.75" customHeight="1">
      <c r="B764" s="31"/>
      <c r="C764" s="31"/>
      <c r="D764" s="31"/>
      <c r="E764" s="31"/>
      <c r="F764" s="31"/>
      <c r="G764" s="31"/>
      <c r="H764" s="31"/>
      <c r="I764" s="31"/>
      <c r="J764" s="31"/>
      <c r="K764" s="31"/>
      <c r="L764" s="31"/>
      <c r="M764" s="31"/>
      <c r="N764" s="31"/>
      <c r="O764" s="31"/>
    </row>
    <row r="765" ht="15.75" customHeight="1">
      <c r="B765" s="31"/>
      <c r="C765" s="31"/>
      <c r="D765" s="31"/>
      <c r="E765" s="31"/>
      <c r="F765" s="31"/>
      <c r="G765" s="31"/>
      <c r="H765" s="31"/>
      <c r="I765" s="31"/>
      <c r="J765" s="31"/>
      <c r="K765" s="31"/>
      <c r="L765" s="31"/>
      <c r="M765" s="31"/>
      <c r="N765" s="31"/>
      <c r="O765" s="31"/>
    </row>
    <row r="766" ht="15.75" customHeight="1">
      <c r="B766" s="31"/>
      <c r="C766" s="31"/>
      <c r="D766" s="31"/>
      <c r="E766" s="31"/>
      <c r="F766" s="31"/>
      <c r="G766" s="31"/>
      <c r="H766" s="31"/>
      <c r="I766" s="31"/>
      <c r="J766" s="31"/>
      <c r="K766" s="31"/>
      <c r="L766" s="31"/>
      <c r="M766" s="31"/>
      <c r="N766" s="31"/>
      <c r="O766" s="31"/>
    </row>
    <row r="767" ht="15.75" customHeight="1">
      <c r="B767" s="31"/>
      <c r="C767" s="31"/>
      <c r="D767" s="31"/>
      <c r="E767" s="31"/>
      <c r="F767" s="31"/>
      <c r="G767" s="31"/>
      <c r="H767" s="31"/>
      <c r="I767" s="31"/>
      <c r="J767" s="31"/>
      <c r="K767" s="31"/>
      <c r="L767" s="31"/>
      <c r="M767" s="31"/>
      <c r="N767" s="31"/>
      <c r="O767" s="31"/>
    </row>
    <row r="768" ht="15.75" customHeight="1">
      <c r="B768" s="31"/>
      <c r="C768" s="31"/>
      <c r="D768" s="31"/>
      <c r="E768" s="31"/>
      <c r="F768" s="31"/>
      <c r="G768" s="31"/>
      <c r="H768" s="31"/>
      <c r="I768" s="31"/>
      <c r="J768" s="31"/>
      <c r="K768" s="31"/>
      <c r="L768" s="31"/>
      <c r="M768" s="31"/>
      <c r="N768" s="31"/>
      <c r="O768" s="31"/>
    </row>
    <row r="769" ht="15.75" customHeight="1">
      <c r="B769" s="31"/>
      <c r="C769" s="31"/>
      <c r="D769" s="31"/>
      <c r="E769" s="31"/>
      <c r="F769" s="31"/>
      <c r="G769" s="31"/>
      <c r="H769" s="31"/>
      <c r="I769" s="31"/>
      <c r="J769" s="31"/>
      <c r="K769" s="31"/>
      <c r="L769" s="31"/>
      <c r="M769" s="31"/>
      <c r="N769" s="31"/>
      <c r="O769" s="31"/>
    </row>
    <row r="770" ht="15.75" customHeight="1">
      <c r="B770" s="31"/>
      <c r="C770" s="31"/>
      <c r="D770" s="31"/>
      <c r="E770" s="31"/>
      <c r="F770" s="31"/>
      <c r="G770" s="31"/>
      <c r="H770" s="31"/>
      <c r="I770" s="31"/>
      <c r="J770" s="31"/>
      <c r="K770" s="31"/>
      <c r="L770" s="31"/>
      <c r="M770" s="31"/>
      <c r="N770" s="31"/>
      <c r="O770" s="31"/>
    </row>
    <row r="771" ht="15.75" customHeight="1">
      <c r="B771" s="31"/>
      <c r="C771" s="31"/>
      <c r="D771" s="31"/>
      <c r="E771" s="31"/>
      <c r="F771" s="31"/>
      <c r="G771" s="31"/>
      <c r="H771" s="31"/>
      <c r="I771" s="31"/>
      <c r="J771" s="31"/>
      <c r="K771" s="31"/>
      <c r="L771" s="31"/>
      <c r="M771" s="31"/>
      <c r="N771" s="31"/>
      <c r="O771" s="31"/>
    </row>
    <row r="772" ht="15.75" customHeight="1">
      <c r="B772" s="31"/>
      <c r="C772" s="31"/>
      <c r="D772" s="31"/>
      <c r="E772" s="31"/>
      <c r="F772" s="31"/>
      <c r="G772" s="31"/>
      <c r="H772" s="31"/>
      <c r="I772" s="31"/>
      <c r="J772" s="31"/>
      <c r="K772" s="31"/>
      <c r="L772" s="31"/>
      <c r="M772" s="31"/>
      <c r="N772" s="31"/>
      <c r="O772" s="31"/>
    </row>
    <row r="773" ht="15.75" customHeight="1">
      <c r="B773" s="31"/>
      <c r="C773" s="31"/>
      <c r="D773" s="31"/>
      <c r="E773" s="31"/>
      <c r="F773" s="31"/>
      <c r="G773" s="31"/>
      <c r="H773" s="31"/>
      <c r="I773" s="31"/>
      <c r="J773" s="31"/>
      <c r="K773" s="31"/>
      <c r="L773" s="31"/>
      <c r="M773" s="31"/>
      <c r="N773" s="31"/>
      <c r="O773" s="31"/>
    </row>
    <row r="774" ht="15.75" customHeight="1">
      <c r="B774" s="31"/>
      <c r="C774" s="31"/>
      <c r="D774" s="31"/>
      <c r="E774" s="31"/>
      <c r="F774" s="31"/>
      <c r="G774" s="31"/>
      <c r="H774" s="31"/>
      <c r="I774" s="31"/>
      <c r="J774" s="31"/>
      <c r="K774" s="31"/>
      <c r="L774" s="31"/>
      <c r="M774" s="31"/>
      <c r="N774" s="31"/>
      <c r="O774" s="31"/>
    </row>
    <row r="775" ht="15.75" customHeight="1">
      <c r="B775" s="31"/>
      <c r="C775" s="31"/>
      <c r="D775" s="31"/>
      <c r="E775" s="31"/>
      <c r="F775" s="31"/>
      <c r="G775" s="31"/>
      <c r="H775" s="31"/>
      <c r="I775" s="31"/>
      <c r="J775" s="31"/>
      <c r="K775" s="31"/>
      <c r="L775" s="31"/>
      <c r="M775" s="31"/>
      <c r="N775" s="31"/>
      <c r="O775" s="31"/>
    </row>
    <row r="776" ht="15.75" customHeight="1">
      <c r="B776" s="31"/>
      <c r="C776" s="31"/>
      <c r="D776" s="31"/>
      <c r="E776" s="31"/>
      <c r="F776" s="31"/>
      <c r="G776" s="31"/>
      <c r="H776" s="31"/>
      <c r="I776" s="31"/>
      <c r="J776" s="31"/>
      <c r="K776" s="31"/>
      <c r="L776" s="31"/>
      <c r="M776" s="31"/>
      <c r="N776" s="31"/>
      <c r="O776" s="31"/>
    </row>
    <row r="777" ht="15.75" customHeight="1">
      <c r="B777" s="31"/>
      <c r="C777" s="31"/>
      <c r="D777" s="31"/>
      <c r="E777" s="31"/>
      <c r="F777" s="31"/>
      <c r="G777" s="31"/>
      <c r="H777" s="31"/>
      <c r="I777" s="31"/>
      <c r="J777" s="31"/>
      <c r="K777" s="31"/>
      <c r="L777" s="31"/>
      <c r="M777" s="31"/>
      <c r="N777" s="31"/>
      <c r="O777" s="31"/>
    </row>
    <row r="778" ht="15.75" customHeight="1">
      <c r="B778" s="31"/>
      <c r="C778" s="31"/>
      <c r="D778" s="31"/>
      <c r="E778" s="31"/>
      <c r="F778" s="31"/>
      <c r="G778" s="31"/>
      <c r="H778" s="31"/>
      <c r="I778" s="31"/>
      <c r="J778" s="31"/>
      <c r="K778" s="31"/>
      <c r="L778" s="31"/>
      <c r="M778" s="31"/>
      <c r="N778" s="31"/>
      <c r="O778" s="31"/>
    </row>
    <row r="779" ht="15.75" customHeight="1">
      <c r="B779" s="31"/>
      <c r="C779" s="31"/>
      <c r="D779" s="31"/>
      <c r="E779" s="31"/>
      <c r="F779" s="31"/>
      <c r="G779" s="31"/>
      <c r="H779" s="31"/>
      <c r="I779" s="31"/>
      <c r="J779" s="31"/>
      <c r="K779" s="31"/>
      <c r="L779" s="31"/>
      <c r="M779" s="31"/>
      <c r="N779" s="31"/>
      <c r="O779" s="31"/>
    </row>
    <row r="780" ht="15.75" customHeight="1">
      <c r="B780" s="31"/>
      <c r="C780" s="31"/>
      <c r="D780" s="31"/>
      <c r="E780" s="31"/>
      <c r="F780" s="31"/>
      <c r="G780" s="31"/>
      <c r="H780" s="31"/>
      <c r="I780" s="31"/>
      <c r="J780" s="31"/>
      <c r="K780" s="31"/>
      <c r="L780" s="31"/>
      <c r="M780" s="31"/>
      <c r="N780" s="31"/>
      <c r="O780" s="31"/>
    </row>
    <row r="781" ht="15.75" customHeight="1">
      <c r="B781" s="31"/>
      <c r="C781" s="31"/>
      <c r="D781" s="31"/>
      <c r="E781" s="31"/>
      <c r="F781" s="31"/>
      <c r="G781" s="31"/>
      <c r="H781" s="31"/>
      <c r="I781" s="31"/>
      <c r="J781" s="31"/>
      <c r="K781" s="31"/>
      <c r="L781" s="31"/>
      <c r="M781" s="31"/>
      <c r="N781" s="31"/>
      <c r="O781" s="31"/>
    </row>
    <row r="782" ht="15.75" customHeight="1">
      <c r="B782" s="31"/>
      <c r="C782" s="31"/>
      <c r="D782" s="31"/>
      <c r="E782" s="31"/>
      <c r="F782" s="31"/>
      <c r="G782" s="31"/>
      <c r="H782" s="31"/>
      <c r="I782" s="31"/>
      <c r="J782" s="31"/>
      <c r="K782" s="31"/>
      <c r="L782" s="31"/>
      <c r="M782" s="31"/>
      <c r="N782" s="31"/>
      <c r="O782" s="31"/>
    </row>
    <row r="783" ht="15.75" customHeight="1">
      <c r="B783" s="31"/>
      <c r="C783" s="31"/>
      <c r="D783" s="31"/>
      <c r="E783" s="31"/>
      <c r="F783" s="31"/>
      <c r="G783" s="31"/>
      <c r="H783" s="31"/>
      <c r="I783" s="31"/>
      <c r="J783" s="31"/>
      <c r="K783" s="31"/>
      <c r="L783" s="31"/>
      <c r="M783" s="31"/>
      <c r="N783" s="31"/>
      <c r="O783" s="31"/>
    </row>
    <row r="784" ht="15.75" customHeight="1">
      <c r="B784" s="31"/>
      <c r="C784" s="31"/>
      <c r="D784" s="31"/>
      <c r="E784" s="31"/>
      <c r="F784" s="31"/>
      <c r="G784" s="31"/>
      <c r="H784" s="31"/>
      <c r="I784" s="31"/>
      <c r="J784" s="31"/>
      <c r="K784" s="31"/>
      <c r="L784" s="31"/>
      <c r="M784" s="31"/>
      <c r="N784" s="31"/>
      <c r="O784" s="31"/>
    </row>
    <row r="785" ht="15.75" customHeight="1">
      <c r="B785" s="31"/>
      <c r="C785" s="31"/>
      <c r="D785" s="31"/>
      <c r="E785" s="31"/>
      <c r="F785" s="31"/>
      <c r="G785" s="31"/>
      <c r="H785" s="31"/>
      <c r="I785" s="31"/>
      <c r="J785" s="31"/>
      <c r="K785" s="31"/>
      <c r="L785" s="31"/>
      <c r="M785" s="31"/>
      <c r="N785" s="31"/>
      <c r="O785" s="31"/>
    </row>
    <row r="786" ht="15.75" customHeight="1">
      <c r="B786" s="31"/>
      <c r="C786" s="31"/>
      <c r="D786" s="31"/>
      <c r="E786" s="31"/>
      <c r="F786" s="31"/>
      <c r="G786" s="31"/>
      <c r="H786" s="31"/>
      <c r="I786" s="31"/>
      <c r="J786" s="31"/>
      <c r="K786" s="31"/>
      <c r="L786" s="31"/>
      <c r="M786" s="31"/>
      <c r="N786" s="31"/>
      <c r="O786" s="31"/>
    </row>
    <row r="787" ht="15.75" customHeight="1">
      <c r="B787" s="31"/>
      <c r="C787" s="31"/>
      <c r="D787" s="31"/>
      <c r="E787" s="31"/>
      <c r="F787" s="31"/>
      <c r="G787" s="31"/>
      <c r="H787" s="31"/>
      <c r="I787" s="31"/>
      <c r="J787" s="31"/>
      <c r="K787" s="31"/>
      <c r="L787" s="31"/>
      <c r="M787" s="31"/>
      <c r="N787" s="31"/>
      <c r="O787" s="31"/>
    </row>
    <row r="788" ht="15.75" customHeight="1">
      <c r="B788" s="31"/>
      <c r="C788" s="31"/>
      <c r="D788" s="31"/>
      <c r="E788" s="31"/>
      <c r="F788" s="31"/>
      <c r="G788" s="31"/>
      <c r="H788" s="31"/>
      <c r="I788" s="31"/>
      <c r="J788" s="31"/>
      <c r="K788" s="31"/>
      <c r="L788" s="31"/>
      <c r="M788" s="31"/>
      <c r="N788" s="31"/>
      <c r="O788" s="31"/>
    </row>
    <row r="789" ht="15.75" customHeight="1">
      <c r="B789" s="31"/>
      <c r="C789" s="31"/>
      <c r="D789" s="31"/>
      <c r="E789" s="31"/>
      <c r="F789" s="31"/>
      <c r="G789" s="31"/>
      <c r="H789" s="31"/>
      <c r="I789" s="31"/>
      <c r="J789" s="31"/>
      <c r="K789" s="31"/>
      <c r="L789" s="31"/>
      <c r="M789" s="31"/>
      <c r="N789" s="31"/>
      <c r="O789" s="31"/>
    </row>
    <row r="790" ht="15.75" customHeight="1">
      <c r="B790" s="31"/>
      <c r="C790" s="31"/>
      <c r="D790" s="31"/>
      <c r="E790" s="31"/>
      <c r="F790" s="31"/>
      <c r="G790" s="31"/>
      <c r="H790" s="31"/>
      <c r="I790" s="31"/>
      <c r="J790" s="31"/>
      <c r="K790" s="31"/>
      <c r="L790" s="31"/>
      <c r="M790" s="31"/>
      <c r="N790" s="31"/>
      <c r="O790" s="31"/>
    </row>
    <row r="791" ht="15.75" customHeight="1">
      <c r="B791" s="31"/>
      <c r="C791" s="31"/>
      <c r="D791" s="31"/>
      <c r="E791" s="31"/>
      <c r="F791" s="31"/>
      <c r="G791" s="31"/>
      <c r="H791" s="31"/>
      <c r="I791" s="31"/>
      <c r="J791" s="31"/>
      <c r="K791" s="31"/>
      <c r="L791" s="31"/>
      <c r="M791" s="31"/>
      <c r="N791" s="31"/>
      <c r="O791" s="31"/>
    </row>
    <row r="792" ht="15.75" customHeight="1">
      <c r="B792" s="31"/>
      <c r="C792" s="31"/>
      <c r="D792" s="31"/>
      <c r="E792" s="31"/>
      <c r="F792" s="31"/>
      <c r="G792" s="31"/>
      <c r="H792" s="31"/>
      <c r="I792" s="31"/>
      <c r="J792" s="31"/>
      <c r="K792" s="31"/>
      <c r="L792" s="31"/>
      <c r="M792" s="31"/>
      <c r="N792" s="31"/>
      <c r="O792" s="31"/>
    </row>
    <row r="793" ht="15.75" customHeight="1">
      <c r="B793" s="31"/>
      <c r="C793" s="31"/>
      <c r="D793" s="31"/>
      <c r="E793" s="31"/>
      <c r="F793" s="31"/>
      <c r="G793" s="31"/>
      <c r="H793" s="31"/>
      <c r="I793" s="31"/>
      <c r="J793" s="31"/>
      <c r="K793" s="31"/>
      <c r="L793" s="31"/>
      <c r="M793" s="31"/>
      <c r="N793" s="31"/>
      <c r="O793" s="31"/>
    </row>
    <row r="794" ht="15.75" customHeight="1">
      <c r="B794" s="31"/>
      <c r="C794" s="31"/>
      <c r="D794" s="31"/>
      <c r="E794" s="31"/>
      <c r="F794" s="31"/>
      <c r="G794" s="31"/>
      <c r="H794" s="31"/>
      <c r="I794" s="31"/>
      <c r="J794" s="31"/>
      <c r="K794" s="31"/>
      <c r="L794" s="31"/>
      <c r="M794" s="31"/>
      <c r="N794" s="31"/>
      <c r="O794" s="31"/>
    </row>
    <row r="795" ht="15.75" customHeight="1">
      <c r="B795" s="31"/>
      <c r="C795" s="31"/>
      <c r="D795" s="31"/>
      <c r="E795" s="31"/>
      <c r="F795" s="31"/>
      <c r="G795" s="31"/>
      <c r="H795" s="31"/>
      <c r="I795" s="31"/>
      <c r="J795" s="31"/>
      <c r="K795" s="31"/>
      <c r="L795" s="31"/>
      <c r="M795" s="31"/>
      <c r="N795" s="31"/>
      <c r="O795" s="31"/>
    </row>
    <row r="796" ht="15.75" customHeight="1">
      <c r="B796" s="31"/>
      <c r="C796" s="31"/>
      <c r="D796" s="31"/>
      <c r="E796" s="31"/>
      <c r="F796" s="31"/>
      <c r="G796" s="31"/>
      <c r="H796" s="31"/>
      <c r="I796" s="31"/>
      <c r="J796" s="31"/>
      <c r="K796" s="31"/>
      <c r="L796" s="31"/>
      <c r="M796" s="31"/>
      <c r="N796" s="31"/>
      <c r="O796" s="31"/>
    </row>
    <row r="797" ht="15.75" customHeight="1">
      <c r="B797" s="31"/>
      <c r="C797" s="31"/>
      <c r="D797" s="31"/>
      <c r="E797" s="31"/>
      <c r="F797" s="31"/>
      <c r="G797" s="31"/>
      <c r="H797" s="31"/>
      <c r="I797" s="31"/>
      <c r="J797" s="31"/>
      <c r="K797" s="31"/>
      <c r="L797" s="31"/>
      <c r="M797" s="31"/>
      <c r="N797" s="31"/>
      <c r="O797" s="31"/>
    </row>
    <row r="798" ht="15.75" customHeight="1">
      <c r="B798" s="31"/>
      <c r="C798" s="31"/>
      <c r="D798" s="31"/>
      <c r="E798" s="31"/>
      <c r="F798" s="31"/>
      <c r="G798" s="31"/>
      <c r="H798" s="31"/>
      <c r="I798" s="31"/>
      <c r="J798" s="31"/>
      <c r="K798" s="31"/>
      <c r="L798" s="31"/>
      <c r="M798" s="31"/>
      <c r="N798" s="31"/>
      <c r="O798" s="31"/>
    </row>
    <row r="799" ht="15.75" customHeight="1">
      <c r="B799" s="31"/>
      <c r="C799" s="31"/>
      <c r="D799" s="31"/>
      <c r="E799" s="31"/>
      <c r="F799" s="31"/>
      <c r="G799" s="31"/>
      <c r="H799" s="31"/>
      <c r="I799" s="31"/>
      <c r="J799" s="31"/>
      <c r="K799" s="31"/>
      <c r="L799" s="31"/>
      <c r="M799" s="31"/>
      <c r="N799" s="31"/>
      <c r="O799" s="31"/>
    </row>
    <row r="800" ht="15.75" customHeight="1">
      <c r="B800" s="31"/>
      <c r="C800" s="31"/>
      <c r="D800" s="31"/>
      <c r="E800" s="31"/>
      <c r="F800" s="31"/>
      <c r="G800" s="31"/>
      <c r="H800" s="31"/>
      <c r="I800" s="31"/>
      <c r="J800" s="31"/>
      <c r="K800" s="31"/>
      <c r="L800" s="31"/>
      <c r="M800" s="31"/>
      <c r="N800" s="31"/>
      <c r="O800" s="31"/>
    </row>
    <row r="801" ht="15.75" customHeight="1">
      <c r="B801" s="31"/>
      <c r="C801" s="31"/>
      <c r="D801" s="31"/>
      <c r="E801" s="31"/>
      <c r="F801" s="31"/>
      <c r="G801" s="31"/>
      <c r="H801" s="31"/>
      <c r="I801" s="31"/>
      <c r="J801" s="31"/>
      <c r="K801" s="31"/>
      <c r="L801" s="31"/>
      <c r="M801" s="31"/>
      <c r="N801" s="31"/>
      <c r="O801" s="31"/>
    </row>
    <row r="802" ht="15.75" customHeight="1">
      <c r="B802" s="31"/>
      <c r="C802" s="31"/>
      <c r="D802" s="31"/>
      <c r="E802" s="31"/>
      <c r="F802" s="31"/>
      <c r="G802" s="31"/>
      <c r="H802" s="31"/>
      <c r="I802" s="31"/>
      <c r="J802" s="31"/>
      <c r="K802" s="31"/>
      <c r="L802" s="31"/>
      <c r="M802" s="31"/>
      <c r="N802" s="31"/>
      <c r="O802" s="31"/>
    </row>
    <row r="803" ht="15.75" customHeight="1">
      <c r="B803" s="31"/>
      <c r="C803" s="31"/>
      <c r="D803" s="31"/>
      <c r="E803" s="31"/>
      <c r="F803" s="31"/>
      <c r="G803" s="31"/>
      <c r="H803" s="31"/>
      <c r="I803" s="31"/>
      <c r="J803" s="31"/>
      <c r="K803" s="31"/>
      <c r="L803" s="31"/>
      <c r="M803" s="31"/>
      <c r="N803" s="31"/>
      <c r="O803" s="31"/>
    </row>
    <row r="804" ht="15.75" customHeight="1">
      <c r="B804" s="31"/>
      <c r="C804" s="31"/>
      <c r="D804" s="31"/>
      <c r="E804" s="31"/>
      <c r="F804" s="31"/>
      <c r="G804" s="31"/>
      <c r="H804" s="31"/>
      <c r="I804" s="31"/>
      <c r="J804" s="31"/>
      <c r="K804" s="31"/>
      <c r="L804" s="31"/>
      <c r="M804" s="31"/>
      <c r="N804" s="31"/>
      <c r="O804" s="31"/>
    </row>
    <row r="805" ht="15.75" customHeight="1">
      <c r="B805" s="31"/>
      <c r="C805" s="31"/>
      <c r="D805" s="31"/>
      <c r="E805" s="31"/>
      <c r="F805" s="31"/>
      <c r="G805" s="31"/>
      <c r="H805" s="31"/>
      <c r="I805" s="31"/>
      <c r="J805" s="31"/>
      <c r="K805" s="31"/>
      <c r="L805" s="31"/>
      <c r="M805" s="31"/>
      <c r="N805" s="31"/>
      <c r="O805" s="31"/>
    </row>
    <row r="806" ht="15.75" customHeight="1">
      <c r="B806" s="31"/>
      <c r="C806" s="31"/>
      <c r="D806" s="31"/>
      <c r="E806" s="31"/>
      <c r="F806" s="31"/>
      <c r="G806" s="31"/>
      <c r="H806" s="31"/>
      <c r="I806" s="31"/>
      <c r="J806" s="31"/>
      <c r="K806" s="31"/>
      <c r="L806" s="31"/>
      <c r="M806" s="31"/>
      <c r="N806" s="31"/>
      <c r="O806" s="31"/>
    </row>
    <row r="807" ht="15.75" customHeight="1">
      <c r="B807" s="31"/>
      <c r="C807" s="31"/>
      <c r="D807" s="31"/>
      <c r="E807" s="31"/>
      <c r="F807" s="31"/>
      <c r="G807" s="31"/>
      <c r="H807" s="31"/>
      <c r="I807" s="31"/>
      <c r="J807" s="31"/>
      <c r="K807" s="31"/>
      <c r="L807" s="31"/>
      <c r="M807" s="31"/>
      <c r="N807" s="31"/>
      <c r="O807" s="31"/>
    </row>
    <row r="808" ht="15.75" customHeight="1">
      <c r="B808" s="31"/>
      <c r="C808" s="31"/>
      <c r="D808" s="31"/>
      <c r="E808" s="31"/>
      <c r="F808" s="31"/>
      <c r="G808" s="31"/>
      <c r="H808" s="31"/>
      <c r="I808" s="31"/>
      <c r="J808" s="31"/>
      <c r="K808" s="31"/>
      <c r="L808" s="31"/>
      <c r="M808" s="31"/>
      <c r="N808" s="31"/>
      <c r="O808" s="31"/>
    </row>
    <row r="809" ht="15.75" customHeight="1">
      <c r="B809" s="31"/>
      <c r="C809" s="31"/>
      <c r="D809" s="31"/>
      <c r="E809" s="31"/>
      <c r="F809" s="31"/>
      <c r="G809" s="31"/>
      <c r="H809" s="31"/>
      <c r="I809" s="31"/>
      <c r="J809" s="31"/>
      <c r="K809" s="31"/>
      <c r="L809" s="31"/>
      <c r="M809" s="31"/>
      <c r="N809" s="31"/>
      <c r="O809" s="31"/>
    </row>
    <row r="810" ht="15.75" customHeight="1">
      <c r="B810" s="31"/>
      <c r="C810" s="31"/>
      <c r="D810" s="31"/>
      <c r="E810" s="31"/>
      <c r="F810" s="31"/>
      <c r="G810" s="31"/>
      <c r="H810" s="31"/>
      <c r="I810" s="31"/>
      <c r="J810" s="31"/>
      <c r="K810" s="31"/>
      <c r="L810" s="31"/>
      <c r="M810" s="31"/>
      <c r="N810" s="31"/>
      <c r="O810" s="31"/>
    </row>
    <row r="811" ht="15.75" customHeight="1">
      <c r="B811" s="31"/>
      <c r="C811" s="31"/>
      <c r="D811" s="31"/>
      <c r="E811" s="31"/>
      <c r="F811" s="31"/>
      <c r="G811" s="31"/>
      <c r="H811" s="31"/>
      <c r="I811" s="31"/>
      <c r="J811" s="31"/>
      <c r="K811" s="31"/>
      <c r="L811" s="31"/>
      <c r="M811" s="31"/>
      <c r="N811" s="31"/>
      <c r="O811" s="31"/>
    </row>
    <row r="812" ht="15.75" customHeight="1">
      <c r="B812" s="31"/>
      <c r="C812" s="31"/>
      <c r="D812" s="31"/>
      <c r="E812" s="31"/>
      <c r="F812" s="31"/>
      <c r="G812" s="31"/>
      <c r="H812" s="31"/>
      <c r="I812" s="31"/>
      <c r="J812" s="31"/>
      <c r="K812" s="31"/>
      <c r="L812" s="31"/>
      <c r="M812" s="31"/>
      <c r="N812" s="31"/>
      <c r="O812" s="31"/>
    </row>
    <row r="813" ht="15.75" customHeight="1">
      <c r="B813" s="31"/>
      <c r="C813" s="31"/>
      <c r="D813" s="31"/>
      <c r="E813" s="31"/>
      <c r="F813" s="31"/>
      <c r="G813" s="31"/>
      <c r="H813" s="31"/>
      <c r="I813" s="31"/>
      <c r="J813" s="31"/>
      <c r="K813" s="31"/>
      <c r="L813" s="31"/>
      <c r="M813" s="31"/>
      <c r="N813" s="31"/>
      <c r="O813" s="31"/>
    </row>
    <row r="814" ht="15.75" customHeight="1">
      <c r="B814" s="31"/>
      <c r="C814" s="31"/>
      <c r="D814" s="31"/>
      <c r="E814" s="31"/>
      <c r="F814" s="31"/>
      <c r="G814" s="31"/>
      <c r="H814" s="31"/>
      <c r="I814" s="31"/>
      <c r="J814" s="31"/>
      <c r="K814" s="31"/>
      <c r="L814" s="31"/>
      <c r="M814" s="31"/>
      <c r="N814" s="31"/>
      <c r="O814" s="31"/>
    </row>
    <row r="815" ht="15.75" customHeight="1">
      <c r="B815" s="31"/>
      <c r="C815" s="31"/>
      <c r="D815" s="31"/>
      <c r="E815" s="31"/>
      <c r="F815" s="31"/>
      <c r="G815" s="31"/>
      <c r="H815" s="31"/>
      <c r="I815" s="31"/>
      <c r="J815" s="31"/>
      <c r="K815" s="31"/>
      <c r="L815" s="31"/>
      <c r="M815" s="31"/>
      <c r="N815" s="31"/>
      <c r="O815" s="31"/>
    </row>
    <row r="816" ht="15.75" customHeight="1">
      <c r="B816" s="31"/>
      <c r="C816" s="31"/>
      <c r="D816" s="31"/>
      <c r="E816" s="31"/>
      <c r="F816" s="31"/>
      <c r="G816" s="31"/>
      <c r="H816" s="31"/>
      <c r="I816" s="31"/>
      <c r="J816" s="31"/>
      <c r="K816" s="31"/>
      <c r="L816" s="31"/>
      <c r="M816" s="31"/>
      <c r="N816" s="31"/>
      <c r="O816" s="31"/>
    </row>
    <row r="817" ht="15.75" customHeight="1">
      <c r="B817" s="31"/>
      <c r="C817" s="31"/>
      <c r="D817" s="31"/>
      <c r="E817" s="31"/>
      <c r="F817" s="31"/>
      <c r="G817" s="31"/>
      <c r="H817" s="31"/>
      <c r="I817" s="31"/>
      <c r="J817" s="31"/>
      <c r="K817" s="31"/>
      <c r="L817" s="31"/>
      <c r="M817" s="31"/>
      <c r="N817" s="31"/>
      <c r="O817" s="31"/>
    </row>
    <row r="818" ht="15.75" customHeight="1">
      <c r="B818" s="31"/>
      <c r="C818" s="31"/>
      <c r="D818" s="31"/>
      <c r="E818" s="31"/>
      <c r="F818" s="31"/>
      <c r="G818" s="31"/>
      <c r="H818" s="31"/>
      <c r="I818" s="31"/>
      <c r="J818" s="31"/>
      <c r="K818" s="31"/>
      <c r="L818" s="31"/>
      <c r="M818" s="31"/>
      <c r="N818" s="31"/>
      <c r="O818" s="31"/>
    </row>
    <row r="819" ht="15.75" customHeight="1">
      <c r="B819" s="31"/>
      <c r="C819" s="31"/>
      <c r="D819" s="31"/>
      <c r="E819" s="31"/>
      <c r="F819" s="31"/>
      <c r="G819" s="31"/>
      <c r="H819" s="31"/>
      <c r="I819" s="31"/>
      <c r="J819" s="31"/>
      <c r="K819" s="31"/>
      <c r="L819" s="31"/>
      <c r="M819" s="31"/>
      <c r="N819" s="31"/>
      <c r="O819" s="31"/>
    </row>
    <row r="820" ht="15.75" customHeight="1">
      <c r="B820" s="31"/>
      <c r="C820" s="31"/>
      <c r="D820" s="31"/>
      <c r="E820" s="31"/>
      <c r="F820" s="31"/>
      <c r="G820" s="31"/>
      <c r="H820" s="31"/>
      <c r="I820" s="31"/>
      <c r="J820" s="31"/>
      <c r="K820" s="31"/>
      <c r="L820" s="31"/>
      <c r="M820" s="31"/>
      <c r="N820" s="31"/>
      <c r="O820" s="31"/>
    </row>
    <row r="821" ht="15.75" customHeight="1">
      <c r="B821" s="31"/>
      <c r="C821" s="31"/>
      <c r="D821" s="31"/>
      <c r="E821" s="31"/>
      <c r="F821" s="31"/>
      <c r="G821" s="31"/>
      <c r="H821" s="31"/>
      <c r="I821" s="31"/>
      <c r="J821" s="31"/>
      <c r="K821" s="31"/>
      <c r="L821" s="31"/>
      <c r="M821" s="31"/>
      <c r="N821" s="31"/>
      <c r="O821" s="31"/>
    </row>
    <row r="822" ht="15.75" customHeight="1">
      <c r="B822" s="31"/>
      <c r="C822" s="31"/>
      <c r="D822" s="31"/>
      <c r="E822" s="31"/>
      <c r="F822" s="31"/>
      <c r="G822" s="31"/>
      <c r="H822" s="31"/>
      <c r="I822" s="31"/>
      <c r="J822" s="31"/>
      <c r="K822" s="31"/>
      <c r="L822" s="31"/>
      <c r="M822" s="31"/>
      <c r="N822" s="31"/>
      <c r="O822" s="31"/>
    </row>
    <row r="823" ht="15.75" customHeight="1">
      <c r="B823" s="31"/>
      <c r="C823" s="31"/>
      <c r="D823" s="31"/>
      <c r="E823" s="31"/>
      <c r="F823" s="31"/>
      <c r="G823" s="31"/>
      <c r="H823" s="31"/>
      <c r="I823" s="31"/>
      <c r="J823" s="31"/>
      <c r="K823" s="31"/>
      <c r="L823" s="31"/>
      <c r="M823" s="31"/>
      <c r="N823" s="31"/>
      <c r="O823" s="31"/>
    </row>
    <row r="824" ht="15.75" customHeight="1">
      <c r="B824" s="31"/>
      <c r="C824" s="31"/>
      <c r="D824" s="31"/>
      <c r="E824" s="31"/>
      <c r="F824" s="31"/>
      <c r="G824" s="31"/>
      <c r="H824" s="31"/>
      <c r="I824" s="31"/>
      <c r="J824" s="31"/>
      <c r="K824" s="31"/>
      <c r="L824" s="31"/>
      <c r="M824" s="31"/>
      <c r="N824" s="31"/>
      <c r="O824" s="31"/>
    </row>
    <row r="825" ht="15.75" customHeight="1">
      <c r="B825" s="31"/>
      <c r="C825" s="31"/>
      <c r="D825" s="31"/>
      <c r="E825" s="31"/>
      <c r="F825" s="31"/>
      <c r="G825" s="31"/>
      <c r="H825" s="31"/>
      <c r="I825" s="31"/>
      <c r="J825" s="31"/>
      <c r="K825" s="31"/>
      <c r="L825" s="31"/>
      <c r="M825" s="31"/>
      <c r="N825" s="31"/>
      <c r="O825" s="31"/>
    </row>
    <row r="826" ht="15.75" customHeight="1">
      <c r="B826" s="31"/>
      <c r="C826" s="31"/>
      <c r="D826" s="31"/>
      <c r="E826" s="31"/>
      <c r="F826" s="31"/>
      <c r="G826" s="31"/>
      <c r="H826" s="31"/>
      <c r="I826" s="31"/>
      <c r="J826" s="31"/>
      <c r="K826" s="31"/>
      <c r="L826" s="31"/>
      <c r="M826" s="31"/>
      <c r="N826" s="31"/>
      <c r="O826" s="31"/>
    </row>
    <row r="827" ht="15.75" customHeight="1">
      <c r="B827" s="31"/>
      <c r="C827" s="31"/>
      <c r="D827" s="31"/>
      <c r="E827" s="31"/>
      <c r="F827" s="31"/>
      <c r="G827" s="31"/>
      <c r="H827" s="31"/>
      <c r="I827" s="31"/>
      <c r="J827" s="31"/>
      <c r="K827" s="31"/>
      <c r="L827" s="31"/>
      <c r="M827" s="31"/>
      <c r="N827" s="31"/>
      <c r="O827" s="31"/>
    </row>
    <row r="828" ht="15.75" customHeight="1">
      <c r="B828" s="31"/>
      <c r="C828" s="31"/>
      <c r="D828" s="31"/>
      <c r="E828" s="31"/>
      <c r="F828" s="31"/>
      <c r="G828" s="31"/>
      <c r="H828" s="31"/>
      <c r="I828" s="31"/>
      <c r="J828" s="31"/>
      <c r="K828" s="31"/>
      <c r="L828" s="31"/>
      <c r="M828" s="31"/>
      <c r="N828" s="31"/>
      <c r="O828" s="31"/>
    </row>
    <row r="829" ht="15.75" customHeight="1">
      <c r="B829" s="31"/>
      <c r="C829" s="31"/>
      <c r="D829" s="31"/>
      <c r="E829" s="31"/>
      <c r="F829" s="31"/>
      <c r="G829" s="31"/>
      <c r="H829" s="31"/>
      <c r="I829" s="31"/>
      <c r="J829" s="31"/>
      <c r="K829" s="31"/>
      <c r="L829" s="31"/>
      <c r="M829" s="31"/>
      <c r="N829" s="31"/>
      <c r="O829" s="31"/>
    </row>
    <row r="830" ht="15.75" customHeight="1">
      <c r="B830" s="31"/>
      <c r="C830" s="31"/>
      <c r="D830" s="31"/>
      <c r="E830" s="31"/>
      <c r="F830" s="31"/>
      <c r="G830" s="31"/>
      <c r="H830" s="31"/>
      <c r="I830" s="31"/>
      <c r="J830" s="31"/>
      <c r="K830" s="31"/>
      <c r="L830" s="31"/>
      <c r="M830" s="31"/>
      <c r="N830" s="31"/>
      <c r="O830" s="31"/>
    </row>
    <row r="831" ht="15.75" customHeight="1">
      <c r="B831" s="31"/>
      <c r="C831" s="31"/>
      <c r="D831" s="31"/>
      <c r="E831" s="31"/>
      <c r="F831" s="31"/>
      <c r="G831" s="31"/>
      <c r="H831" s="31"/>
      <c r="I831" s="31"/>
      <c r="J831" s="31"/>
      <c r="K831" s="31"/>
      <c r="L831" s="31"/>
      <c r="M831" s="31"/>
      <c r="N831" s="31"/>
      <c r="O831" s="31"/>
    </row>
    <row r="832" ht="15.75" customHeight="1">
      <c r="B832" s="31"/>
      <c r="C832" s="31"/>
      <c r="D832" s="31"/>
      <c r="E832" s="31"/>
      <c r="F832" s="31"/>
      <c r="G832" s="31"/>
      <c r="H832" s="31"/>
      <c r="I832" s="31"/>
      <c r="J832" s="31"/>
      <c r="K832" s="31"/>
      <c r="L832" s="31"/>
      <c r="M832" s="31"/>
      <c r="N832" s="31"/>
      <c r="O832" s="31"/>
    </row>
    <row r="833" ht="15.75" customHeight="1">
      <c r="B833" s="31"/>
      <c r="C833" s="31"/>
      <c r="D833" s="31"/>
      <c r="E833" s="31"/>
      <c r="F833" s="31"/>
      <c r="G833" s="31"/>
      <c r="H833" s="31"/>
      <c r="I833" s="31"/>
      <c r="J833" s="31"/>
      <c r="K833" s="31"/>
      <c r="L833" s="31"/>
      <c r="M833" s="31"/>
      <c r="N833" s="31"/>
      <c r="O833" s="31"/>
    </row>
    <row r="834" ht="15.75" customHeight="1">
      <c r="B834" s="31"/>
      <c r="C834" s="31"/>
      <c r="D834" s="31"/>
      <c r="E834" s="31"/>
      <c r="F834" s="31"/>
      <c r="G834" s="31"/>
      <c r="H834" s="31"/>
      <c r="I834" s="31"/>
      <c r="J834" s="31"/>
      <c r="K834" s="31"/>
      <c r="L834" s="31"/>
      <c r="M834" s="31"/>
      <c r="N834" s="31"/>
      <c r="O834" s="31"/>
    </row>
    <row r="835" ht="15.75" customHeight="1">
      <c r="B835" s="31"/>
      <c r="C835" s="31"/>
      <c r="D835" s="31"/>
      <c r="E835" s="31"/>
      <c r="F835" s="31"/>
      <c r="G835" s="31"/>
      <c r="H835" s="31"/>
      <c r="I835" s="31"/>
      <c r="J835" s="31"/>
      <c r="K835" s="31"/>
      <c r="L835" s="31"/>
      <c r="M835" s="31"/>
      <c r="N835" s="31"/>
      <c r="O835" s="31"/>
    </row>
    <row r="836" ht="15.75" customHeight="1">
      <c r="B836" s="31"/>
      <c r="C836" s="31"/>
      <c r="D836" s="31"/>
      <c r="E836" s="31"/>
      <c r="F836" s="31"/>
      <c r="G836" s="31"/>
      <c r="H836" s="31"/>
      <c r="I836" s="31"/>
      <c r="J836" s="31"/>
      <c r="K836" s="31"/>
      <c r="L836" s="31"/>
      <c r="M836" s="31"/>
      <c r="N836" s="31"/>
      <c r="O836" s="31"/>
    </row>
    <row r="837" ht="15.75" customHeight="1">
      <c r="B837" s="31"/>
      <c r="C837" s="31"/>
      <c r="D837" s="31"/>
      <c r="E837" s="31"/>
      <c r="F837" s="31"/>
      <c r="G837" s="31"/>
      <c r="H837" s="31"/>
      <c r="I837" s="31"/>
      <c r="J837" s="31"/>
      <c r="K837" s="31"/>
      <c r="L837" s="31"/>
      <c r="M837" s="31"/>
      <c r="N837" s="31"/>
      <c r="O837" s="31"/>
    </row>
    <row r="838" ht="15.75" customHeight="1">
      <c r="B838" s="31"/>
      <c r="C838" s="31"/>
      <c r="D838" s="31"/>
      <c r="E838" s="31"/>
      <c r="F838" s="31"/>
      <c r="G838" s="31"/>
      <c r="H838" s="31"/>
      <c r="I838" s="31"/>
      <c r="J838" s="31"/>
      <c r="K838" s="31"/>
      <c r="L838" s="31"/>
      <c r="M838" s="31"/>
      <c r="N838" s="31"/>
      <c r="O838" s="31"/>
    </row>
    <row r="839" ht="15.75" customHeight="1">
      <c r="B839" s="31"/>
      <c r="C839" s="31"/>
      <c r="D839" s="31"/>
      <c r="E839" s="31"/>
      <c r="F839" s="31"/>
      <c r="G839" s="31"/>
      <c r="H839" s="31"/>
      <c r="I839" s="31"/>
      <c r="J839" s="31"/>
      <c r="K839" s="31"/>
      <c r="L839" s="31"/>
      <c r="M839" s="31"/>
      <c r="N839" s="31"/>
      <c r="O839" s="31"/>
    </row>
    <row r="840" ht="15.75" customHeight="1">
      <c r="B840" s="31"/>
      <c r="C840" s="31"/>
      <c r="D840" s="31"/>
      <c r="E840" s="31"/>
      <c r="F840" s="31"/>
      <c r="G840" s="31"/>
      <c r="H840" s="31"/>
      <c r="I840" s="31"/>
      <c r="J840" s="31"/>
      <c r="K840" s="31"/>
      <c r="L840" s="31"/>
      <c r="M840" s="31"/>
      <c r="N840" s="31"/>
      <c r="O840" s="31"/>
    </row>
    <row r="841" ht="15.75" customHeight="1">
      <c r="B841" s="31"/>
      <c r="C841" s="31"/>
      <c r="D841" s="31"/>
      <c r="E841" s="31"/>
      <c r="F841" s="31"/>
      <c r="G841" s="31"/>
      <c r="H841" s="31"/>
      <c r="I841" s="31"/>
      <c r="J841" s="31"/>
      <c r="K841" s="31"/>
      <c r="L841" s="31"/>
      <c r="M841" s="31"/>
      <c r="N841" s="31"/>
      <c r="O841" s="31"/>
    </row>
    <row r="842" ht="15.75" customHeight="1">
      <c r="B842" s="31"/>
      <c r="C842" s="31"/>
      <c r="D842" s="31"/>
      <c r="E842" s="31"/>
      <c r="F842" s="31"/>
      <c r="G842" s="31"/>
      <c r="H842" s="31"/>
      <c r="I842" s="31"/>
      <c r="J842" s="31"/>
      <c r="K842" s="31"/>
      <c r="L842" s="31"/>
      <c r="M842" s="31"/>
      <c r="N842" s="31"/>
      <c r="O842" s="31"/>
    </row>
    <row r="843" ht="15.75" customHeight="1">
      <c r="B843" s="31"/>
      <c r="C843" s="31"/>
      <c r="D843" s="31"/>
      <c r="E843" s="31"/>
      <c r="F843" s="31"/>
      <c r="G843" s="31"/>
      <c r="H843" s="31"/>
      <c r="I843" s="31"/>
      <c r="J843" s="31"/>
      <c r="K843" s="31"/>
      <c r="L843" s="31"/>
      <c r="M843" s="31"/>
      <c r="N843" s="31"/>
      <c r="O843" s="31"/>
    </row>
    <row r="844" ht="15.75" customHeight="1">
      <c r="B844" s="31"/>
      <c r="C844" s="31"/>
      <c r="D844" s="31"/>
      <c r="E844" s="31"/>
      <c r="F844" s="31"/>
      <c r="G844" s="31"/>
      <c r="H844" s="31"/>
      <c r="I844" s="31"/>
      <c r="J844" s="31"/>
      <c r="K844" s="31"/>
      <c r="L844" s="31"/>
      <c r="M844" s="31"/>
      <c r="N844" s="31"/>
      <c r="O844" s="31"/>
    </row>
    <row r="845" ht="15.75" customHeight="1">
      <c r="B845" s="31"/>
      <c r="C845" s="31"/>
      <c r="D845" s="31"/>
      <c r="E845" s="31"/>
      <c r="F845" s="31"/>
      <c r="G845" s="31"/>
      <c r="H845" s="31"/>
      <c r="I845" s="31"/>
      <c r="J845" s="31"/>
      <c r="K845" s="31"/>
      <c r="L845" s="31"/>
      <c r="M845" s="31"/>
      <c r="N845" s="31"/>
      <c r="O845" s="31"/>
    </row>
    <row r="846" ht="15.75" customHeight="1">
      <c r="B846" s="31"/>
      <c r="C846" s="31"/>
      <c r="D846" s="31"/>
      <c r="E846" s="31"/>
      <c r="F846" s="31"/>
      <c r="G846" s="31"/>
      <c r="H846" s="31"/>
      <c r="I846" s="31"/>
      <c r="J846" s="31"/>
      <c r="K846" s="31"/>
      <c r="L846" s="31"/>
      <c r="M846" s="31"/>
      <c r="N846" s="31"/>
      <c r="O846" s="31"/>
    </row>
    <row r="847" ht="15.75" customHeight="1">
      <c r="B847" s="31"/>
      <c r="C847" s="31"/>
      <c r="D847" s="31"/>
      <c r="E847" s="31"/>
      <c r="F847" s="31"/>
      <c r="G847" s="31"/>
      <c r="H847" s="31"/>
      <c r="I847" s="31"/>
      <c r="J847" s="31"/>
      <c r="K847" s="31"/>
      <c r="L847" s="31"/>
      <c r="M847" s="31"/>
      <c r="N847" s="31"/>
      <c r="O847" s="31"/>
    </row>
    <row r="848" ht="15.75" customHeight="1">
      <c r="B848" s="31"/>
      <c r="C848" s="31"/>
      <c r="D848" s="31"/>
      <c r="E848" s="31"/>
      <c r="F848" s="31"/>
      <c r="G848" s="31"/>
      <c r="H848" s="31"/>
      <c r="I848" s="31"/>
      <c r="J848" s="31"/>
      <c r="K848" s="31"/>
      <c r="L848" s="31"/>
      <c r="M848" s="31"/>
      <c r="N848" s="31"/>
      <c r="O848" s="31"/>
    </row>
    <row r="849" ht="15.75" customHeight="1">
      <c r="B849" s="31"/>
      <c r="C849" s="31"/>
      <c r="D849" s="31"/>
      <c r="E849" s="31"/>
      <c r="F849" s="31"/>
      <c r="G849" s="31"/>
      <c r="H849" s="31"/>
      <c r="I849" s="31"/>
      <c r="J849" s="31"/>
      <c r="K849" s="31"/>
      <c r="L849" s="31"/>
      <c r="M849" s="31"/>
      <c r="N849" s="31"/>
      <c r="O849" s="31"/>
    </row>
    <row r="850" ht="15.75" customHeight="1">
      <c r="B850" s="31"/>
      <c r="C850" s="31"/>
      <c r="D850" s="31"/>
      <c r="E850" s="31"/>
      <c r="F850" s="31"/>
      <c r="G850" s="31"/>
      <c r="H850" s="31"/>
      <c r="I850" s="31"/>
      <c r="J850" s="31"/>
      <c r="K850" s="31"/>
      <c r="L850" s="31"/>
      <c r="M850" s="31"/>
      <c r="N850" s="31"/>
      <c r="O850" s="31"/>
    </row>
    <row r="851" ht="15.75" customHeight="1">
      <c r="B851" s="31"/>
      <c r="C851" s="31"/>
      <c r="D851" s="31"/>
      <c r="E851" s="31"/>
      <c r="F851" s="31"/>
      <c r="G851" s="31"/>
      <c r="H851" s="31"/>
      <c r="I851" s="31"/>
      <c r="J851" s="31"/>
      <c r="K851" s="31"/>
      <c r="L851" s="31"/>
      <c r="M851" s="31"/>
      <c r="N851" s="31"/>
      <c r="O851" s="31"/>
    </row>
    <row r="852" ht="15.75" customHeight="1">
      <c r="B852" s="31"/>
      <c r="C852" s="31"/>
      <c r="D852" s="31"/>
      <c r="E852" s="31"/>
      <c r="F852" s="31"/>
      <c r="G852" s="31"/>
      <c r="H852" s="31"/>
      <c r="I852" s="31"/>
      <c r="J852" s="31"/>
      <c r="K852" s="31"/>
      <c r="L852" s="31"/>
      <c r="M852" s="31"/>
      <c r="N852" s="31"/>
      <c r="O852" s="31"/>
    </row>
    <row r="853" ht="15.75" customHeight="1">
      <c r="B853" s="31"/>
      <c r="C853" s="31"/>
      <c r="D853" s="31"/>
      <c r="E853" s="31"/>
      <c r="F853" s="31"/>
      <c r="G853" s="31"/>
      <c r="H853" s="31"/>
      <c r="I853" s="31"/>
      <c r="J853" s="31"/>
      <c r="K853" s="31"/>
      <c r="L853" s="31"/>
      <c r="M853" s="31"/>
      <c r="N853" s="31"/>
      <c r="O853" s="31"/>
    </row>
    <row r="854" ht="15.75" customHeight="1">
      <c r="B854" s="31"/>
      <c r="C854" s="31"/>
      <c r="D854" s="31"/>
      <c r="E854" s="31"/>
      <c r="F854" s="31"/>
      <c r="G854" s="31"/>
      <c r="H854" s="31"/>
      <c r="I854" s="31"/>
      <c r="J854" s="31"/>
      <c r="K854" s="31"/>
      <c r="L854" s="31"/>
      <c r="M854" s="31"/>
      <c r="N854" s="31"/>
      <c r="O854" s="31"/>
    </row>
    <row r="855" ht="15.75" customHeight="1">
      <c r="B855" s="31"/>
      <c r="C855" s="31"/>
      <c r="D855" s="31"/>
      <c r="E855" s="31"/>
      <c r="F855" s="31"/>
      <c r="G855" s="31"/>
      <c r="H855" s="31"/>
      <c r="I855" s="31"/>
      <c r="J855" s="31"/>
      <c r="K855" s="31"/>
      <c r="L855" s="31"/>
      <c r="M855" s="31"/>
      <c r="N855" s="31"/>
      <c r="O855" s="31"/>
    </row>
    <row r="856" ht="15.75" customHeight="1">
      <c r="B856" s="31"/>
      <c r="C856" s="31"/>
      <c r="D856" s="31"/>
      <c r="E856" s="31"/>
      <c r="F856" s="31"/>
      <c r="G856" s="31"/>
      <c r="H856" s="31"/>
      <c r="I856" s="31"/>
      <c r="J856" s="31"/>
      <c r="K856" s="31"/>
      <c r="L856" s="31"/>
      <c r="M856" s="31"/>
      <c r="N856" s="31"/>
      <c r="O856" s="31"/>
    </row>
    <row r="857" ht="15.75" customHeight="1">
      <c r="B857" s="31"/>
      <c r="C857" s="31"/>
      <c r="D857" s="31"/>
      <c r="E857" s="31"/>
      <c r="F857" s="31"/>
      <c r="G857" s="31"/>
      <c r="H857" s="31"/>
      <c r="I857" s="31"/>
      <c r="J857" s="31"/>
      <c r="K857" s="31"/>
      <c r="L857" s="31"/>
      <c r="M857" s="31"/>
      <c r="N857" s="31"/>
      <c r="O857" s="31"/>
    </row>
    <row r="858" ht="15.75" customHeight="1">
      <c r="B858" s="31"/>
      <c r="C858" s="31"/>
      <c r="D858" s="31"/>
      <c r="E858" s="31"/>
      <c r="F858" s="31"/>
      <c r="G858" s="31"/>
      <c r="H858" s="31"/>
      <c r="I858" s="31"/>
      <c r="J858" s="31"/>
      <c r="K858" s="31"/>
      <c r="L858" s="31"/>
      <c r="M858" s="31"/>
      <c r="N858" s="31"/>
      <c r="O858" s="31"/>
    </row>
    <row r="859" ht="15.75" customHeight="1">
      <c r="B859" s="31"/>
      <c r="C859" s="31"/>
      <c r="D859" s="31"/>
      <c r="E859" s="31"/>
      <c r="F859" s="31"/>
      <c r="G859" s="31"/>
      <c r="H859" s="31"/>
      <c r="I859" s="31"/>
      <c r="J859" s="31"/>
      <c r="K859" s="31"/>
      <c r="L859" s="31"/>
      <c r="M859" s="31"/>
      <c r="N859" s="31"/>
      <c r="O859" s="31"/>
    </row>
    <row r="860" ht="15.75" customHeight="1">
      <c r="B860" s="31"/>
      <c r="C860" s="31"/>
      <c r="D860" s="31"/>
      <c r="E860" s="31"/>
      <c r="F860" s="31"/>
      <c r="G860" s="31"/>
      <c r="H860" s="31"/>
      <c r="I860" s="31"/>
      <c r="J860" s="31"/>
      <c r="K860" s="31"/>
      <c r="L860" s="31"/>
      <c r="M860" s="31"/>
      <c r="N860" s="31"/>
      <c r="O860" s="31"/>
    </row>
    <row r="861" ht="15.75" customHeight="1">
      <c r="B861" s="31"/>
      <c r="C861" s="31"/>
      <c r="D861" s="31"/>
      <c r="E861" s="31"/>
      <c r="F861" s="31"/>
      <c r="G861" s="31"/>
      <c r="H861" s="31"/>
      <c r="I861" s="31"/>
      <c r="J861" s="31"/>
      <c r="K861" s="31"/>
      <c r="L861" s="31"/>
      <c r="M861" s="31"/>
      <c r="N861" s="31"/>
      <c r="O861" s="31"/>
    </row>
    <row r="862" ht="15.75" customHeight="1">
      <c r="B862" s="31"/>
      <c r="C862" s="31"/>
      <c r="D862" s="31"/>
      <c r="E862" s="31"/>
      <c r="F862" s="31"/>
      <c r="G862" s="31"/>
      <c r="H862" s="31"/>
      <c r="I862" s="31"/>
      <c r="J862" s="31"/>
      <c r="K862" s="31"/>
      <c r="L862" s="31"/>
      <c r="M862" s="31"/>
      <c r="N862" s="31"/>
      <c r="O862" s="31"/>
    </row>
    <row r="863" ht="15.75" customHeight="1">
      <c r="B863" s="31"/>
      <c r="C863" s="31"/>
      <c r="D863" s="31"/>
      <c r="E863" s="31"/>
      <c r="F863" s="31"/>
      <c r="G863" s="31"/>
      <c r="H863" s="31"/>
      <c r="I863" s="31"/>
      <c r="J863" s="31"/>
      <c r="K863" s="31"/>
      <c r="L863" s="31"/>
      <c r="M863" s="31"/>
      <c r="N863" s="31"/>
      <c r="O863" s="31"/>
    </row>
    <row r="864" ht="15.75" customHeight="1">
      <c r="B864" s="31"/>
      <c r="C864" s="31"/>
      <c r="D864" s="31"/>
      <c r="E864" s="31"/>
      <c r="F864" s="31"/>
      <c r="G864" s="31"/>
      <c r="H864" s="31"/>
      <c r="I864" s="31"/>
      <c r="J864" s="31"/>
      <c r="K864" s="31"/>
      <c r="L864" s="31"/>
      <c r="M864" s="31"/>
      <c r="N864" s="31"/>
      <c r="O864" s="31"/>
    </row>
    <row r="865" ht="15.75" customHeight="1">
      <c r="B865" s="31"/>
      <c r="C865" s="31"/>
      <c r="D865" s="31"/>
      <c r="E865" s="31"/>
      <c r="F865" s="31"/>
      <c r="G865" s="31"/>
      <c r="H865" s="31"/>
      <c r="I865" s="31"/>
      <c r="J865" s="31"/>
      <c r="K865" s="31"/>
      <c r="L865" s="31"/>
      <c r="M865" s="31"/>
      <c r="N865" s="31"/>
      <c r="O865" s="31"/>
    </row>
    <row r="866" ht="15.75" customHeight="1">
      <c r="B866" s="31"/>
      <c r="C866" s="31"/>
      <c r="D866" s="31"/>
      <c r="E866" s="31"/>
      <c r="F866" s="31"/>
      <c r="G866" s="31"/>
      <c r="H866" s="31"/>
      <c r="I866" s="31"/>
      <c r="J866" s="31"/>
      <c r="K866" s="31"/>
      <c r="L866" s="31"/>
      <c r="M866" s="31"/>
      <c r="N866" s="31"/>
      <c r="O866" s="31"/>
    </row>
    <row r="867" ht="15.75" customHeight="1">
      <c r="B867" s="31"/>
      <c r="C867" s="31"/>
      <c r="D867" s="31"/>
      <c r="E867" s="31"/>
      <c r="F867" s="31"/>
      <c r="G867" s="31"/>
      <c r="H867" s="31"/>
      <c r="I867" s="31"/>
      <c r="J867" s="31"/>
      <c r="K867" s="31"/>
      <c r="L867" s="31"/>
      <c r="M867" s="31"/>
      <c r="N867" s="31"/>
      <c r="O867" s="31"/>
    </row>
    <row r="868" ht="15.75" customHeight="1">
      <c r="B868" s="31"/>
      <c r="C868" s="31"/>
      <c r="D868" s="31"/>
      <c r="E868" s="31"/>
      <c r="F868" s="31"/>
      <c r="G868" s="31"/>
      <c r="H868" s="31"/>
      <c r="I868" s="31"/>
      <c r="J868" s="31"/>
      <c r="K868" s="31"/>
      <c r="L868" s="31"/>
      <c r="M868" s="31"/>
      <c r="N868" s="31"/>
      <c r="O868" s="31"/>
    </row>
    <row r="869" ht="15.75" customHeight="1">
      <c r="B869" s="31"/>
      <c r="C869" s="31"/>
      <c r="D869" s="31"/>
      <c r="E869" s="31"/>
      <c r="F869" s="31"/>
      <c r="G869" s="31"/>
      <c r="H869" s="31"/>
      <c r="I869" s="31"/>
      <c r="J869" s="31"/>
      <c r="K869" s="31"/>
      <c r="L869" s="31"/>
      <c r="M869" s="31"/>
      <c r="N869" s="31"/>
      <c r="O869" s="31"/>
    </row>
    <row r="870" ht="15.75" customHeight="1">
      <c r="B870" s="31"/>
      <c r="C870" s="31"/>
      <c r="D870" s="31"/>
      <c r="E870" s="31"/>
      <c r="F870" s="31"/>
      <c r="G870" s="31"/>
      <c r="H870" s="31"/>
      <c r="I870" s="31"/>
      <c r="J870" s="31"/>
      <c r="K870" s="31"/>
      <c r="L870" s="31"/>
      <c r="M870" s="31"/>
      <c r="N870" s="31"/>
      <c r="O870" s="31"/>
    </row>
    <row r="871" ht="15.75" customHeight="1">
      <c r="B871" s="31"/>
      <c r="C871" s="31"/>
      <c r="D871" s="31"/>
      <c r="E871" s="31"/>
      <c r="F871" s="31"/>
      <c r="G871" s="31"/>
      <c r="H871" s="31"/>
      <c r="I871" s="31"/>
      <c r="J871" s="31"/>
      <c r="K871" s="31"/>
      <c r="L871" s="31"/>
      <c r="M871" s="31"/>
      <c r="N871" s="31"/>
      <c r="O871" s="31"/>
    </row>
    <row r="872" ht="15.75" customHeight="1">
      <c r="B872" s="31"/>
      <c r="C872" s="31"/>
      <c r="D872" s="31"/>
      <c r="E872" s="31"/>
      <c r="F872" s="31"/>
      <c r="G872" s="31"/>
      <c r="H872" s="31"/>
      <c r="I872" s="31"/>
      <c r="J872" s="31"/>
      <c r="K872" s="31"/>
      <c r="L872" s="31"/>
      <c r="M872" s="31"/>
      <c r="N872" s="31"/>
      <c r="O872" s="31"/>
    </row>
    <row r="873" ht="15.75" customHeight="1">
      <c r="B873" s="31"/>
      <c r="C873" s="31"/>
      <c r="D873" s="31"/>
      <c r="E873" s="31"/>
      <c r="F873" s="31"/>
      <c r="G873" s="31"/>
      <c r="H873" s="31"/>
      <c r="I873" s="31"/>
      <c r="J873" s="31"/>
      <c r="K873" s="31"/>
      <c r="L873" s="31"/>
      <c r="M873" s="31"/>
      <c r="N873" s="31"/>
      <c r="O873" s="31"/>
    </row>
    <row r="874" ht="15.75" customHeight="1">
      <c r="B874" s="31"/>
      <c r="C874" s="31"/>
      <c r="D874" s="31"/>
      <c r="E874" s="31"/>
      <c r="F874" s="31"/>
      <c r="G874" s="31"/>
      <c r="H874" s="31"/>
      <c r="I874" s="31"/>
      <c r="J874" s="31"/>
      <c r="K874" s="31"/>
      <c r="L874" s="31"/>
      <c r="M874" s="31"/>
      <c r="N874" s="31"/>
      <c r="O874" s="31"/>
    </row>
    <row r="875" ht="15.75" customHeight="1">
      <c r="B875" s="31"/>
      <c r="C875" s="31"/>
      <c r="D875" s="31"/>
      <c r="E875" s="31"/>
      <c r="F875" s="31"/>
      <c r="G875" s="31"/>
      <c r="H875" s="31"/>
      <c r="I875" s="31"/>
      <c r="J875" s="31"/>
      <c r="K875" s="31"/>
      <c r="L875" s="31"/>
      <c r="M875" s="31"/>
      <c r="N875" s="31"/>
      <c r="O875" s="31"/>
    </row>
    <row r="876" ht="15.75" customHeight="1">
      <c r="B876" s="31"/>
      <c r="C876" s="31"/>
      <c r="D876" s="31"/>
      <c r="E876" s="31"/>
      <c r="F876" s="31"/>
      <c r="G876" s="31"/>
      <c r="H876" s="31"/>
      <c r="I876" s="31"/>
      <c r="J876" s="31"/>
      <c r="K876" s="31"/>
      <c r="L876" s="31"/>
      <c r="M876" s="31"/>
      <c r="N876" s="31"/>
      <c r="O876" s="31"/>
    </row>
    <row r="877" ht="15.75" customHeight="1">
      <c r="B877" s="31"/>
      <c r="C877" s="31"/>
      <c r="D877" s="31"/>
      <c r="E877" s="31"/>
      <c r="F877" s="31"/>
      <c r="G877" s="31"/>
      <c r="H877" s="31"/>
      <c r="I877" s="31"/>
      <c r="J877" s="31"/>
      <c r="K877" s="31"/>
      <c r="L877" s="31"/>
      <c r="M877" s="31"/>
      <c r="N877" s="31"/>
      <c r="O877" s="31"/>
    </row>
    <row r="878" ht="15.75" customHeight="1">
      <c r="B878" s="31"/>
      <c r="C878" s="31"/>
      <c r="D878" s="31"/>
      <c r="E878" s="31"/>
      <c r="F878" s="31"/>
      <c r="G878" s="31"/>
      <c r="H878" s="31"/>
      <c r="I878" s="31"/>
      <c r="J878" s="31"/>
      <c r="K878" s="31"/>
      <c r="L878" s="31"/>
      <c r="M878" s="31"/>
      <c r="N878" s="31"/>
      <c r="O878" s="31"/>
    </row>
    <row r="879" ht="15.75" customHeight="1">
      <c r="B879" s="31"/>
      <c r="C879" s="31"/>
      <c r="D879" s="31"/>
      <c r="E879" s="31"/>
      <c r="F879" s="31"/>
      <c r="G879" s="31"/>
      <c r="H879" s="31"/>
      <c r="I879" s="31"/>
      <c r="J879" s="31"/>
      <c r="K879" s="31"/>
      <c r="L879" s="31"/>
      <c r="M879" s="31"/>
      <c r="N879" s="31"/>
      <c r="O879" s="31"/>
    </row>
    <row r="880" ht="15.75" customHeight="1">
      <c r="B880" s="31"/>
      <c r="C880" s="31"/>
      <c r="D880" s="31"/>
      <c r="E880" s="31"/>
      <c r="F880" s="31"/>
      <c r="G880" s="31"/>
      <c r="H880" s="31"/>
      <c r="I880" s="31"/>
      <c r="J880" s="31"/>
      <c r="K880" s="31"/>
      <c r="L880" s="31"/>
      <c r="M880" s="31"/>
      <c r="N880" s="31"/>
      <c r="O880" s="31"/>
    </row>
    <row r="881" ht="15.75" customHeight="1">
      <c r="B881" s="31"/>
      <c r="C881" s="31"/>
      <c r="D881" s="31"/>
      <c r="E881" s="31"/>
      <c r="F881" s="31"/>
      <c r="G881" s="31"/>
      <c r="H881" s="31"/>
      <c r="I881" s="31"/>
      <c r="J881" s="31"/>
      <c r="K881" s="31"/>
      <c r="L881" s="31"/>
      <c r="M881" s="31"/>
      <c r="N881" s="31"/>
      <c r="O881" s="31"/>
    </row>
    <row r="882" ht="15.75" customHeight="1">
      <c r="B882" s="31"/>
      <c r="C882" s="31"/>
      <c r="D882" s="31"/>
      <c r="E882" s="31"/>
      <c r="F882" s="31"/>
      <c r="G882" s="31"/>
      <c r="H882" s="31"/>
      <c r="I882" s="31"/>
      <c r="J882" s="31"/>
      <c r="K882" s="31"/>
      <c r="L882" s="31"/>
      <c r="M882" s="31"/>
      <c r="N882" s="31"/>
      <c r="O882" s="31"/>
    </row>
    <row r="883" ht="15.75" customHeight="1">
      <c r="B883" s="31"/>
      <c r="C883" s="31"/>
      <c r="D883" s="31"/>
      <c r="E883" s="31"/>
      <c r="F883" s="31"/>
      <c r="G883" s="31"/>
      <c r="H883" s="31"/>
      <c r="I883" s="31"/>
      <c r="J883" s="31"/>
      <c r="K883" s="31"/>
      <c r="L883" s="31"/>
      <c r="M883" s="31"/>
      <c r="N883" s="31"/>
      <c r="O883" s="31"/>
    </row>
    <row r="884" ht="15.75" customHeight="1">
      <c r="B884" s="31"/>
      <c r="C884" s="31"/>
      <c r="D884" s="31"/>
      <c r="E884" s="31"/>
      <c r="F884" s="31"/>
      <c r="G884" s="31"/>
      <c r="H884" s="31"/>
      <c r="I884" s="31"/>
      <c r="J884" s="31"/>
      <c r="K884" s="31"/>
      <c r="L884" s="31"/>
      <c r="M884" s="31"/>
      <c r="N884" s="31"/>
      <c r="O884" s="31"/>
    </row>
    <row r="885" ht="15.75" customHeight="1">
      <c r="B885" s="31"/>
      <c r="C885" s="31"/>
      <c r="D885" s="31"/>
      <c r="E885" s="31"/>
      <c r="F885" s="31"/>
      <c r="G885" s="31"/>
      <c r="H885" s="31"/>
      <c r="I885" s="31"/>
      <c r="J885" s="31"/>
      <c r="K885" s="31"/>
      <c r="L885" s="31"/>
      <c r="M885" s="31"/>
      <c r="N885" s="31"/>
      <c r="O885" s="31"/>
    </row>
    <row r="886" ht="15.75" customHeight="1">
      <c r="B886" s="31"/>
      <c r="C886" s="31"/>
      <c r="D886" s="31"/>
      <c r="E886" s="31"/>
      <c r="F886" s="31"/>
      <c r="G886" s="31"/>
      <c r="H886" s="31"/>
      <c r="I886" s="31"/>
      <c r="J886" s="31"/>
      <c r="K886" s="31"/>
      <c r="L886" s="31"/>
      <c r="M886" s="31"/>
      <c r="N886" s="31"/>
      <c r="O886" s="31"/>
    </row>
    <row r="887" ht="15.75" customHeight="1">
      <c r="B887" s="31"/>
      <c r="C887" s="31"/>
      <c r="D887" s="31"/>
      <c r="E887" s="31"/>
      <c r="F887" s="31"/>
      <c r="G887" s="31"/>
      <c r="H887" s="31"/>
      <c r="I887" s="31"/>
      <c r="J887" s="31"/>
      <c r="K887" s="31"/>
      <c r="L887" s="31"/>
      <c r="M887" s="31"/>
      <c r="N887" s="31"/>
      <c r="O887" s="31"/>
    </row>
    <row r="888" ht="15.75" customHeight="1">
      <c r="B888" s="31"/>
      <c r="C888" s="31"/>
      <c r="D888" s="31"/>
      <c r="E888" s="31"/>
      <c r="F888" s="31"/>
      <c r="G888" s="31"/>
      <c r="H888" s="31"/>
      <c r="I888" s="31"/>
      <c r="J888" s="31"/>
      <c r="K888" s="31"/>
      <c r="L888" s="31"/>
      <c r="M888" s="31"/>
      <c r="N888" s="31"/>
      <c r="O888" s="31"/>
    </row>
    <row r="889" ht="15.75" customHeight="1">
      <c r="B889" s="31"/>
      <c r="C889" s="31"/>
      <c r="D889" s="31"/>
      <c r="E889" s="31"/>
      <c r="F889" s="31"/>
      <c r="G889" s="31"/>
      <c r="H889" s="31"/>
      <c r="I889" s="31"/>
      <c r="J889" s="31"/>
      <c r="K889" s="31"/>
      <c r="L889" s="31"/>
      <c r="M889" s="31"/>
      <c r="N889" s="31"/>
      <c r="O889" s="31"/>
    </row>
    <row r="890" ht="15.75" customHeight="1">
      <c r="B890" s="31"/>
      <c r="C890" s="31"/>
      <c r="D890" s="31"/>
      <c r="E890" s="31"/>
      <c r="F890" s="31"/>
      <c r="G890" s="31"/>
      <c r="H890" s="31"/>
      <c r="I890" s="31"/>
      <c r="J890" s="31"/>
      <c r="K890" s="31"/>
      <c r="L890" s="31"/>
      <c r="M890" s="31"/>
      <c r="N890" s="31"/>
      <c r="O890" s="31"/>
    </row>
    <row r="891" ht="15.75" customHeight="1">
      <c r="B891" s="31"/>
      <c r="C891" s="31"/>
      <c r="D891" s="31"/>
      <c r="E891" s="31"/>
      <c r="F891" s="31"/>
      <c r="G891" s="31"/>
      <c r="H891" s="31"/>
      <c r="I891" s="31"/>
      <c r="J891" s="31"/>
      <c r="K891" s="31"/>
      <c r="L891" s="31"/>
      <c r="M891" s="31"/>
      <c r="N891" s="31"/>
      <c r="O891" s="31"/>
    </row>
    <row r="892" ht="15.75" customHeight="1">
      <c r="B892" s="31"/>
      <c r="C892" s="31"/>
      <c r="D892" s="31"/>
      <c r="E892" s="31"/>
      <c r="F892" s="31"/>
      <c r="G892" s="31"/>
      <c r="H892" s="31"/>
      <c r="I892" s="31"/>
      <c r="J892" s="31"/>
      <c r="K892" s="31"/>
      <c r="L892" s="31"/>
      <c r="M892" s="31"/>
      <c r="N892" s="31"/>
      <c r="O892" s="31"/>
    </row>
    <row r="893" ht="15.75" customHeight="1">
      <c r="B893" s="31"/>
      <c r="C893" s="31"/>
      <c r="D893" s="31"/>
      <c r="E893" s="31"/>
      <c r="F893" s="31"/>
      <c r="G893" s="31"/>
      <c r="H893" s="31"/>
      <c r="I893" s="31"/>
      <c r="J893" s="31"/>
      <c r="K893" s="31"/>
      <c r="L893" s="31"/>
      <c r="M893" s="31"/>
      <c r="N893" s="31"/>
      <c r="O893" s="31"/>
    </row>
    <row r="894" ht="15.75" customHeight="1">
      <c r="B894" s="31"/>
      <c r="C894" s="31"/>
      <c r="D894" s="31"/>
      <c r="E894" s="31"/>
      <c r="F894" s="31"/>
      <c r="G894" s="31"/>
      <c r="H894" s="31"/>
      <c r="I894" s="31"/>
      <c r="J894" s="31"/>
      <c r="K894" s="31"/>
      <c r="L894" s="31"/>
      <c r="M894" s="31"/>
      <c r="N894" s="31"/>
      <c r="O894" s="31"/>
    </row>
    <row r="895" ht="15.75" customHeight="1">
      <c r="B895" s="31"/>
      <c r="C895" s="31"/>
      <c r="D895" s="31"/>
      <c r="E895" s="31"/>
      <c r="F895" s="31"/>
      <c r="G895" s="31"/>
      <c r="H895" s="31"/>
      <c r="I895" s="31"/>
      <c r="J895" s="31"/>
      <c r="K895" s="31"/>
      <c r="L895" s="31"/>
      <c r="M895" s="31"/>
      <c r="N895" s="31"/>
      <c r="O895" s="31"/>
    </row>
    <row r="896" ht="15.75" customHeight="1">
      <c r="B896" s="31"/>
      <c r="C896" s="31"/>
      <c r="D896" s="31"/>
      <c r="E896" s="31"/>
      <c r="F896" s="31"/>
      <c r="G896" s="31"/>
      <c r="H896" s="31"/>
      <c r="I896" s="31"/>
      <c r="J896" s="31"/>
      <c r="K896" s="31"/>
      <c r="L896" s="31"/>
      <c r="M896" s="31"/>
      <c r="N896" s="31"/>
      <c r="O896" s="31"/>
    </row>
    <row r="897" ht="15.75" customHeight="1">
      <c r="B897" s="31"/>
      <c r="C897" s="31"/>
      <c r="D897" s="31"/>
      <c r="E897" s="31"/>
      <c r="F897" s="31"/>
      <c r="G897" s="31"/>
      <c r="H897" s="31"/>
      <c r="I897" s="31"/>
      <c r="J897" s="31"/>
      <c r="K897" s="31"/>
      <c r="L897" s="31"/>
      <c r="M897" s="31"/>
      <c r="N897" s="31"/>
      <c r="O897" s="31"/>
    </row>
    <row r="898" ht="15.75" customHeight="1">
      <c r="B898" s="31"/>
      <c r="C898" s="31"/>
      <c r="D898" s="31"/>
      <c r="E898" s="31"/>
      <c r="F898" s="31"/>
      <c r="G898" s="31"/>
      <c r="H898" s="31"/>
      <c r="I898" s="31"/>
      <c r="J898" s="31"/>
      <c r="K898" s="31"/>
      <c r="L898" s="31"/>
      <c r="M898" s="31"/>
      <c r="N898" s="31"/>
      <c r="O898" s="31"/>
    </row>
    <row r="899" ht="15.75" customHeight="1">
      <c r="B899" s="31"/>
      <c r="C899" s="31"/>
      <c r="D899" s="31"/>
      <c r="E899" s="31"/>
      <c r="F899" s="31"/>
      <c r="G899" s="31"/>
      <c r="H899" s="31"/>
      <c r="I899" s="31"/>
      <c r="J899" s="31"/>
      <c r="K899" s="31"/>
      <c r="L899" s="31"/>
      <c r="M899" s="31"/>
      <c r="N899" s="31"/>
      <c r="O899" s="31"/>
    </row>
    <row r="900" ht="15.75" customHeight="1">
      <c r="B900" s="31"/>
      <c r="C900" s="31"/>
      <c r="D900" s="31"/>
      <c r="E900" s="31"/>
      <c r="F900" s="31"/>
      <c r="G900" s="31"/>
      <c r="H900" s="31"/>
      <c r="I900" s="31"/>
      <c r="J900" s="31"/>
      <c r="K900" s="31"/>
      <c r="L900" s="31"/>
      <c r="M900" s="31"/>
      <c r="N900" s="31"/>
      <c r="O900" s="31"/>
    </row>
    <row r="901" ht="15.75" customHeight="1">
      <c r="B901" s="31"/>
      <c r="C901" s="31"/>
      <c r="D901" s="31"/>
      <c r="E901" s="31"/>
      <c r="F901" s="31"/>
      <c r="G901" s="31"/>
      <c r="H901" s="31"/>
      <c r="I901" s="31"/>
      <c r="J901" s="31"/>
      <c r="K901" s="31"/>
      <c r="L901" s="31"/>
      <c r="M901" s="31"/>
      <c r="N901" s="31"/>
      <c r="O901" s="31"/>
    </row>
    <row r="902" ht="15.75" customHeight="1">
      <c r="B902" s="31"/>
      <c r="C902" s="31"/>
      <c r="D902" s="31"/>
      <c r="E902" s="31"/>
      <c r="F902" s="31"/>
      <c r="G902" s="31"/>
      <c r="H902" s="31"/>
      <c r="I902" s="31"/>
      <c r="J902" s="31"/>
      <c r="K902" s="31"/>
      <c r="L902" s="31"/>
      <c r="M902" s="31"/>
      <c r="N902" s="31"/>
      <c r="O902" s="31"/>
    </row>
    <row r="903" ht="15.75" customHeight="1">
      <c r="B903" s="31"/>
      <c r="C903" s="31"/>
      <c r="D903" s="31"/>
      <c r="E903" s="31"/>
      <c r="F903" s="31"/>
      <c r="G903" s="31"/>
      <c r="H903" s="31"/>
      <c r="I903" s="31"/>
      <c r="J903" s="31"/>
      <c r="K903" s="31"/>
      <c r="L903" s="31"/>
      <c r="M903" s="31"/>
      <c r="N903" s="31"/>
      <c r="O903" s="31"/>
    </row>
    <row r="904" ht="15.75" customHeight="1">
      <c r="B904" s="31"/>
      <c r="C904" s="31"/>
      <c r="D904" s="31"/>
      <c r="E904" s="31"/>
      <c r="F904" s="31"/>
      <c r="G904" s="31"/>
      <c r="H904" s="31"/>
      <c r="I904" s="31"/>
      <c r="J904" s="31"/>
      <c r="K904" s="31"/>
      <c r="L904" s="31"/>
      <c r="M904" s="31"/>
      <c r="N904" s="31"/>
      <c r="O904" s="31"/>
    </row>
    <row r="905" ht="15.75" customHeight="1">
      <c r="B905" s="31"/>
      <c r="C905" s="31"/>
      <c r="D905" s="31"/>
      <c r="E905" s="31"/>
      <c r="F905" s="31"/>
      <c r="G905" s="31"/>
      <c r="H905" s="31"/>
      <c r="I905" s="31"/>
      <c r="J905" s="31"/>
      <c r="K905" s="31"/>
      <c r="L905" s="31"/>
      <c r="M905" s="31"/>
      <c r="N905" s="31"/>
      <c r="O905" s="31"/>
    </row>
    <row r="906" ht="15.75" customHeight="1">
      <c r="B906" s="31"/>
      <c r="C906" s="31"/>
      <c r="D906" s="31"/>
      <c r="E906" s="31"/>
      <c r="F906" s="31"/>
      <c r="G906" s="31"/>
      <c r="H906" s="31"/>
      <c r="I906" s="31"/>
      <c r="J906" s="31"/>
      <c r="K906" s="31"/>
      <c r="L906" s="31"/>
      <c r="M906" s="31"/>
      <c r="N906" s="31"/>
      <c r="O906" s="31"/>
    </row>
    <row r="907" ht="15.75" customHeight="1">
      <c r="B907" s="31"/>
      <c r="C907" s="31"/>
      <c r="D907" s="31"/>
      <c r="E907" s="31"/>
      <c r="F907" s="31"/>
      <c r="G907" s="31"/>
      <c r="H907" s="31"/>
      <c r="I907" s="31"/>
      <c r="J907" s="31"/>
      <c r="K907" s="31"/>
      <c r="L907" s="31"/>
      <c r="M907" s="31"/>
      <c r="N907" s="31"/>
      <c r="O907" s="31"/>
    </row>
    <row r="908" ht="15.75" customHeight="1">
      <c r="B908" s="31"/>
      <c r="C908" s="31"/>
      <c r="D908" s="31"/>
      <c r="E908" s="31"/>
      <c r="F908" s="31"/>
      <c r="G908" s="31"/>
      <c r="H908" s="31"/>
      <c r="I908" s="31"/>
      <c r="J908" s="31"/>
      <c r="K908" s="31"/>
      <c r="L908" s="31"/>
      <c r="M908" s="31"/>
      <c r="N908" s="31"/>
      <c r="O908" s="31"/>
    </row>
    <row r="909" ht="15.75" customHeight="1">
      <c r="B909" s="31"/>
      <c r="C909" s="31"/>
      <c r="D909" s="31"/>
      <c r="E909" s="31"/>
      <c r="F909" s="31"/>
      <c r="G909" s="31"/>
      <c r="H909" s="31"/>
      <c r="I909" s="31"/>
      <c r="J909" s="31"/>
      <c r="K909" s="31"/>
      <c r="L909" s="31"/>
      <c r="M909" s="31"/>
      <c r="N909" s="31"/>
      <c r="O909" s="31"/>
    </row>
    <row r="910" ht="15.75" customHeight="1">
      <c r="B910" s="31"/>
      <c r="C910" s="31"/>
      <c r="D910" s="31"/>
      <c r="E910" s="31"/>
      <c r="F910" s="31"/>
      <c r="G910" s="31"/>
      <c r="H910" s="31"/>
      <c r="I910" s="31"/>
      <c r="J910" s="31"/>
      <c r="K910" s="31"/>
      <c r="L910" s="31"/>
      <c r="M910" s="31"/>
      <c r="N910" s="31"/>
      <c r="O910" s="31"/>
    </row>
    <row r="911" ht="15.75" customHeight="1">
      <c r="B911" s="31"/>
      <c r="C911" s="31"/>
      <c r="D911" s="31"/>
      <c r="E911" s="31"/>
      <c r="F911" s="31"/>
      <c r="G911" s="31"/>
      <c r="H911" s="31"/>
      <c r="I911" s="31"/>
      <c r="J911" s="31"/>
      <c r="K911" s="31"/>
      <c r="L911" s="31"/>
      <c r="M911" s="31"/>
      <c r="N911" s="31"/>
      <c r="O911" s="31"/>
    </row>
    <row r="912" ht="15.75" customHeight="1">
      <c r="B912" s="31"/>
      <c r="C912" s="31"/>
      <c r="D912" s="31"/>
      <c r="E912" s="31"/>
      <c r="F912" s="31"/>
      <c r="G912" s="31"/>
      <c r="H912" s="31"/>
      <c r="I912" s="31"/>
      <c r="J912" s="31"/>
      <c r="K912" s="31"/>
      <c r="L912" s="31"/>
      <c r="M912" s="31"/>
      <c r="N912" s="31"/>
      <c r="O912" s="31"/>
    </row>
    <row r="913" ht="15.75" customHeight="1">
      <c r="B913" s="31"/>
      <c r="C913" s="31"/>
      <c r="D913" s="31"/>
      <c r="E913" s="31"/>
      <c r="F913" s="31"/>
      <c r="G913" s="31"/>
      <c r="H913" s="31"/>
      <c r="I913" s="31"/>
      <c r="J913" s="31"/>
      <c r="K913" s="31"/>
      <c r="L913" s="31"/>
      <c r="M913" s="31"/>
      <c r="N913" s="31"/>
      <c r="O913" s="31"/>
    </row>
    <row r="914" ht="15.75" customHeight="1">
      <c r="B914" s="31"/>
      <c r="C914" s="31"/>
      <c r="D914" s="31"/>
      <c r="E914" s="31"/>
      <c r="F914" s="31"/>
      <c r="G914" s="31"/>
      <c r="H914" s="31"/>
      <c r="I914" s="31"/>
      <c r="J914" s="31"/>
      <c r="K914" s="31"/>
      <c r="L914" s="31"/>
      <c r="M914" s="31"/>
      <c r="N914" s="31"/>
      <c r="O914" s="31"/>
    </row>
    <row r="915" ht="15.75" customHeight="1">
      <c r="B915" s="31"/>
      <c r="C915" s="31"/>
      <c r="D915" s="31"/>
      <c r="E915" s="31"/>
      <c r="F915" s="31"/>
      <c r="G915" s="31"/>
      <c r="H915" s="31"/>
      <c r="I915" s="31"/>
      <c r="J915" s="31"/>
      <c r="K915" s="31"/>
      <c r="L915" s="31"/>
      <c r="M915" s="31"/>
      <c r="N915" s="31"/>
      <c r="O915" s="31"/>
    </row>
    <row r="916" ht="15.75" customHeight="1">
      <c r="B916" s="31"/>
      <c r="C916" s="31"/>
      <c r="D916" s="31"/>
      <c r="E916" s="31"/>
      <c r="F916" s="31"/>
      <c r="G916" s="31"/>
      <c r="H916" s="31"/>
      <c r="I916" s="31"/>
      <c r="J916" s="31"/>
      <c r="K916" s="31"/>
      <c r="L916" s="31"/>
      <c r="M916" s="31"/>
      <c r="N916" s="31"/>
      <c r="O916" s="31"/>
    </row>
    <row r="917" ht="15.75" customHeight="1">
      <c r="B917" s="31"/>
      <c r="C917" s="31"/>
      <c r="D917" s="31"/>
      <c r="E917" s="31"/>
      <c r="F917" s="31"/>
      <c r="G917" s="31"/>
      <c r="H917" s="31"/>
      <c r="I917" s="31"/>
      <c r="J917" s="31"/>
      <c r="K917" s="31"/>
      <c r="L917" s="31"/>
      <c r="M917" s="31"/>
      <c r="N917" s="31"/>
      <c r="O917" s="31"/>
    </row>
    <row r="918" ht="15.75" customHeight="1">
      <c r="B918" s="31"/>
      <c r="C918" s="31"/>
      <c r="D918" s="31"/>
      <c r="E918" s="31"/>
      <c r="F918" s="31"/>
      <c r="G918" s="31"/>
      <c r="H918" s="31"/>
      <c r="I918" s="31"/>
      <c r="J918" s="31"/>
      <c r="K918" s="31"/>
      <c r="L918" s="31"/>
      <c r="M918" s="31"/>
      <c r="N918" s="31"/>
      <c r="O918" s="31"/>
    </row>
    <row r="919" ht="15.75" customHeight="1">
      <c r="B919" s="31"/>
      <c r="C919" s="31"/>
      <c r="D919" s="31"/>
      <c r="E919" s="31"/>
      <c r="F919" s="31"/>
      <c r="G919" s="31"/>
      <c r="H919" s="31"/>
      <c r="I919" s="31"/>
      <c r="J919" s="31"/>
      <c r="K919" s="31"/>
      <c r="L919" s="31"/>
      <c r="M919" s="31"/>
      <c r="N919" s="31"/>
      <c r="O919" s="31"/>
    </row>
    <row r="920" ht="15.75" customHeight="1">
      <c r="B920" s="31"/>
      <c r="C920" s="31"/>
      <c r="D920" s="31"/>
      <c r="E920" s="31"/>
      <c r="F920" s="31"/>
      <c r="G920" s="31"/>
      <c r="H920" s="31"/>
      <c r="I920" s="31"/>
      <c r="J920" s="31"/>
      <c r="K920" s="31"/>
      <c r="L920" s="31"/>
      <c r="M920" s="31"/>
      <c r="N920" s="31"/>
      <c r="O920" s="31"/>
    </row>
    <row r="921" ht="15.75" customHeight="1">
      <c r="B921" s="31"/>
      <c r="C921" s="31"/>
      <c r="D921" s="31"/>
      <c r="E921" s="31"/>
      <c r="F921" s="31"/>
      <c r="G921" s="31"/>
      <c r="H921" s="31"/>
      <c r="I921" s="31"/>
      <c r="J921" s="31"/>
      <c r="K921" s="31"/>
      <c r="L921" s="31"/>
      <c r="M921" s="31"/>
      <c r="N921" s="31"/>
      <c r="O921" s="31"/>
    </row>
    <row r="922" ht="15.75" customHeight="1">
      <c r="B922" s="31"/>
      <c r="C922" s="31"/>
      <c r="D922" s="31"/>
      <c r="E922" s="31"/>
      <c r="F922" s="31"/>
      <c r="G922" s="31"/>
      <c r="H922" s="31"/>
      <c r="I922" s="31"/>
      <c r="J922" s="31"/>
      <c r="K922" s="31"/>
      <c r="L922" s="31"/>
      <c r="M922" s="31"/>
      <c r="N922" s="31"/>
      <c r="O922" s="31"/>
    </row>
    <row r="923" ht="15.75" customHeight="1">
      <c r="B923" s="31"/>
      <c r="C923" s="31"/>
      <c r="D923" s="31"/>
      <c r="E923" s="31"/>
      <c r="F923" s="31"/>
      <c r="G923" s="31"/>
      <c r="H923" s="31"/>
      <c r="I923" s="31"/>
      <c r="J923" s="31"/>
      <c r="K923" s="31"/>
      <c r="L923" s="31"/>
      <c r="M923" s="31"/>
      <c r="N923" s="31"/>
      <c r="O923" s="31"/>
    </row>
    <row r="924" ht="15.75" customHeight="1">
      <c r="B924" s="31"/>
      <c r="C924" s="31"/>
      <c r="D924" s="31"/>
      <c r="E924" s="31"/>
      <c r="F924" s="31"/>
      <c r="G924" s="31"/>
      <c r="H924" s="31"/>
      <c r="I924" s="31"/>
      <c r="J924" s="31"/>
      <c r="K924" s="31"/>
      <c r="L924" s="31"/>
      <c r="M924" s="31"/>
      <c r="N924" s="31"/>
      <c r="O924" s="31"/>
    </row>
    <row r="925" ht="15.75" customHeight="1">
      <c r="B925" s="31"/>
      <c r="C925" s="31"/>
      <c r="D925" s="31"/>
      <c r="E925" s="31"/>
      <c r="F925" s="31"/>
      <c r="G925" s="31"/>
      <c r="H925" s="31"/>
      <c r="I925" s="31"/>
      <c r="J925" s="31"/>
      <c r="K925" s="31"/>
      <c r="L925" s="31"/>
      <c r="M925" s="31"/>
      <c r="N925" s="31"/>
      <c r="O925" s="31"/>
    </row>
    <row r="926" ht="15.75" customHeight="1">
      <c r="B926" s="31"/>
      <c r="C926" s="31"/>
      <c r="D926" s="31"/>
      <c r="E926" s="31"/>
      <c r="F926" s="31"/>
      <c r="G926" s="31"/>
      <c r="H926" s="31"/>
      <c r="I926" s="31"/>
      <c r="J926" s="31"/>
      <c r="K926" s="31"/>
      <c r="L926" s="31"/>
      <c r="M926" s="31"/>
      <c r="N926" s="31"/>
      <c r="O926" s="31"/>
    </row>
    <row r="927" ht="15.75" customHeight="1">
      <c r="B927" s="31"/>
      <c r="C927" s="31"/>
      <c r="D927" s="31"/>
      <c r="E927" s="31"/>
      <c r="F927" s="31"/>
      <c r="G927" s="31"/>
      <c r="H927" s="31"/>
      <c r="I927" s="31"/>
      <c r="J927" s="31"/>
      <c r="K927" s="31"/>
      <c r="L927" s="31"/>
      <c r="M927" s="31"/>
      <c r="N927" s="31"/>
      <c r="O927" s="31"/>
    </row>
    <row r="928" ht="15.75" customHeight="1">
      <c r="B928" s="31"/>
      <c r="C928" s="31"/>
      <c r="D928" s="31"/>
      <c r="E928" s="31"/>
      <c r="F928" s="31"/>
      <c r="G928" s="31"/>
      <c r="H928" s="31"/>
      <c r="I928" s="31"/>
      <c r="J928" s="31"/>
      <c r="K928" s="31"/>
      <c r="L928" s="31"/>
      <c r="M928" s="31"/>
      <c r="N928" s="31"/>
      <c r="O928" s="31"/>
    </row>
    <row r="929" ht="15.75" customHeight="1">
      <c r="B929" s="31"/>
      <c r="C929" s="31"/>
      <c r="D929" s="31"/>
      <c r="E929" s="31"/>
      <c r="F929" s="31"/>
      <c r="G929" s="31"/>
      <c r="H929" s="31"/>
      <c r="I929" s="31"/>
      <c r="J929" s="31"/>
      <c r="K929" s="31"/>
      <c r="L929" s="31"/>
      <c r="M929" s="31"/>
      <c r="N929" s="31"/>
      <c r="O929" s="31"/>
    </row>
    <row r="930" ht="15.75" customHeight="1">
      <c r="B930" s="31"/>
      <c r="C930" s="31"/>
      <c r="D930" s="31"/>
      <c r="E930" s="31"/>
      <c r="F930" s="31"/>
      <c r="G930" s="31"/>
      <c r="H930" s="31"/>
      <c r="I930" s="31"/>
      <c r="J930" s="31"/>
      <c r="K930" s="31"/>
      <c r="L930" s="31"/>
      <c r="M930" s="31"/>
      <c r="N930" s="31"/>
      <c r="O930" s="31"/>
    </row>
    <row r="931" ht="15.75" customHeight="1">
      <c r="B931" s="31"/>
      <c r="C931" s="31"/>
      <c r="D931" s="31"/>
      <c r="E931" s="31"/>
      <c r="F931" s="31"/>
      <c r="G931" s="31"/>
      <c r="H931" s="31"/>
      <c r="I931" s="31"/>
      <c r="J931" s="31"/>
      <c r="K931" s="31"/>
      <c r="L931" s="31"/>
      <c r="M931" s="31"/>
      <c r="N931" s="31"/>
      <c r="O931" s="31"/>
    </row>
    <row r="932" ht="15.75" customHeight="1">
      <c r="B932" s="31"/>
      <c r="C932" s="31"/>
      <c r="D932" s="31"/>
      <c r="E932" s="31"/>
      <c r="F932" s="31"/>
      <c r="G932" s="31"/>
      <c r="H932" s="31"/>
      <c r="I932" s="31"/>
      <c r="J932" s="31"/>
      <c r="K932" s="31"/>
      <c r="L932" s="31"/>
      <c r="M932" s="31"/>
      <c r="N932" s="31"/>
      <c r="O932" s="31"/>
    </row>
    <row r="933" ht="15.75" customHeight="1">
      <c r="B933" s="31"/>
      <c r="C933" s="31"/>
      <c r="D933" s="31"/>
      <c r="E933" s="31"/>
      <c r="F933" s="31"/>
      <c r="G933" s="31"/>
      <c r="H933" s="31"/>
      <c r="I933" s="31"/>
      <c r="J933" s="31"/>
      <c r="K933" s="31"/>
      <c r="L933" s="31"/>
      <c r="M933" s="31"/>
      <c r="N933" s="31"/>
      <c r="O933" s="31"/>
    </row>
    <row r="934" ht="15.75" customHeight="1">
      <c r="B934" s="31"/>
      <c r="C934" s="31"/>
      <c r="D934" s="31"/>
      <c r="E934" s="31"/>
      <c r="F934" s="31"/>
      <c r="G934" s="31"/>
      <c r="H934" s="31"/>
      <c r="I934" s="31"/>
      <c r="J934" s="31"/>
      <c r="K934" s="31"/>
      <c r="L934" s="31"/>
      <c r="M934" s="31"/>
      <c r="N934" s="31"/>
      <c r="O934" s="31"/>
    </row>
    <row r="935" ht="15.75" customHeight="1">
      <c r="B935" s="31"/>
      <c r="C935" s="31"/>
      <c r="D935" s="31"/>
      <c r="E935" s="31"/>
      <c r="F935" s="31"/>
      <c r="G935" s="31"/>
      <c r="H935" s="31"/>
      <c r="I935" s="31"/>
      <c r="J935" s="31"/>
      <c r="K935" s="31"/>
      <c r="L935" s="31"/>
      <c r="M935" s="31"/>
      <c r="N935" s="31"/>
      <c r="O935" s="31"/>
    </row>
    <row r="936" ht="15.75" customHeight="1">
      <c r="B936" s="31"/>
      <c r="C936" s="31"/>
      <c r="D936" s="31"/>
      <c r="E936" s="31"/>
      <c r="F936" s="31"/>
      <c r="G936" s="31"/>
      <c r="H936" s="31"/>
      <c r="I936" s="31"/>
      <c r="J936" s="31"/>
      <c r="K936" s="31"/>
      <c r="L936" s="31"/>
      <c r="M936" s="31"/>
      <c r="N936" s="31"/>
      <c r="O936" s="31"/>
    </row>
    <row r="937" ht="15.75" customHeight="1">
      <c r="B937" s="31"/>
      <c r="C937" s="31"/>
      <c r="D937" s="31"/>
      <c r="E937" s="31"/>
      <c r="F937" s="31"/>
      <c r="G937" s="31"/>
      <c r="H937" s="31"/>
      <c r="I937" s="31"/>
      <c r="J937" s="31"/>
      <c r="K937" s="31"/>
      <c r="L937" s="31"/>
      <c r="M937" s="31"/>
      <c r="N937" s="31"/>
      <c r="O937" s="31"/>
    </row>
    <row r="938" ht="15.75" customHeight="1">
      <c r="B938" s="31"/>
      <c r="C938" s="31"/>
      <c r="D938" s="31"/>
      <c r="E938" s="31"/>
      <c r="F938" s="31"/>
      <c r="G938" s="31"/>
      <c r="H938" s="31"/>
      <c r="I938" s="31"/>
      <c r="J938" s="31"/>
      <c r="K938" s="31"/>
      <c r="L938" s="31"/>
      <c r="M938" s="31"/>
      <c r="N938" s="31"/>
      <c r="O938" s="31"/>
    </row>
    <row r="939" ht="15.75" customHeight="1">
      <c r="B939" s="31"/>
      <c r="C939" s="31"/>
      <c r="D939" s="31"/>
      <c r="E939" s="31"/>
      <c r="F939" s="31"/>
      <c r="G939" s="31"/>
      <c r="H939" s="31"/>
      <c r="I939" s="31"/>
      <c r="J939" s="31"/>
      <c r="K939" s="31"/>
      <c r="L939" s="31"/>
      <c r="M939" s="31"/>
      <c r="N939" s="31"/>
      <c r="O939" s="31"/>
    </row>
    <row r="940" ht="15.75" customHeight="1">
      <c r="B940" s="31"/>
      <c r="C940" s="31"/>
      <c r="D940" s="31"/>
      <c r="E940" s="31"/>
      <c r="F940" s="31"/>
      <c r="G940" s="31"/>
      <c r="H940" s="31"/>
      <c r="I940" s="31"/>
      <c r="J940" s="31"/>
      <c r="K940" s="31"/>
      <c r="L940" s="31"/>
      <c r="M940" s="31"/>
      <c r="N940" s="31"/>
      <c r="O940" s="31"/>
    </row>
    <row r="941" ht="15.75" customHeight="1">
      <c r="B941" s="31"/>
      <c r="C941" s="31"/>
      <c r="D941" s="31"/>
      <c r="E941" s="31"/>
      <c r="F941" s="31"/>
      <c r="G941" s="31"/>
      <c r="H941" s="31"/>
      <c r="I941" s="31"/>
      <c r="J941" s="31"/>
      <c r="K941" s="31"/>
      <c r="L941" s="31"/>
      <c r="M941" s="31"/>
      <c r="N941" s="31"/>
      <c r="O941" s="31"/>
    </row>
    <row r="942" ht="15.75" customHeight="1">
      <c r="B942" s="31"/>
      <c r="C942" s="31"/>
      <c r="D942" s="31"/>
      <c r="E942" s="31"/>
      <c r="F942" s="31"/>
      <c r="G942" s="31"/>
      <c r="H942" s="31"/>
      <c r="I942" s="31"/>
      <c r="J942" s="31"/>
      <c r="K942" s="31"/>
      <c r="L942" s="31"/>
      <c r="M942" s="31"/>
      <c r="N942" s="31"/>
      <c r="O942" s="31"/>
    </row>
    <row r="943" ht="15.75" customHeight="1">
      <c r="B943" s="31"/>
      <c r="C943" s="31"/>
      <c r="D943" s="31"/>
      <c r="E943" s="31"/>
      <c r="F943" s="31"/>
      <c r="G943" s="31"/>
      <c r="H943" s="31"/>
      <c r="I943" s="31"/>
      <c r="J943" s="31"/>
      <c r="K943" s="31"/>
      <c r="L943" s="31"/>
      <c r="M943" s="31"/>
      <c r="N943" s="31"/>
      <c r="O943" s="31"/>
    </row>
    <row r="944" ht="15.75" customHeight="1">
      <c r="B944" s="31"/>
      <c r="C944" s="31"/>
      <c r="D944" s="31"/>
      <c r="E944" s="31"/>
      <c r="F944" s="31"/>
      <c r="G944" s="31"/>
      <c r="H944" s="31"/>
      <c r="I944" s="31"/>
      <c r="J944" s="31"/>
      <c r="K944" s="31"/>
      <c r="L944" s="31"/>
      <c r="M944" s="31"/>
      <c r="N944" s="31"/>
      <c r="O944" s="31"/>
    </row>
    <row r="945" ht="15.75" customHeight="1">
      <c r="B945" s="31"/>
      <c r="C945" s="31"/>
      <c r="D945" s="31"/>
      <c r="E945" s="31"/>
      <c r="F945" s="31"/>
      <c r="G945" s="31"/>
      <c r="H945" s="31"/>
      <c r="I945" s="31"/>
      <c r="J945" s="31"/>
      <c r="K945" s="31"/>
      <c r="L945" s="31"/>
      <c r="M945" s="31"/>
      <c r="N945" s="31"/>
      <c r="O945" s="31"/>
    </row>
    <row r="946" ht="15.75" customHeight="1">
      <c r="B946" s="31"/>
      <c r="C946" s="31"/>
      <c r="D946" s="31"/>
      <c r="E946" s="31"/>
      <c r="F946" s="31"/>
      <c r="G946" s="31"/>
      <c r="H946" s="31"/>
      <c r="I946" s="31"/>
      <c r="J946" s="31"/>
      <c r="K946" s="31"/>
      <c r="L946" s="31"/>
      <c r="M946" s="31"/>
      <c r="N946" s="31"/>
      <c r="O946" s="31"/>
    </row>
    <row r="947" ht="15.75" customHeight="1">
      <c r="B947" s="31"/>
      <c r="C947" s="31"/>
      <c r="D947" s="31"/>
      <c r="E947" s="31"/>
      <c r="F947" s="31"/>
      <c r="G947" s="31"/>
      <c r="H947" s="31"/>
      <c r="I947" s="31"/>
      <c r="J947" s="31"/>
      <c r="K947" s="31"/>
      <c r="L947" s="31"/>
      <c r="M947" s="31"/>
      <c r="N947" s="31"/>
      <c r="O947" s="31"/>
    </row>
    <row r="948" ht="15.75" customHeight="1">
      <c r="B948" s="31"/>
      <c r="C948" s="31"/>
      <c r="D948" s="31"/>
      <c r="E948" s="31"/>
      <c r="F948" s="31"/>
      <c r="G948" s="31"/>
      <c r="H948" s="31"/>
      <c r="I948" s="31"/>
      <c r="J948" s="31"/>
      <c r="K948" s="31"/>
      <c r="L948" s="31"/>
      <c r="M948" s="31"/>
      <c r="N948" s="31"/>
      <c r="O948" s="31"/>
    </row>
    <row r="949" ht="15.75" customHeight="1">
      <c r="B949" s="31"/>
      <c r="C949" s="31"/>
      <c r="D949" s="31"/>
      <c r="E949" s="31"/>
      <c r="F949" s="31"/>
      <c r="G949" s="31"/>
      <c r="H949" s="31"/>
      <c r="I949" s="31"/>
      <c r="J949" s="31"/>
      <c r="K949" s="31"/>
      <c r="L949" s="31"/>
      <c r="M949" s="31"/>
      <c r="N949" s="31"/>
      <c r="O949" s="31"/>
    </row>
    <row r="950" ht="15.75" customHeight="1">
      <c r="B950" s="31"/>
      <c r="C950" s="31"/>
      <c r="D950" s="31"/>
      <c r="E950" s="31"/>
      <c r="F950" s="31"/>
      <c r="G950" s="31"/>
      <c r="H950" s="31"/>
      <c r="I950" s="31"/>
      <c r="J950" s="31"/>
      <c r="K950" s="31"/>
      <c r="L950" s="31"/>
      <c r="M950" s="31"/>
      <c r="N950" s="31"/>
      <c r="O950" s="31"/>
    </row>
    <row r="951" ht="15.75" customHeight="1">
      <c r="B951" s="31"/>
      <c r="C951" s="31"/>
      <c r="D951" s="31"/>
      <c r="E951" s="31"/>
      <c r="F951" s="31"/>
      <c r="G951" s="31"/>
      <c r="H951" s="31"/>
      <c r="I951" s="31"/>
      <c r="J951" s="31"/>
      <c r="K951" s="31"/>
      <c r="L951" s="31"/>
      <c r="M951" s="31"/>
      <c r="N951" s="31"/>
      <c r="O951" s="31"/>
    </row>
    <row r="952" ht="15.75" customHeight="1">
      <c r="B952" s="31"/>
      <c r="C952" s="31"/>
      <c r="D952" s="31"/>
      <c r="E952" s="31"/>
      <c r="F952" s="31"/>
      <c r="G952" s="31"/>
      <c r="H952" s="31"/>
      <c r="I952" s="31"/>
      <c r="J952" s="31"/>
      <c r="K952" s="31"/>
      <c r="L952" s="31"/>
      <c r="M952" s="31"/>
      <c r="N952" s="31"/>
      <c r="O952" s="31"/>
    </row>
    <row r="953" ht="15.75" customHeight="1">
      <c r="B953" s="31"/>
      <c r="C953" s="31"/>
      <c r="D953" s="31"/>
      <c r="E953" s="31"/>
      <c r="F953" s="31"/>
      <c r="G953" s="31"/>
      <c r="H953" s="31"/>
      <c r="I953" s="31"/>
      <c r="J953" s="31"/>
      <c r="K953" s="31"/>
      <c r="L953" s="31"/>
      <c r="M953" s="31"/>
      <c r="N953" s="31"/>
      <c r="O953" s="31"/>
    </row>
    <row r="954" ht="15.75" customHeight="1">
      <c r="B954" s="31"/>
      <c r="C954" s="31"/>
      <c r="D954" s="31"/>
      <c r="E954" s="31"/>
      <c r="F954" s="31"/>
      <c r="G954" s="31"/>
      <c r="H954" s="31"/>
      <c r="I954" s="31"/>
      <c r="J954" s="31"/>
      <c r="K954" s="31"/>
      <c r="L954" s="31"/>
      <c r="M954" s="31"/>
      <c r="N954" s="31"/>
      <c r="O954" s="31"/>
    </row>
    <row r="955" ht="15.75" customHeight="1">
      <c r="B955" s="31"/>
      <c r="C955" s="31"/>
      <c r="D955" s="31"/>
      <c r="E955" s="31"/>
      <c r="F955" s="31"/>
      <c r="G955" s="31"/>
      <c r="H955" s="31"/>
      <c r="I955" s="31"/>
      <c r="J955" s="31"/>
      <c r="K955" s="31"/>
      <c r="L955" s="31"/>
      <c r="M955" s="31"/>
      <c r="N955" s="31"/>
      <c r="O955" s="31"/>
    </row>
    <row r="956" ht="15.75" customHeight="1">
      <c r="B956" s="31"/>
      <c r="C956" s="31"/>
      <c r="D956" s="31"/>
      <c r="E956" s="31"/>
      <c r="F956" s="31"/>
      <c r="G956" s="31"/>
      <c r="H956" s="31"/>
      <c r="I956" s="31"/>
      <c r="J956" s="31"/>
      <c r="K956" s="31"/>
      <c r="L956" s="31"/>
      <c r="M956" s="31"/>
      <c r="N956" s="31"/>
      <c r="O956" s="31"/>
    </row>
    <row r="957" ht="15.75" customHeight="1">
      <c r="B957" s="31"/>
      <c r="C957" s="31"/>
      <c r="D957" s="31"/>
      <c r="E957" s="31"/>
      <c r="F957" s="31"/>
      <c r="G957" s="31"/>
      <c r="H957" s="31"/>
      <c r="I957" s="31"/>
      <c r="J957" s="31"/>
      <c r="K957" s="31"/>
      <c r="L957" s="31"/>
      <c r="M957" s="31"/>
      <c r="N957" s="31"/>
      <c r="O957" s="31"/>
    </row>
    <row r="958" ht="15.75" customHeight="1">
      <c r="B958" s="31"/>
      <c r="C958" s="31"/>
      <c r="D958" s="31"/>
      <c r="E958" s="31"/>
      <c r="F958" s="31"/>
      <c r="G958" s="31"/>
      <c r="H958" s="31"/>
      <c r="I958" s="31"/>
      <c r="J958" s="31"/>
      <c r="K958" s="31"/>
      <c r="L958" s="31"/>
      <c r="M958" s="31"/>
      <c r="N958" s="31"/>
      <c r="O958" s="31"/>
    </row>
    <row r="959" ht="15.75" customHeight="1">
      <c r="B959" s="31"/>
      <c r="C959" s="31"/>
      <c r="D959" s="31"/>
      <c r="E959" s="31"/>
      <c r="F959" s="31"/>
      <c r="G959" s="31"/>
      <c r="H959" s="31"/>
      <c r="I959" s="31"/>
      <c r="J959" s="31"/>
      <c r="K959" s="31"/>
      <c r="L959" s="31"/>
      <c r="M959" s="31"/>
      <c r="N959" s="31"/>
      <c r="O959" s="31"/>
    </row>
    <row r="960" ht="15.75" customHeight="1">
      <c r="B960" s="31"/>
      <c r="C960" s="31"/>
      <c r="D960" s="31"/>
      <c r="E960" s="31"/>
      <c r="F960" s="31"/>
      <c r="G960" s="31"/>
      <c r="H960" s="31"/>
      <c r="I960" s="31"/>
      <c r="J960" s="31"/>
      <c r="K960" s="31"/>
      <c r="L960" s="31"/>
      <c r="M960" s="31"/>
      <c r="N960" s="31"/>
      <c r="O960" s="31"/>
    </row>
    <row r="961" ht="15.75" customHeight="1">
      <c r="B961" s="31"/>
      <c r="C961" s="31"/>
      <c r="D961" s="31"/>
      <c r="E961" s="31"/>
      <c r="F961" s="31"/>
      <c r="G961" s="31"/>
      <c r="H961" s="31"/>
      <c r="I961" s="31"/>
      <c r="J961" s="31"/>
      <c r="K961" s="31"/>
      <c r="L961" s="31"/>
      <c r="M961" s="31"/>
      <c r="N961" s="31"/>
      <c r="O961" s="31"/>
    </row>
    <row r="962" ht="15.75" customHeight="1">
      <c r="B962" s="31"/>
      <c r="C962" s="31"/>
      <c r="D962" s="31"/>
      <c r="E962" s="31"/>
      <c r="F962" s="31"/>
      <c r="G962" s="31"/>
      <c r="H962" s="31"/>
      <c r="I962" s="31"/>
      <c r="J962" s="31"/>
      <c r="K962" s="31"/>
      <c r="L962" s="31"/>
      <c r="M962" s="31"/>
      <c r="N962" s="31"/>
      <c r="O962" s="31"/>
    </row>
    <row r="963" ht="15.75" customHeight="1">
      <c r="B963" s="31"/>
      <c r="C963" s="31"/>
      <c r="D963" s="31"/>
      <c r="E963" s="31"/>
      <c r="F963" s="31"/>
      <c r="G963" s="31"/>
      <c r="H963" s="31"/>
      <c r="I963" s="31"/>
      <c r="J963" s="31"/>
      <c r="K963" s="31"/>
      <c r="L963" s="31"/>
      <c r="M963" s="31"/>
      <c r="N963" s="31"/>
      <c r="O963" s="31"/>
    </row>
    <row r="964" ht="15.75" customHeight="1">
      <c r="B964" s="31"/>
      <c r="C964" s="31"/>
      <c r="D964" s="31"/>
      <c r="E964" s="31"/>
      <c r="F964" s="31"/>
      <c r="G964" s="31"/>
      <c r="H964" s="31"/>
      <c r="I964" s="31"/>
      <c r="J964" s="31"/>
      <c r="K964" s="31"/>
      <c r="L964" s="31"/>
      <c r="M964" s="31"/>
      <c r="N964" s="31"/>
      <c r="O964" s="31"/>
    </row>
    <row r="965" ht="15.75" customHeight="1">
      <c r="B965" s="31"/>
      <c r="C965" s="31"/>
      <c r="D965" s="31"/>
      <c r="E965" s="31"/>
      <c r="F965" s="31"/>
      <c r="G965" s="31"/>
      <c r="H965" s="31"/>
      <c r="I965" s="31"/>
      <c r="J965" s="31"/>
      <c r="K965" s="31"/>
      <c r="L965" s="31"/>
      <c r="M965" s="31"/>
      <c r="N965" s="31"/>
      <c r="O965" s="31"/>
    </row>
    <row r="966" ht="15.75" customHeight="1">
      <c r="B966" s="31"/>
      <c r="C966" s="31"/>
      <c r="D966" s="31"/>
      <c r="E966" s="31"/>
      <c r="F966" s="31"/>
      <c r="G966" s="31"/>
      <c r="H966" s="31"/>
      <c r="I966" s="31"/>
      <c r="J966" s="31"/>
      <c r="K966" s="31"/>
      <c r="L966" s="31"/>
      <c r="M966" s="31"/>
      <c r="N966" s="31"/>
      <c r="O966" s="31"/>
    </row>
    <row r="967" ht="15.75" customHeight="1">
      <c r="B967" s="31"/>
      <c r="C967" s="31"/>
      <c r="D967" s="31"/>
      <c r="E967" s="31"/>
      <c r="F967" s="31"/>
      <c r="G967" s="31"/>
      <c r="H967" s="31"/>
      <c r="I967" s="31"/>
      <c r="J967" s="31"/>
      <c r="K967" s="31"/>
      <c r="L967" s="31"/>
      <c r="M967" s="31"/>
      <c r="N967" s="31"/>
      <c r="O967" s="31"/>
    </row>
    <row r="968" ht="15.75" customHeight="1">
      <c r="B968" s="31"/>
      <c r="C968" s="31"/>
      <c r="D968" s="31"/>
      <c r="E968" s="31"/>
      <c r="F968" s="31"/>
      <c r="G968" s="31"/>
      <c r="H968" s="31"/>
      <c r="I968" s="31"/>
      <c r="J968" s="31"/>
      <c r="K968" s="31"/>
      <c r="L968" s="31"/>
      <c r="M968" s="31"/>
      <c r="N968" s="31"/>
      <c r="O968" s="31"/>
    </row>
    <row r="969" ht="15.75" customHeight="1">
      <c r="B969" s="31"/>
      <c r="C969" s="31"/>
      <c r="D969" s="31"/>
      <c r="E969" s="31"/>
      <c r="F969" s="31"/>
      <c r="G969" s="31"/>
      <c r="H969" s="31"/>
      <c r="I969" s="31"/>
      <c r="J969" s="31"/>
      <c r="K969" s="31"/>
      <c r="L969" s="31"/>
      <c r="M969" s="31"/>
      <c r="N969" s="31"/>
      <c r="O969" s="31"/>
    </row>
    <row r="970" ht="15.75" customHeight="1">
      <c r="B970" s="31"/>
      <c r="C970" s="31"/>
      <c r="D970" s="31"/>
      <c r="E970" s="31"/>
      <c r="F970" s="31"/>
      <c r="G970" s="31"/>
      <c r="H970" s="31"/>
      <c r="I970" s="31"/>
      <c r="J970" s="31"/>
      <c r="K970" s="31"/>
      <c r="L970" s="31"/>
      <c r="M970" s="31"/>
      <c r="N970" s="31"/>
      <c r="O970" s="31"/>
    </row>
    <row r="971" ht="15.75" customHeight="1">
      <c r="B971" s="31"/>
      <c r="C971" s="31"/>
      <c r="D971" s="31"/>
      <c r="E971" s="31"/>
      <c r="F971" s="31"/>
      <c r="G971" s="31"/>
      <c r="H971" s="31"/>
      <c r="I971" s="31"/>
      <c r="J971" s="31"/>
      <c r="K971" s="31"/>
      <c r="L971" s="31"/>
      <c r="M971" s="31"/>
      <c r="N971" s="31"/>
      <c r="O971" s="31"/>
    </row>
    <row r="972" ht="15.75" customHeight="1">
      <c r="B972" s="31"/>
      <c r="C972" s="31"/>
      <c r="D972" s="31"/>
      <c r="E972" s="31"/>
      <c r="F972" s="31"/>
      <c r="G972" s="31"/>
      <c r="H972" s="31"/>
      <c r="I972" s="31"/>
      <c r="J972" s="31"/>
      <c r="K972" s="31"/>
      <c r="L972" s="31"/>
      <c r="M972" s="31"/>
      <c r="N972" s="31"/>
      <c r="O972" s="31"/>
    </row>
    <row r="973" ht="15.75" customHeight="1">
      <c r="B973" s="31"/>
      <c r="C973" s="31"/>
      <c r="D973" s="31"/>
      <c r="E973" s="31"/>
      <c r="F973" s="31"/>
      <c r="G973" s="31"/>
      <c r="H973" s="31"/>
      <c r="I973" s="31"/>
      <c r="J973" s="31"/>
      <c r="K973" s="31"/>
      <c r="L973" s="31"/>
      <c r="M973" s="31"/>
      <c r="N973" s="31"/>
      <c r="O973" s="31"/>
    </row>
    <row r="974" ht="15.75" customHeight="1">
      <c r="B974" s="31"/>
      <c r="C974" s="31"/>
      <c r="D974" s="31"/>
      <c r="E974" s="31"/>
      <c r="F974" s="31"/>
      <c r="G974" s="31"/>
      <c r="H974" s="31"/>
      <c r="I974" s="31"/>
      <c r="J974" s="31"/>
      <c r="K974" s="31"/>
      <c r="L974" s="31"/>
      <c r="M974" s="31"/>
      <c r="N974" s="31"/>
      <c r="O974" s="31"/>
    </row>
    <row r="975" ht="15.75" customHeight="1">
      <c r="B975" s="31"/>
      <c r="C975" s="31"/>
      <c r="D975" s="31"/>
      <c r="E975" s="31"/>
      <c r="F975" s="31"/>
      <c r="G975" s="31"/>
      <c r="H975" s="31"/>
      <c r="I975" s="31"/>
      <c r="J975" s="31"/>
      <c r="K975" s="31"/>
      <c r="L975" s="31"/>
      <c r="M975" s="31"/>
      <c r="N975" s="31"/>
      <c r="O975" s="31"/>
    </row>
    <row r="976" ht="15.75" customHeight="1">
      <c r="B976" s="31"/>
      <c r="C976" s="31"/>
      <c r="D976" s="31"/>
      <c r="E976" s="31"/>
      <c r="F976" s="31"/>
      <c r="G976" s="31"/>
      <c r="H976" s="31"/>
      <c r="I976" s="31"/>
      <c r="J976" s="31"/>
      <c r="K976" s="31"/>
      <c r="L976" s="31"/>
      <c r="M976" s="31"/>
      <c r="N976" s="31"/>
      <c r="O976" s="31"/>
    </row>
    <row r="977" ht="15.75" customHeight="1">
      <c r="B977" s="31"/>
      <c r="C977" s="31"/>
      <c r="D977" s="31"/>
      <c r="E977" s="31"/>
      <c r="F977" s="31"/>
      <c r="G977" s="31"/>
      <c r="H977" s="31"/>
      <c r="I977" s="31"/>
      <c r="J977" s="31"/>
      <c r="K977" s="31"/>
      <c r="L977" s="31"/>
      <c r="M977" s="31"/>
      <c r="N977" s="31"/>
      <c r="O977" s="31"/>
    </row>
    <row r="978" ht="15.75" customHeight="1">
      <c r="B978" s="31"/>
      <c r="C978" s="31"/>
      <c r="D978" s="31"/>
      <c r="E978" s="31"/>
      <c r="F978" s="31"/>
      <c r="G978" s="31"/>
      <c r="H978" s="31"/>
      <c r="I978" s="31"/>
      <c r="J978" s="31"/>
      <c r="K978" s="31"/>
      <c r="L978" s="31"/>
      <c r="M978" s="31"/>
      <c r="N978" s="31"/>
      <c r="O978" s="31"/>
    </row>
    <row r="979" ht="15.75" customHeight="1">
      <c r="B979" s="31"/>
      <c r="C979" s="31"/>
      <c r="D979" s="31"/>
      <c r="E979" s="31"/>
      <c r="F979" s="31"/>
      <c r="G979" s="31"/>
      <c r="H979" s="31"/>
      <c r="I979" s="31"/>
      <c r="J979" s="31"/>
      <c r="K979" s="31"/>
      <c r="L979" s="31"/>
      <c r="M979" s="31"/>
      <c r="N979" s="31"/>
      <c r="O979" s="31"/>
    </row>
    <row r="980" ht="15.75" customHeight="1">
      <c r="B980" s="31"/>
      <c r="C980" s="31"/>
      <c r="D980" s="31"/>
      <c r="E980" s="31"/>
      <c r="F980" s="31"/>
      <c r="G980" s="31"/>
      <c r="H980" s="31"/>
      <c r="I980" s="31"/>
      <c r="J980" s="31"/>
      <c r="K980" s="31"/>
      <c r="L980" s="31"/>
      <c r="M980" s="31"/>
      <c r="N980" s="31"/>
      <c r="O980" s="31"/>
    </row>
    <row r="981" ht="15.75" customHeight="1">
      <c r="B981" s="31"/>
      <c r="C981" s="31"/>
      <c r="D981" s="31"/>
      <c r="E981" s="31"/>
      <c r="F981" s="31"/>
      <c r="G981" s="31"/>
      <c r="H981" s="31"/>
      <c r="I981" s="31"/>
      <c r="J981" s="31"/>
      <c r="K981" s="31"/>
      <c r="L981" s="31"/>
      <c r="M981" s="31"/>
      <c r="N981" s="31"/>
      <c r="O981" s="31"/>
    </row>
    <row r="982" ht="15.75" customHeight="1">
      <c r="B982" s="31"/>
      <c r="C982" s="31"/>
      <c r="D982" s="31"/>
      <c r="E982" s="31"/>
      <c r="F982" s="31"/>
      <c r="G982" s="31"/>
      <c r="H982" s="31"/>
      <c r="I982" s="31"/>
      <c r="J982" s="31"/>
      <c r="K982" s="31"/>
      <c r="L982" s="31"/>
      <c r="M982" s="31"/>
      <c r="N982" s="31"/>
      <c r="O982" s="31"/>
    </row>
    <row r="983" ht="15.75" customHeight="1">
      <c r="B983" s="31"/>
      <c r="C983" s="31"/>
      <c r="D983" s="31"/>
      <c r="E983" s="31"/>
      <c r="F983" s="31"/>
      <c r="G983" s="31"/>
      <c r="H983" s="31"/>
      <c r="I983" s="31"/>
      <c r="J983" s="31"/>
      <c r="K983" s="31"/>
      <c r="L983" s="31"/>
      <c r="M983" s="31"/>
      <c r="N983" s="31"/>
      <c r="O983" s="31"/>
    </row>
    <row r="984" ht="15.75" customHeight="1">
      <c r="B984" s="31"/>
      <c r="C984" s="31"/>
      <c r="D984" s="31"/>
      <c r="E984" s="31"/>
      <c r="F984" s="31"/>
      <c r="G984" s="31"/>
      <c r="H984" s="31"/>
      <c r="I984" s="31"/>
      <c r="J984" s="31"/>
      <c r="K984" s="31"/>
      <c r="L984" s="31"/>
      <c r="M984" s="31"/>
      <c r="N984" s="31"/>
      <c r="O984" s="31"/>
    </row>
    <row r="985" ht="15.75" customHeight="1">
      <c r="B985" s="31"/>
      <c r="C985" s="31"/>
      <c r="D985" s="31"/>
      <c r="E985" s="31"/>
      <c r="F985" s="31"/>
      <c r="G985" s="31"/>
      <c r="H985" s="31"/>
      <c r="I985" s="31"/>
      <c r="J985" s="31"/>
      <c r="K985" s="31"/>
      <c r="L985" s="31"/>
      <c r="M985" s="31"/>
      <c r="N985" s="31"/>
      <c r="O985" s="31"/>
    </row>
    <row r="986" ht="15.75" customHeight="1">
      <c r="B986" s="31"/>
      <c r="C986" s="31"/>
      <c r="D986" s="31"/>
      <c r="E986" s="31"/>
      <c r="F986" s="31"/>
      <c r="G986" s="31"/>
      <c r="H986" s="31"/>
      <c r="I986" s="31"/>
      <c r="J986" s="31"/>
      <c r="K986" s="31"/>
      <c r="L986" s="31"/>
      <c r="M986" s="31"/>
      <c r="N986" s="31"/>
      <c r="O986" s="31"/>
    </row>
    <row r="987" ht="15.75" customHeight="1">
      <c r="B987" s="31"/>
      <c r="C987" s="31"/>
      <c r="D987" s="31"/>
      <c r="E987" s="31"/>
      <c r="F987" s="31"/>
      <c r="G987" s="31"/>
      <c r="H987" s="31"/>
      <c r="I987" s="31"/>
      <c r="J987" s="31"/>
      <c r="K987" s="31"/>
      <c r="L987" s="31"/>
      <c r="M987" s="31"/>
      <c r="N987" s="31"/>
      <c r="O987" s="31"/>
    </row>
    <row r="988" ht="15.75" customHeight="1">
      <c r="B988" s="31"/>
      <c r="C988" s="31"/>
      <c r="D988" s="31"/>
      <c r="E988" s="31"/>
      <c r="F988" s="31"/>
      <c r="G988" s="31"/>
      <c r="H988" s="31"/>
      <c r="I988" s="31"/>
      <c r="J988" s="31"/>
      <c r="K988" s="31"/>
      <c r="L988" s="31"/>
      <c r="M988" s="31"/>
      <c r="N988" s="31"/>
      <c r="O988" s="31"/>
    </row>
    <row r="989" ht="15.75" customHeight="1">
      <c r="B989" s="31"/>
      <c r="C989" s="31"/>
      <c r="D989" s="31"/>
      <c r="E989" s="31"/>
      <c r="F989" s="31"/>
      <c r="G989" s="31"/>
      <c r="H989" s="31"/>
      <c r="I989" s="31"/>
      <c r="J989" s="31"/>
      <c r="K989" s="31"/>
      <c r="L989" s="31"/>
      <c r="M989" s="31"/>
      <c r="N989" s="31"/>
      <c r="O989" s="31"/>
    </row>
    <row r="990" ht="15.75" customHeight="1">
      <c r="B990" s="31"/>
      <c r="C990" s="31"/>
      <c r="D990" s="31"/>
      <c r="E990" s="31"/>
      <c r="F990" s="31"/>
      <c r="G990" s="31"/>
      <c r="H990" s="31"/>
      <c r="I990" s="31"/>
      <c r="J990" s="31"/>
      <c r="K990" s="31"/>
      <c r="L990" s="31"/>
      <c r="M990" s="31"/>
      <c r="N990" s="31"/>
      <c r="O990" s="31"/>
    </row>
    <row r="991" ht="15.75" customHeight="1">
      <c r="B991" s="31"/>
      <c r="C991" s="31"/>
      <c r="D991" s="31"/>
      <c r="E991" s="31"/>
      <c r="F991" s="31"/>
      <c r="G991" s="31"/>
      <c r="H991" s="31"/>
      <c r="I991" s="31"/>
      <c r="J991" s="31"/>
      <c r="K991" s="31"/>
      <c r="L991" s="31"/>
      <c r="M991" s="31"/>
      <c r="N991" s="31"/>
      <c r="O991" s="31"/>
    </row>
    <row r="992" ht="15.75" customHeight="1">
      <c r="B992" s="31"/>
      <c r="C992" s="31"/>
      <c r="D992" s="31"/>
      <c r="E992" s="31"/>
      <c r="F992" s="31"/>
      <c r="G992" s="31"/>
      <c r="H992" s="31"/>
      <c r="I992" s="31"/>
      <c r="J992" s="31"/>
      <c r="K992" s="31"/>
      <c r="L992" s="31"/>
      <c r="M992" s="31"/>
      <c r="N992" s="31"/>
      <c r="O992" s="31"/>
    </row>
    <row r="993" ht="15.75" customHeight="1">
      <c r="B993" s="31"/>
      <c r="C993" s="31"/>
      <c r="D993" s="31"/>
      <c r="E993" s="31"/>
      <c r="F993" s="31"/>
      <c r="G993" s="31"/>
      <c r="H993" s="31"/>
      <c r="I993" s="31"/>
      <c r="J993" s="31"/>
      <c r="K993" s="31"/>
      <c r="L993" s="31"/>
      <c r="M993" s="31"/>
      <c r="N993" s="31"/>
      <c r="O993" s="31"/>
    </row>
    <row r="994" ht="15.75" customHeight="1">
      <c r="B994" s="31"/>
      <c r="C994" s="31"/>
      <c r="D994" s="31"/>
      <c r="E994" s="31"/>
      <c r="F994" s="31"/>
      <c r="G994" s="31"/>
      <c r="H994" s="31"/>
      <c r="I994" s="31"/>
      <c r="J994" s="31"/>
      <c r="K994" s="31"/>
      <c r="L994" s="31"/>
      <c r="M994" s="31"/>
      <c r="N994" s="31"/>
      <c r="O994" s="31"/>
    </row>
    <row r="995" ht="15.75" customHeight="1">
      <c r="B995" s="31"/>
      <c r="C995" s="31"/>
      <c r="D995" s="31"/>
      <c r="E995" s="31"/>
      <c r="F995" s="31"/>
      <c r="G995" s="31"/>
      <c r="H995" s="31"/>
      <c r="I995" s="31"/>
      <c r="J995" s="31"/>
      <c r="K995" s="31"/>
      <c r="L995" s="31"/>
      <c r="M995" s="31"/>
      <c r="N995" s="31"/>
      <c r="O995" s="31"/>
    </row>
    <row r="996" ht="15.75" customHeight="1">
      <c r="B996" s="31"/>
      <c r="C996" s="31"/>
      <c r="D996" s="31"/>
      <c r="E996" s="31"/>
      <c r="F996" s="31"/>
      <c r="G996" s="31"/>
      <c r="H996" s="31"/>
      <c r="I996" s="31"/>
      <c r="J996" s="31"/>
      <c r="K996" s="31"/>
      <c r="L996" s="31"/>
      <c r="M996" s="31"/>
      <c r="N996" s="31"/>
      <c r="O996" s="31"/>
    </row>
    <row r="997" ht="15.75" customHeight="1">
      <c r="B997" s="31"/>
      <c r="C997" s="31"/>
      <c r="D997" s="31"/>
      <c r="E997" s="31"/>
      <c r="F997" s="31"/>
      <c r="G997" s="31"/>
      <c r="H997" s="31"/>
      <c r="I997" s="31"/>
      <c r="J997" s="31"/>
      <c r="K997" s="31"/>
      <c r="L997" s="31"/>
      <c r="M997" s="31"/>
      <c r="N997" s="31"/>
      <c r="O997" s="31"/>
    </row>
    <row r="998" ht="15.75" customHeight="1">
      <c r="B998" s="31"/>
      <c r="C998" s="31"/>
      <c r="D998" s="31"/>
      <c r="E998" s="31"/>
      <c r="F998" s="31"/>
      <c r="G998" s="31"/>
      <c r="H998" s="31"/>
      <c r="I998" s="31"/>
      <c r="J998" s="31"/>
      <c r="K998" s="31"/>
      <c r="L998" s="31"/>
      <c r="M998" s="31"/>
      <c r="N998" s="31"/>
      <c r="O998" s="31"/>
    </row>
    <row r="999" ht="15.75" customHeight="1">
      <c r="B999" s="31"/>
      <c r="C999" s="31"/>
      <c r="D999" s="31"/>
      <c r="E999" s="31"/>
      <c r="F999" s="31"/>
      <c r="G999" s="31"/>
      <c r="H999" s="31"/>
      <c r="I999" s="31"/>
      <c r="J999" s="31"/>
      <c r="K999" s="31"/>
      <c r="L999" s="31"/>
      <c r="M999" s="31"/>
      <c r="N999" s="31"/>
      <c r="O999" s="31"/>
    </row>
    <row r="1000" ht="15.75" customHeight="1">
      <c r="B1000" s="31"/>
      <c r="C1000" s="31"/>
      <c r="D1000" s="31"/>
      <c r="E1000" s="31"/>
      <c r="F1000" s="31"/>
      <c r="G1000" s="31"/>
      <c r="H1000" s="31"/>
      <c r="I1000" s="31"/>
      <c r="J1000" s="31"/>
      <c r="K1000" s="31"/>
      <c r="L1000" s="31"/>
      <c r="M1000" s="31"/>
      <c r="N1000" s="31"/>
      <c r="O1000" s="31"/>
    </row>
  </sheetData>
  <mergeCells count="3">
    <mergeCell ref="A1:O1"/>
    <mergeCell ref="A2:O2"/>
    <mergeCell ref="A3:O3"/>
  </mergeCells>
  <dataValidations>
    <dataValidation type="decimal" allowBlank="1" showErrorMessage="1" sqref="D5:M8">
      <formula1>1.0</formula1>
      <formula2>5.0</formula2>
    </dataValidation>
  </dataValidations>
  <printOptions/>
  <pageMargins bottom="1.0" footer="0.0" header="0.0" left="0.75" right="0.75" top="1.0"/>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7.57"/>
    <col customWidth="1" min="2" max="2" width="22.57"/>
    <col customWidth="1" min="3" max="3" width="28.86"/>
    <col customWidth="1" min="4" max="4" width="22.57"/>
    <col customWidth="1" min="5" max="26" width="12.57"/>
  </cols>
  <sheetData>
    <row r="1" ht="25.5" customHeight="1">
      <c r="A1" s="5" t="s">
        <v>1533</v>
      </c>
      <c r="B1" s="7"/>
      <c r="C1" s="7"/>
      <c r="D1" s="9"/>
    </row>
    <row r="2" ht="15.0" customHeight="1">
      <c r="A2" s="55" t="s">
        <v>1534</v>
      </c>
      <c r="B2" s="7"/>
      <c r="C2" s="7"/>
      <c r="D2" s="9"/>
    </row>
    <row r="3" ht="31.5" customHeight="1">
      <c r="A3" s="18" t="s">
        <v>1535</v>
      </c>
      <c r="B3" s="18" t="s">
        <v>1315</v>
      </c>
      <c r="C3" s="18" t="s">
        <v>1536</v>
      </c>
      <c r="D3" s="18" t="s">
        <v>1537</v>
      </c>
    </row>
    <row r="4" ht="23.25" customHeight="1">
      <c r="A4" s="57" t="s">
        <v>1538</v>
      </c>
      <c r="B4" s="57">
        <f>COUNTA('Execution Log'!A2:A34)</f>
        <v>33</v>
      </c>
      <c r="C4" s="57" t="s">
        <v>703</v>
      </c>
      <c r="D4" s="57" t="str">
        <f>IF(B4=33,"Pass","Check")</f>
        <v>Pass</v>
      </c>
    </row>
    <row r="5" ht="15.0" customHeight="1">
      <c r="A5" s="17" t="s">
        <v>1539</v>
      </c>
      <c r="B5" s="17">
        <f>COUNTIF('Execution Log'!C2:C34,"Pass")+COUNTIF('Execution Log'!C2:C34,"Fail")</f>
        <v>33</v>
      </c>
      <c r="C5" s="17" t="s">
        <v>703</v>
      </c>
      <c r="D5" s="17" t="str">
        <f>IF(B5=B4,"Pass","Pending")</f>
        <v>Pass</v>
      </c>
    </row>
    <row r="6" ht="15.0" customHeight="1">
      <c r="A6" s="57" t="s">
        <v>1540</v>
      </c>
      <c r="B6" s="57">
        <f>COUNTIF('Execution Log'!C2:C34,"Pass")</f>
        <v>33</v>
      </c>
      <c r="C6" s="57" t="s">
        <v>1541</v>
      </c>
      <c r="D6" s="57" t="s">
        <v>1542</v>
      </c>
    </row>
    <row r="7" ht="15.0" customHeight="1">
      <c r="A7" s="17" t="s">
        <v>713</v>
      </c>
      <c r="B7" s="29">
        <f>IFERROR(B6/B4,0)</f>
        <v>1</v>
      </c>
      <c r="C7" s="17" t="s">
        <v>730</v>
      </c>
      <c r="D7" s="17" t="str">
        <f>IF(B7&gt;=0.95,"Pass","Pending/Fail")</f>
        <v>Pass</v>
      </c>
    </row>
    <row r="8" ht="15.0" customHeight="1">
      <c r="A8" s="57" t="s">
        <v>1543</v>
      </c>
      <c r="B8" s="57">
        <f>COUNTIF('Execution Log'!C2:C34,"Not Executed")+COUNTIF('Execution Log'!C2:C34,"Blocked")+COUNTIF('Execution Log'!C2:C34,"Retest Required")</f>
        <v>0</v>
      </c>
      <c r="C8" s="57" t="s">
        <v>742</v>
      </c>
      <c r="D8" s="57" t="str">
        <f>IF(B8=0,"Pass","Pending")</f>
        <v>Pass</v>
      </c>
    </row>
    <row r="9" ht="23.25" customHeight="1">
      <c r="A9" s="17" t="s">
        <v>1544</v>
      </c>
      <c r="B9" s="17">
        <f>COUNTIF('Execution Log'!C2:C34,"Fail")</f>
        <v>0</v>
      </c>
      <c r="C9" s="17" t="s">
        <v>1545</v>
      </c>
      <c r="D9" s="17" t="str">
        <f>IF(B8&gt;0,"Pending",IF(B9&lt;=3,"Within numerical threshold","Below 95%"))</f>
        <v>Within numerical threshold</v>
      </c>
    </row>
    <row r="10" ht="15.0" customHeight="1">
      <c r="A10" s="57" t="s">
        <v>732</v>
      </c>
      <c r="B10" s="57">
        <f>COUNTIFS('Defect Log'!A2:A100,"&lt;&gt;",'Defect Log'!D2:D100,"Critical",'Defect Log'!E2:E100,"&lt;&gt;Closed")+COUNTIFS('Defect Log'!A2:A100,"&lt;&gt;",'Defect Log'!D2:D100,"Major",'Defect Log'!E2:E100,"&lt;&gt;Closed")</f>
        <v>0</v>
      </c>
      <c r="C10" s="57" t="s">
        <v>742</v>
      </c>
      <c r="D10" s="57" t="str">
        <f>IF(B10=0,"Pass","Blocked")</f>
        <v>Pass</v>
      </c>
    </row>
    <row r="11" ht="15.0" customHeight="1">
      <c r="A11" s="17" t="s">
        <v>744</v>
      </c>
      <c r="B11" s="17">
        <f>IFERROR(AVERAGE('SUS Questionnaire'!N5:N8),0)</f>
        <v>89.375</v>
      </c>
      <c r="C11" s="17" t="s">
        <v>745</v>
      </c>
      <c r="D11" s="17" t="str">
        <f>IF(B11&gt;=68,"Pass","Pending/Fail")</f>
        <v>Pass</v>
      </c>
    </row>
    <row r="12" ht="15.0" customHeight="1">
      <c r="A12" s="57" t="s">
        <v>746</v>
      </c>
      <c r="B12" s="57">
        <f>COUNTIF('Session Control'!C21:C29,"Ready")</f>
        <v>9</v>
      </c>
      <c r="C12" s="57" t="s">
        <v>1546</v>
      </c>
      <c r="D12" s="57" t="str">
        <f>IF(B12=9,"Pass","Pending")</f>
        <v>Pass</v>
      </c>
    </row>
    <row r="13" ht="23.25" customHeight="1">
      <c r="A13" s="17" t="s">
        <v>748</v>
      </c>
      <c r="B13" s="17" t="str">
        <f>IF(AND(B4=33,B5=B4,B8=0,B7&gt;=0.95,B10=0,B11&gt;=68,B12=9),"ELIGIBLE FOR FORMAL SIGN-OFF","NOT YET ELIGIBLE")</f>
        <v>ELIGIBLE FOR FORMAL SIGN-OFF</v>
      </c>
      <c r="C13" s="17" t="s">
        <v>1547</v>
      </c>
      <c r="D13" s="17" t="str">
        <f>B13</f>
        <v>ELIGIBLE FOR FORMAL SIGN-OFF</v>
      </c>
    </row>
    <row r="14" ht="23.25" customHeight="1">
      <c r="A14" s="57" t="s">
        <v>1336</v>
      </c>
      <c r="B14" s="57" t="str">
        <f>'Session Control'!B12</f>
        <v>Accepted</v>
      </c>
      <c r="C14" s="57" t="s">
        <v>751</v>
      </c>
      <c r="D14" s="57" t="s">
        <v>1548</v>
      </c>
    </row>
    <row r="15" ht="15.0" customHeight="1">
      <c r="A15" s="17"/>
      <c r="B15" s="17"/>
      <c r="C15" s="17"/>
      <c r="D15" s="17"/>
    </row>
    <row r="16" ht="102.0" customHeight="1">
      <c r="A16" s="17" t="s">
        <v>1549</v>
      </c>
      <c r="B16" s="17" t="s">
        <v>1550</v>
      </c>
      <c r="C16" s="17"/>
      <c r="D16" s="17"/>
    </row>
    <row r="17">
      <c r="A17" s="31"/>
      <c r="B17" s="31"/>
      <c r="C17" s="31"/>
      <c r="D17" s="31"/>
    </row>
    <row r="18">
      <c r="A18" s="31"/>
      <c r="B18" s="31"/>
      <c r="C18" s="31"/>
      <c r="D18" s="31"/>
    </row>
    <row r="19">
      <c r="A19" s="31"/>
      <c r="B19" s="31"/>
      <c r="C19" s="31"/>
      <c r="D19" s="31"/>
    </row>
    <row r="20">
      <c r="A20" s="31"/>
      <c r="B20" s="31"/>
      <c r="C20" s="31"/>
      <c r="D20" s="31"/>
    </row>
    <row r="21" ht="15.75" customHeight="1">
      <c r="A21" s="31"/>
      <c r="B21" s="31"/>
      <c r="C21" s="31"/>
      <c r="D21" s="31"/>
    </row>
    <row r="22" ht="15.75" customHeight="1">
      <c r="A22" s="31"/>
      <c r="B22" s="31"/>
      <c r="C22" s="31"/>
      <c r="D22" s="31"/>
    </row>
    <row r="23" ht="15.75" customHeight="1">
      <c r="A23" s="31"/>
      <c r="B23" s="31"/>
      <c r="C23" s="31"/>
      <c r="D23" s="31"/>
    </row>
    <row r="24" ht="15.75" customHeight="1">
      <c r="A24" s="31"/>
      <c r="B24" s="31"/>
      <c r="C24" s="31"/>
      <c r="D24" s="31"/>
    </row>
    <row r="25" ht="15.75" customHeight="1">
      <c r="A25" s="31"/>
      <c r="B25" s="31"/>
      <c r="C25" s="31"/>
      <c r="D25" s="31"/>
    </row>
    <row r="26" ht="15.75" customHeight="1">
      <c r="A26" s="31"/>
      <c r="B26" s="31"/>
      <c r="C26" s="31"/>
      <c r="D26" s="31"/>
    </row>
    <row r="27" ht="15.75" customHeight="1">
      <c r="A27" s="31"/>
      <c r="B27" s="31"/>
      <c r="C27" s="31"/>
      <c r="D27" s="31"/>
    </row>
    <row r="28" ht="15.75" customHeight="1">
      <c r="A28" s="31"/>
      <c r="B28" s="31"/>
      <c r="C28" s="31"/>
      <c r="D28" s="31"/>
    </row>
    <row r="29" ht="15.75" customHeight="1">
      <c r="A29" s="31"/>
      <c r="B29" s="31"/>
      <c r="C29" s="31"/>
      <c r="D29" s="31"/>
    </row>
    <row r="30" ht="15.75" customHeight="1">
      <c r="A30" s="31"/>
      <c r="B30" s="31"/>
      <c r="C30" s="31"/>
      <c r="D30" s="31"/>
    </row>
    <row r="31" ht="15.75" customHeight="1">
      <c r="A31" s="31"/>
      <c r="B31" s="31"/>
      <c r="C31" s="31"/>
      <c r="D31" s="31"/>
    </row>
    <row r="32" ht="15.75" customHeight="1">
      <c r="A32" s="31"/>
      <c r="B32" s="31"/>
      <c r="C32" s="31"/>
      <c r="D32" s="31"/>
    </row>
    <row r="33" ht="15.75" customHeight="1">
      <c r="A33" s="31"/>
      <c r="B33" s="31"/>
      <c r="C33" s="31"/>
      <c r="D33" s="31"/>
    </row>
    <row r="34" ht="15.75" customHeight="1">
      <c r="A34" s="31"/>
      <c r="B34" s="31"/>
      <c r="C34" s="31"/>
      <c r="D34" s="31"/>
    </row>
    <row r="35" ht="15.75" customHeight="1">
      <c r="A35" s="31"/>
      <c r="B35" s="31"/>
      <c r="C35" s="31"/>
      <c r="D35" s="31"/>
    </row>
    <row r="36" ht="15.75" customHeight="1">
      <c r="A36" s="31"/>
      <c r="B36" s="31"/>
      <c r="C36" s="31"/>
      <c r="D36" s="31"/>
    </row>
    <row r="37" ht="15.75" customHeight="1">
      <c r="A37" s="31"/>
      <c r="B37" s="31"/>
      <c r="C37" s="31"/>
      <c r="D37" s="31"/>
    </row>
    <row r="38" ht="15.75" customHeight="1">
      <c r="A38" s="31"/>
      <c r="B38" s="31"/>
      <c r="C38" s="31"/>
      <c r="D38" s="31"/>
    </row>
    <row r="39" ht="15.75" customHeight="1">
      <c r="A39" s="31"/>
      <c r="B39" s="31"/>
      <c r="C39" s="31"/>
      <c r="D39" s="31"/>
    </row>
    <row r="40" ht="15.75" customHeight="1">
      <c r="A40" s="31"/>
      <c r="B40" s="31"/>
      <c r="C40" s="31"/>
      <c r="D40" s="31"/>
    </row>
    <row r="41" ht="15.75" customHeight="1">
      <c r="A41" s="31"/>
      <c r="B41" s="31"/>
      <c r="C41" s="31"/>
      <c r="D41" s="31"/>
    </row>
    <row r="42" ht="15.75" customHeight="1">
      <c r="A42" s="31"/>
      <c r="B42" s="31"/>
      <c r="C42" s="31"/>
      <c r="D42" s="31"/>
    </row>
    <row r="43" ht="15.75" customHeight="1">
      <c r="A43" s="31"/>
      <c r="B43" s="31"/>
      <c r="C43" s="31"/>
      <c r="D43" s="31"/>
    </row>
    <row r="44" ht="15.75" customHeight="1">
      <c r="A44" s="31"/>
      <c r="B44" s="31"/>
      <c r="C44" s="31"/>
      <c r="D44" s="31"/>
    </row>
    <row r="45" ht="15.75" customHeight="1">
      <c r="A45" s="31"/>
      <c r="B45" s="31"/>
      <c r="C45" s="31"/>
      <c r="D45" s="31"/>
    </row>
    <row r="46" ht="15.75" customHeight="1">
      <c r="A46" s="31"/>
      <c r="B46" s="31"/>
      <c r="C46" s="31"/>
      <c r="D46" s="31"/>
    </row>
    <row r="47" ht="15.75" customHeight="1">
      <c r="A47" s="31"/>
      <c r="B47" s="31"/>
      <c r="C47" s="31"/>
      <c r="D47" s="31"/>
    </row>
    <row r="48" ht="15.75" customHeight="1">
      <c r="A48" s="31"/>
      <c r="B48" s="31"/>
      <c r="C48" s="31"/>
      <c r="D48" s="31"/>
    </row>
    <row r="49" ht="15.75" customHeight="1">
      <c r="A49" s="31"/>
      <c r="B49" s="31"/>
      <c r="C49" s="31"/>
      <c r="D49" s="31"/>
    </row>
    <row r="50" ht="15.75" customHeight="1">
      <c r="A50" s="31"/>
      <c r="B50" s="31"/>
      <c r="C50" s="31"/>
      <c r="D50" s="31"/>
    </row>
    <row r="51" ht="15.75" customHeight="1">
      <c r="A51" s="31"/>
      <c r="B51" s="31"/>
      <c r="C51" s="31"/>
      <c r="D51" s="31"/>
    </row>
    <row r="52" ht="15.75" customHeight="1">
      <c r="A52" s="31"/>
      <c r="B52" s="31"/>
      <c r="C52" s="31"/>
      <c r="D52" s="31"/>
    </row>
    <row r="53" ht="15.75" customHeight="1">
      <c r="A53" s="31"/>
      <c r="B53" s="31"/>
      <c r="C53" s="31"/>
      <c r="D53" s="31"/>
    </row>
    <row r="54" ht="15.75" customHeight="1">
      <c r="A54" s="31"/>
      <c r="B54" s="31"/>
      <c r="C54" s="31"/>
      <c r="D54" s="31"/>
    </row>
    <row r="55" ht="15.75" customHeight="1">
      <c r="A55" s="31"/>
      <c r="B55" s="31"/>
      <c r="C55" s="31"/>
      <c r="D55" s="31"/>
    </row>
    <row r="56" ht="15.75" customHeight="1">
      <c r="A56" s="31"/>
      <c r="B56" s="31"/>
      <c r="C56" s="31"/>
      <c r="D56" s="31"/>
    </row>
    <row r="57" ht="15.75" customHeight="1">
      <c r="A57" s="31"/>
      <c r="B57" s="31"/>
      <c r="C57" s="31"/>
      <c r="D57" s="31"/>
    </row>
    <row r="58" ht="15.75" customHeight="1">
      <c r="A58" s="31"/>
      <c r="B58" s="31"/>
      <c r="C58" s="31"/>
      <c r="D58" s="31"/>
    </row>
    <row r="59" ht="15.75" customHeight="1">
      <c r="A59" s="31"/>
      <c r="B59" s="31"/>
      <c r="C59" s="31"/>
      <c r="D59" s="31"/>
    </row>
    <row r="60" ht="15.75" customHeight="1">
      <c r="A60" s="31"/>
      <c r="B60" s="31"/>
      <c r="C60" s="31"/>
      <c r="D60" s="31"/>
    </row>
    <row r="61" ht="15.75" customHeight="1">
      <c r="A61" s="31"/>
      <c r="B61" s="31"/>
      <c r="C61" s="31"/>
      <c r="D61" s="31"/>
    </row>
    <row r="62" ht="15.75" customHeight="1">
      <c r="A62" s="31"/>
      <c r="B62" s="31"/>
      <c r="C62" s="31"/>
      <c r="D62" s="31"/>
    </row>
    <row r="63" ht="15.75" customHeight="1">
      <c r="A63" s="31"/>
      <c r="B63" s="31"/>
      <c r="C63" s="31"/>
      <c r="D63" s="31"/>
    </row>
    <row r="64" ht="15.75" customHeight="1">
      <c r="A64" s="31"/>
      <c r="B64" s="31"/>
      <c r="C64" s="31"/>
      <c r="D64" s="31"/>
    </row>
    <row r="65" ht="15.75" customHeight="1">
      <c r="A65" s="31"/>
      <c r="B65" s="31"/>
      <c r="C65" s="31"/>
      <c r="D65" s="31"/>
    </row>
    <row r="66" ht="15.75" customHeight="1">
      <c r="A66" s="31"/>
      <c r="B66" s="31"/>
      <c r="C66" s="31"/>
      <c r="D66" s="31"/>
    </row>
    <row r="67" ht="15.75" customHeight="1">
      <c r="A67" s="31"/>
      <c r="B67" s="31"/>
      <c r="C67" s="31"/>
      <c r="D67" s="31"/>
    </row>
    <row r="68" ht="15.75" customHeight="1">
      <c r="A68" s="31"/>
      <c r="B68" s="31"/>
      <c r="C68" s="31"/>
      <c r="D68" s="31"/>
    </row>
    <row r="69" ht="15.75" customHeight="1">
      <c r="A69" s="31"/>
      <c r="B69" s="31"/>
      <c r="C69" s="31"/>
      <c r="D69" s="31"/>
    </row>
    <row r="70" ht="15.75" customHeight="1">
      <c r="A70" s="31"/>
      <c r="B70" s="31"/>
      <c r="C70" s="31"/>
      <c r="D70" s="31"/>
    </row>
    <row r="71" ht="15.75" customHeight="1">
      <c r="A71" s="31"/>
      <c r="B71" s="31"/>
      <c r="C71" s="31"/>
      <c r="D71" s="31"/>
    </row>
    <row r="72" ht="15.75" customHeight="1">
      <c r="A72" s="31"/>
      <c r="B72" s="31"/>
      <c r="C72" s="31"/>
      <c r="D72" s="31"/>
    </row>
    <row r="73" ht="15.75" customHeight="1">
      <c r="A73" s="31"/>
      <c r="B73" s="31"/>
      <c r="C73" s="31"/>
      <c r="D73" s="31"/>
    </row>
    <row r="74" ht="15.75" customHeight="1">
      <c r="A74" s="31"/>
      <c r="B74" s="31"/>
      <c r="C74" s="31"/>
      <c r="D74" s="31"/>
    </row>
    <row r="75" ht="15.75" customHeight="1">
      <c r="A75" s="31"/>
      <c r="B75" s="31"/>
      <c r="C75" s="31"/>
      <c r="D75" s="31"/>
    </row>
    <row r="76" ht="15.75" customHeight="1">
      <c r="A76" s="31"/>
      <c r="B76" s="31"/>
      <c r="C76" s="31"/>
      <c r="D76" s="31"/>
    </row>
    <row r="77" ht="15.75" customHeight="1">
      <c r="A77" s="31"/>
      <c r="B77" s="31"/>
      <c r="C77" s="31"/>
      <c r="D77" s="31"/>
    </row>
    <row r="78" ht="15.75" customHeight="1">
      <c r="A78" s="31"/>
      <c r="B78" s="31"/>
      <c r="C78" s="31"/>
      <c r="D78" s="31"/>
    </row>
    <row r="79" ht="15.75" customHeight="1">
      <c r="A79" s="31"/>
      <c r="B79" s="31"/>
      <c r="C79" s="31"/>
      <c r="D79" s="31"/>
    </row>
    <row r="80" ht="15.75" customHeight="1">
      <c r="A80" s="31"/>
      <c r="B80" s="31"/>
      <c r="C80" s="31"/>
      <c r="D80" s="31"/>
    </row>
    <row r="81" ht="15.75" customHeight="1">
      <c r="A81" s="31"/>
      <c r="B81" s="31"/>
      <c r="C81" s="31"/>
      <c r="D81" s="31"/>
    </row>
    <row r="82" ht="15.75" customHeight="1">
      <c r="A82" s="31"/>
      <c r="B82" s="31"/>
      <c r="C82" s="31"/>
      <c r="D82" s="31"/>
    </row>
    <row r="83" ht="15.75" customHeight="1">
      <c r="A83" s="31"/>
      <c r="B83" s="31"/>
      <c r="C83" s="31"/>
      <c r="D83" s="31"/>
    </row>
    <row r="84" ht="15.75" customHeight="1">
      <c r="A84" s="31"/>
      <c r="B84" s="31"/>
      <c r="C84" s="31"/>
      <c r="D84" s="31"/>
    </row>
    <row r="85" ht="15.75" customHeight="1">
      <c r="A85" s="31"/>
      <c r="B85" s="31"/>
      <c r="C85" s="31"/>
      <c r="D85" s="31"/>
    </row>
    <row r="86" ht="15.75" customHeight="1">
      <c r="A86" s="31"/>
      <c r="B86" s="31"/>
      <c r="C86" s="31"/>
      <c r="D86" s="31"/>
    </row>
    <row r="87" ht="15.75" customHeight="1">
      <c r="A87" s="31"/>
      <c r="B87" s="31"/>
      <c r="C87" s="31"/>
      <c r="D87" s="31"/>
    </row>
    <row r="88" ht="15.75" customHeight="1">
      <c r="A88" s="31"/>
      <c r="B88" s="31"/>
      <c r="C88" s="31"/>
      <c r="D88" s="31"/>
    </row>
    <row r="89" ht="15.75" customHeight="1">
      <c r="A89" s="31"/>
      <c r="B89" s="31"/>
      <c r="C89" s="31"/>
      <c r="D89" s="31"/>
    </row>
    <row r="90" ht="15.75" customHeight="1">
      <c r="A90" s="31"/>
      <c r="B90" s="31"/>
      <c r="C90" s="31"/>
      <c r="D90" s="31"/>
    </row>
    <row r="91" ht="15.75" customHeight="1">
      <c r="A91" s="31"/>
      <c r="B91" s="31"/>
      <c r="C91" s="31"/>
      <c r="D91" s="31"/>
    </row>
    <row r="92" ht="15.75" customHeight="1">
      <c r="A92" s="31"/>
      <c r="B92" s="31"/>
      <c r="C92" s="31"/>
      <c r="D92" s="31"/>
    </row>
    <row r="93" ht="15.75" customHeight="1">
      <c r="A93" s="31"/>
      <c r="B93" s="31"/>
      <c r="C93" s="31"/>
      <c r="D93" s="31"/>
    </row>
    <row r="94" ht="15.75" customHeight="1">
      <c r="A94" s="31"/>
      <c r="B94" s="31"/>
      <c r="C94" s="31"/>
      <c r="D94" s="31"/>
    </row>
    <row r="95" ht="15.75" customHeight="1">
      <c r="A95" s="31"/>
      <c r="B95" s="31"/>
      <c r="C95" s="31"/>
      <c r="D95" s="31"/>
    </row>
    <row r="96" ht="15.75" customHeight="1">
      <c r="A96" s="31"/>
      <c r="B96" s="31"/>
      <c r="C96" s="31"/>
      <c r="D96" s="31"/>
    </row>
    <row r="97" ht="15.75" customHeight="1">
      <c r="A97" s="31"/>
      <c r="B97" s="31"/>
      <c r="C97" s="31"/>
      <c r="D97" s="31"/>
    </row>
    <row r="98" ht="15.75" customHeight="1">
      <c r="A98" s="31"/>
      <c r="B98" s="31"/>
      <c r="C98" s="31"/>
      <c r="D98" s="31"/>
    </row>
    <row r="99" ht="15.75" customHeight="1">
      <c r="A99" s="31"/>
      <c r="B99" s="31"/>
      <c r="C99" s="31"/>
      <c r="D99" s="31"/>
    </row>
    <row r="100" ht="15.75" customHeight="1">
      <c r="A100" s="31"/>
      <c r="B100" s="31"/>
      <c r="C100" s="31"/>
      <c r="D100" s="31"/>
    </row>
    <row r="101" ht="15.75" customHeight="1">
      <c r="A101" s="31"/>
      <c r="B101" s="31"/>
      <c r="C101" s="31"/>
      <c r="D101" s="31"/>
    </row>
    <row r="102" ht="15.75" customHeight="1">
      <c r="A102" s="31"/>
      <c r="B102" s="31"/>
      <c r="C102" s="31"/>
      <c r="D102" s="31"/>
    </row>
    <row r="103" ht="15.75" customHeight="1">
      <c r="A103" s="31"/>
      <c r="B103" s="31"/>
      <c r="C103" s="31"/>
      <c r="D103" s="31"/>
    </row>
    <row r="104" ht="15.75" customHeight="1">
      <c r="A104" s="31"/>
      <c r="B104" s="31"/>
      <c r="C104" s="31"/>
      <c r="D104" s="31"/>
    </row>
    <row r="105" ht="15.75" customHeight="1">
      <c r="A105" s="31"/>
      <c r="B105" s="31"/>
      <c r="C105" s="31"/>
      <c r="D105" s="31"/>
    </row>
    <row r="106" ht="15.75" customHeight="1">
      <c r="A106" s="31"/>
      <c r="B106" s="31"/>
      <c r="C106" s="31"/>
      <c r="D106" s="31"/>
    </row>
    <row r="107" ht="15.75" customHeight="1">
      <c r="A107" s="31"/>
      <c r="B107" s="31"/>
      <c r="C107" s="31"/>
      <c r="D107" s="31"/>
    </row>
    <row r="108" ht="15.75" customHeight="1">
      <c r="A108" s="31"/>
      <c r="B108" s="31"/>
      <c r="C108" s="31"/>
      <c r="D108" s="31"/>
    </row>
    <row r="109" ht="15.75" customHeight="1">
      <c r="A109" s="31"/>
      <c r="B109" s="31"/>
      <c r="C109" s="31"/>
      <c r="D109" s="31"/>
    </row>
    <row r="110" ht="15.75" customHeight="1">
      <c r="A110" s="31"/>
      <c r="B110" s="31"/>
      <c r="C110" s="31"/>
      <c r="D110" s="31"/>
    </row>
    <row r="111" ht="15.75" customHeight="1">
      <c r="A111" s="31"/>
      <c r="B111" s="31"/>
      <c r="C111" s="31"/>
      <c r="D111" s="31"/>
    </row>
    <row r="112" ht="15.75" customHeight="1">
      <c r="A112" s="31"/>
      <c r="B112" s="31"/>
      <c r="C112" s="31"/>
      <c r="D112" s="31"/>
    </row>
    <row r="113" ht="15.75" customHeight="1">
      <c r="A113" s="31"/>
      <c r="B113" s="31"/>
      <c r="C113" s="31"/>
      <c r="D113" s="31"/>
    </row>
    <row r="114" ht="15.75" customHeight="1">
      <c r="A114" s="31"/>
      <c r="B114" s="31"/>
      <c r="C114" s="31"/>
      <c r="D114" s="31"/>
    </row>
    <row r="115" ht="15.75" customHeight="1">
      <c r="A115" s="31"/>
      <c r="B115" s="31"/>
      <c r="C115" s="31"/>
      <c r="D115" s="31"/>
    </row>
    <row r="116" ht="15.75" customHeight="1">
      <c r="A116" s="31"/>
      <c r="B116" s="31"/>
      <c r="C116" s="31"/>
      <c r="D116" s="31"/>
    </row>
    <row r="117" ht="15.75" customHeight="1">
      <c r="A117" s="31"/>
      <c r="B117" s="31"/>
      <c r="C117" s="31"/>
      <c r="D117" s="31"/>
    </row>
    <row r="118" ht="15.75" customHeight="1">
      <c r="A118" s="31"/>
      <c r="B118" s="31"/>
      <c r="C118" s="31"/>
      <c r="D118" s="31"/>
    </row>
    <row r="119" ht="15.75" customHeight="1">
      <c r="A119" s="31"/>
      <c r="B119" s="31"/>
      <c r="C119" s="31"/>
      <c r="D119" s="31"/>
    </row>
    <row r="120" ht="15.75" customHeight="1">
      <c r="A120" s="31"/>
      <c r="B120" s="31"/>
      <c r="C120" s="31"/>
      <c r="D120" s="31"/>
    </row>
    <row r="121" ht="15.75" customHeight="1">
      <c r="A121" s="31"/>
      <c r="B121" s="31"/>
      <c r="C121" s="31"/>
      <c r="D121" s="31"/>
    </row>
    <row r="122" ht="15.75" customHeight="1">
      <c r="A122" s="31"/>
      <c r="B122" s="31"/>
      <c r="C122" s="31"/>
      <c r="D122" s="31"/>
    </row>
    <row r="123" ht="15.75" customHeight="1">
      <c r="A123" s="31"/>
      <c r="B123" s="31"/>
      <c r="C123" s="31"/>
      <c r="D123" s="31"/>
    </row>
    <row r="124" ht="15.75" customHeight="1">
      <c r="A124" s="31"/>
      <c r="B124" s="31"/>
      <c r="C124" s="31"/>
      <c r="D124" s="31"/>
    </row>
    <row r="125" ht="15.75" customHeight="1">
      <c r="A125" s="31"/>
      <c r="B125" s="31"/>
      <c r="C125" s="31"/>
      <c r="D125" s="31"/>
    </row>
    <row r="126" ht="15.75" customHeight="1">
      <c r="A126" s="31"/>
      <c r="B126" s="31"/>
      <c r="C126" s="31"/>
      <c r="D126" s="31"/>
    </row>
    <row r="127" ht="15.75" customHeight="1">
      <c r="A127" s="31"/>
      <c r="B127" s="31"/>
      <c r="C127" s="31"/>
      <c r="D127" s="31"/>
    </row>
    <row r="128" ht="15.75" customHeight="1">
      <c r="A128" s="31"/>
      <c r="B128" s="31"/>
      <c r="C128" s="31"/>
      <c r="D128" s="31"/>
    </row>
    <row r="129" ht="15.75" customHeight="1">
      <c r="A129" s="31"/>
      <c r="B129" s="31"/>
      <c r="C129" s="31"/>
      <c r="D129" s="31"/>
    </row>
    <row r="130" ht="15.75" customHeight="1">
      <c r="A130" s="31"/>
      <c r="B130" s="31"/>
      <c r="C130" s="31"/>
      <c r="D130" s="31"/>
    </row>
    <row r="131" ht="15.75" customHeight="1">
      <c r="A131" s="31"/>
      <c r="B131" s="31"/>
      <c r="C131" s="31"/>
      <c r="D131" s="31"/>
    </row>
    <row r="132" ht="15.75" customHeight="1">
      <c r="A132" s="31"/>
      <c r="B132" s="31"/>
      <c r="C132" s="31"/>
      <c r="D132" s="31"/>
    </row>
    <row r="133" ht="15.75" customHeight="1">
      <c r="A133" s="31"/>
      <c r="B133" s="31"/>
      <c r="C133" s="31"/>
      <c r="D133" s="31"/>
    </row>
    <row r="134" ht="15.75" customHeight="1">
      <c r="A134" s="31"/>
      <c r="B134" s="31"/>
      <c r="C134" s="31"/>
      <c r="D134" s="31"/>
    </row>
    <row r="135" ht="15.75" customHeight="1">
      <c r="A135" s="31"/>
      <c r="B135" s="31"/>
      <c r="C135" s="31"/>
      <c r="D135" s="31"/>
    </row>
    <row r="136" ht="15.75" customHeight="1">
      <c r="A136" s="31"/>
      <c r="B136" s="31"/>
      <c r="C136" s="31"/>
      <c r="D136" s="31"/>
    </row>
    <row r="137" ht="15.75" customHeight="1">
      <c r="A137" s="31"/>
      <c r="B137" s="31"/>
      <c r="C137" s="31"/>
      <c r="D137" s="31"/>
    </row>
    <row r="138" ht="15.75" customHeight="1">
      <c r="A138" s="31"/>
      <c r="B138" s="31"/>
      <c r="C138" s="31"/>
      <c r="D138" s="31"/>
    </row>
    <row r="139" ht="15.75" customHeight="1">
      <c r="A139" s="31"/>
      <c r="B139" s="31"/>
      <c r="C139" s="31"/>
      <c r="D139" s="31"/>
    </row>
    <row r="140" ht="15.75" customHeight="1">
      <c r="A140" s="31"/>
      <c r="B140" s="31"/>
      <c r="C140" s="31"/>
      <c r="D140" s="31"/>
    </row>
    <row r="141" ht="15.75" customHeight="1">
      <c r="A141" s="31"/>
      <c r="B141" s="31"/>
      <c r="C141" s="31"/>
      <c r="D141" s="31"/>
    </row>
    <row r="142" ht="15.75" customHeight="1">
      <c r="A142" s="31"/>
      <c r="B142" s="31"/>
      <c r="C142" s="31"/>
      <c r="D142" s="31"/>
    </row>
    <row r="143" ht="15.75" customHeight="1">
      <c r="A143" s="31"/>
      <c r="B143" s="31"/>
      <c r="C143" s="31"/>
      <c r="D143" s="31"/>
    </row>
    <row r="144" ht="15.75" customHeight="1">
      <c r="A144" s="31"/>
      <c r="B144" s="31"/>
      <c r="C144" s="31"/>
      <c r="D144" s="31"/>
    </row>
    <row r="145" ht="15.75" customHeight="1">
      <c r="A145" s="31"/>
      <c r="B145" s="31"/>
      <c r="C145" s="31"/>
      <c r="D145" s="31"/>
    </row>
    <row r="146" ht="15.75" customHeight="1">
      <c r="A146" s="31"/>
      <c r="B146" s="31"/>
      <c r="C146" s="31"/>
      <c r="D146" s="31"/>
    </row>
    <row r="147" ht="15.75" customHeight="1">
      <c r="A147" s="31"/>
      <c r="B147" s="31"/>
      <c r="C147" s="31"/>
      <c r="D147" s="31"/>
    </row>
    <row r="148" ht="15.75" customHeight="1">
      <c r="A148" s="31"/>
      <c r="B148" s="31"/>
      <c r="C148" s="31"/>
      <c r="D148" s="31"/>
    </row>
    <row r="149" ht="15.75" customHeight="1">
      <c r="A149" s="31"/>
      <c r="B149" s="31"/>
      <c r="C149" s="31"/>
      <c r="D149" s="31"/>
    </row>
    <row r="150" ht="15.75" customHeight="1">
      <c r="A150" s="31"/>
      <c r="B150" s="31"/>
      <c r="C150" s="31"/>
      <c r="D150" s="31"/>
    </row>
    <row r="151" ht="15.75" customHeight="1">
      <c r="A151" s="31"/>
      <c r="B151" s="31"/>
      <c r="C151" s="31"/>
      <c r="D151" s="31"/>
    </row>
    <row r="152" ht="15.75" customHeight="1">
      <c r="A152" s="31"/>
      <c r="B152" s="31"/>
      <c r="C152" s="31"/>
      <c r="D152" s="31"/>
    </row>
    <row r="153" ht="15.75" customHeight="1">
      <c r="A153" s="31"/>
      <c r="B153" s="31"/>
      <c r="C153" s="31"/>
      <c r="D153" s="31"/>
    </row>
    <row r="154" ht="15.75" customHeight="1">
      <c r="A154" s="31"/>
      <c r="B154" s="31"/>
      <c r="C154" s="31"/>
      <c r="D154" s="31"/>
    </row>
    <row r="155" ht="15.75" customHeight="1">
      <c r="A155" s="31"/>
      <c r="B155" s="31"/>
      <c r="C155" s="31"/>
      <c r="D155" s="31"/>
    </row>
    <row r="156" ht="15.75" customHeight="1">
      <c r="A156" s="31"/>
      <c r="B156" s="31"/>
      <c r="C156" s="31"/>
      <c r="D156" s="31"/>
    </row>
    <row r="157" ht="15.75" customHeight="1">
      <c r="A157" s="31"/>
      <c r="B157" s="31"/>
      <c r="C157" s="31"/>
      <c r="D157" s="31"/>
    </row>
    <row r="158" ht="15.75" customHeight="1">
      <c r="A158" s="31"/>
      <c r="B158" s="31"/>
      <c r="C158" s="31"/>
      <c r="D158" s="31"/>
    </row>
    <row r="159" ht="15.75" customHeight="1">
      <c r="A159" s="31"/>
      <c r="B159" s="31"/>
      <c r="C159" s="31"/>
      <c r="D159" s="31"/>
    </row>
    <row r="160" ht="15.75" customHeight="1">
      <c r="A160" s="31"/>
      <c r="B160" s="31"/>
      <c r="C160" s="31"/>
      <c r="D160" s="31"/>
    </row>
    <row r="161" ht="15.75" customHeight="1">
      <c r="A161" s="31"/>
      <c r="B161" s="31"/>
      <c r="C161" s="31"/>
      <c r="D161" s="31"/>
    </row>
    <row r="162" ht="15.75" customHeight="1">
      <c r="A162" s="31"/>
      <c r="B162" s="31"/>
      <c r="C162" s="31"/>
      <c r="D162" s="31"/>
    </row>
    <row r="163" ht="15.75" customHeight="1">
      <c r="A163" s="31"/>
      <c r="B163" s="31"/>
      <c r="C163" s="31"/>
      <c r="D163" s="31"/>
    </row>
    <row r="164" ht="15.75" customHeight="1">
      <c r="A164" s="31"/>
      <c r="B164" s="31"/>
      <c r="C164" s="31"/>
      <c r="D164" s="31"/>
    </row>
    <row r="165" ht="15.75" customHeight="1">
      <c r="A165" s="31"/>
      <c r="B165" s="31"/>
      <c r="C165" s="31"/>
      <c r="D165" s="31"/>
    </row>
    <row r="166" ht="15.75" customHeight="1">
      <c r="A166" s="31"/>
      <c r="B166" s="31"/>
      <c r="C166" s="31"/>
      <c r="D166" s="31"/>
    </row>
    <row r="167" ht="15.75" customHeight="1">
      <c r="A167" s="31"/>
      <c r="B167" s="31"/>
      <c r="C167" s="31"/>
      <c r="D167" s="31"/>
    </row>
    <row r="168" ht="15.75" customHeight="1">
      <c r="A168" s="31"/>
      <c r="B168" s="31"/>
      <c r="C168" s="31"/>
      <c r="D168" s="31"/>
    </row>
    <row r="169" ht="15.75" customHeight="1">
      <c r="A169" s="31"/>
      <c r="B169" s="31"/>
      <c r="C169" s="31"/>
      <c r="D169" s="31"/>
    </row>
    <row r="170" ht="15.75" customHeight="1">
      <c r="A170" s="31"/>
      <c r="B170" s="31"/>
      <c r="C170" s="31"/>
      <c r="D170" s="31"/>
    </row>
    <row r="171" ht="15.75" customHeight="1">
      <c r="A171" s="31"/>
      <c r="B171" s="31"/>
      <c r="C171" s="31"/>
      <c r="D171" s="31"/>
    </row>
    <row r="172" ht="15.75" customHeight="1">
      <c r="A172" s="31"/>
      <c r="B172" s="31"/>
      <c r="C172" s="31"/>
      <c r="D172" s="31"/>
    </row>
    <row r="173" ht="15.75" customHeight="1">
      <c r="A173" s="31"/>
      <c r="B173" s="31"/>
      <c r="C173" s="31"/>
      <c r="D173" s="31"/>
    </row>
    <row r="174" ht="15.75" customHeight="1">
      <c r="A174" s="31"/>
      <c r="B174" s="31"/>
      <c r="C174" s="31"/>
      <c r="D174" s="31"/>
    </row>
    <row r="175" ht="15.75" customHeight="1">
      <c r="A175" s="31"/>
      <c r="B175" s="31"/>
      <c r="C175" s="31"/>
      <c r="D175" s="31"/>
    </row>
    <row r="176" ht="15.75" customHeight="1">
      <c r="A176" s="31"/>
      <c r="B176" s="31"/>
      <c r="C176" s="31"/>
      <c r="D176" s="31"/>
    </row>
    <row r="177" ht="15.75" customHeight="1">
      <c r="A177" s="31"/>
      <c r="B177" s="31"/>
      <c r="C177" s="31"/>
      <c r="D177" s="31"/>
    </row>
    <row r="178" ht="15.75" customHeight="1">
      <c r="A178" s="31"/>
      <c r="B178" s="31"/>
      <c r="C178" s="31"/>
      <c r="D178" s="31"/>
    </row>
    <row r="179" ht="15.75" customHeight="1">
      <c r="A179" s="31"/>
      <c r="B179" s="31"/>
      <c r="C179" s="31"/>
      <c r="D179" s="31"/>
    </row>
    <row r="180" ht="15.75" customHeight="1">
      <c r="A180" s="31"/>
      <c r="B180" s="31"/>
      <c r="C180" s="31"/>
      <c r="D180" s="31"/>
    </row>
    <row r="181" ht="15.75" customHeight="1">
      <c r="A181" s="31"/>
      <c r="B181" s="31"/>
      <c r="C181" s="31"/>
      <c r="D181" s="31"/>
    </row>
    <row r="182" ht="15.75" customHeight="1">
      <c r="A182" s="31"/>
      <c r="B182" s="31"/>
      <c r="C182" s="31"/>
      <c r="D182" s="31"/>
    </row>
    <row r="183" ht="15.75" customHeight="1">
      <c r="A183" s="31"/>
      <c r="B183" s="31"/>
      <c r="C183" s="31"/>
      <c r="D183" s="31"/>
    </row>
    <row r="184" ht="15.75" customHeight="1">
      <c r="A184" s="31"/>
      <c r="B184" s="31"/>
      <c r="C184" s="31"/>
      <c r="D184" s="31"/>
    </row>
    <row r="185" ht="15.75" customHeight="1">
      <c r="A185" s="31"/>
      <c r="B185" s="31"/>
      <c r="C185" s="31"/>
      <c r="D185" s="31"/>
    </row>
    <row r="186" ht="15.75" customHeight="1">
      <c r="A186" s="31"/>
      <c r="B186" s="31"/>
      <c r="C186" s="31"/>
      <c r="D186" s="31"/>
    </row>
    <row r="187" ht="15.75" customHeight="1">
      <c r="A187" s="31"/>
      <c r="B187" s="31"/>
      <c r="C187" s="31"/>
      <c r="D187" s="31"/>
    </row>
    <row r="188" ht="15.75" customHeight="1">
      <c r="A188" s="31"/>
      <c r="B188" s="31"/>
      <c r="C188" s="31"/>
      <c r="D188" s="31"/>
    </row>
    <row r="189" ht="15.75" customHeight="1">
      <c r="A189" s="31"/>
      <c r="B189" s="31"/>
      <c r="C189" s="31"/>
      <c r="D189" s="31"/>
    </row>
    <row r="190" ht="15.75" customHeight="1">
      <c r="A190" s="31"/>
      <c r="B190" s="31"/>
      <c r="C190" s="31"/>
      <c r="D190" s="31"/>
    </row>
    <row r="191" ht="15.75" customHeight="1">
      <c r="A191" s="31"/>
      <c r="B191" s="31"/>
      <c r="C191" s="31"/>
      <c r="D191" s="31"/>
    </row>
    <row r="192" ht="15.75" customHeight="1">
      <c r="A192" s="31"/>
      <c r="B192" s="31"/>
      <c r="C192" s="31"/>
      <c r="D192" s="31"/>
    </row>
    <row r="193" ht="15.75" customHeight="1">
      <c r="A193" s="31"/>
      <c r="B193" s="31"/>
      <c r="C193" s="31"/>
      <c r="D193" s="31"/>
    </row>
    <row r="194" ht="15.75" customHeight="1">
      <c r="A194" s="31"/>
      <c r="B194" s="31"/>
      <c r="C194" s="31"/>
      <c r="D194" s="31"/>
    </row>
    <row r="195" ht="15.75" customHeight="1">
      <c r="A195" s="31"/>
      <c r="B195" s="31"/>
      <c r="C195" s="31"/>
      <c r="D195" s="31"/>
    </row>
    <row r="196" ht="15.75" customHeight="1">
      <c r="A196" s="31"/>
      <c r="B196" s="31"/>
      <c r="C196" s="31"/>
      <c r="D196" s="31"/>
    </row>
    <row r="197" ht="15.75" customHeight="1">
      <c r="A197" s="31"/>
      <c r="B197" s="31"/>
      <c r="C197" s="31"/>
      <c r="D197" s="31"/>
    </row>
    <row r="198" ht="15.75" customHeight="1">
      <c r="A198" s="31"/>
      <c r="B198" s="31"/>
      <c r="C198" s="31"/>
      <c r="D198" s="31"/>
    </row>
    <row r="199" ht="15.75" customHeight="1">
      <c r="A199" s="31"/>
      <c r="B199" s="31"/>
      <c r="C199" s="31"/>
      <c r="D199" s="31"/>
    </row>
    <row r="200" ht="15.75" customHeight="1">
      <c r="A200" s="31"/>
      <c r="B200" s="31"/>
      <c r="C200" s="31"/>
      <c r="D200" s="31"/>
    </row>
    <row r="201" ht="15.75" customHeight="1">
      <c r="A201" s="31"/>
      <c r="B201" s="31"/>
      <c r="C201" s="31"/>
      <c r="D201" s="31"/>
    </row>
    <row r="202" ht="15.75" customHeight="1">
      <c r="A202" s="31"/>
      <c r="B202" s="31"/>
      <c r="C202" s="31"/>
      <c r="D202" s="31"/>
    </row>
    <row r="203" ht="15.75" customHeight="1">
      <c r="A203" s="31"/>
      <c r="B203" s="31"/>
      <c r="C203" s="31"/>
      <c r="D203" s="31"/>
    </row>
    <row r="204" ht="15.75" customHeight="1">
      <c r="A204" s="31"/>
      <c r="B204" s="31"/>
      <c r="C204" s="31"/>
      <c r="D204" s="31"/>
    </row>
    <row r="205" ht="15.75" customHeight="1">
      <c r="A205" s="31"/>
      <c r="B205" s="31"/>
      <c r="C205" s="31"/>
      <c r="D205" s="31"/>
    </row>
    <row r="206" ht="15.75" customHeight="1">
      <c r="A206" s="31"/>
      <c r="B206" s="31"/>
      <c r="C206" s="31"/>
      <c r="D206" s="31"/>
    </row>
    <row r="207" ht="15.75" customHeight="1">
      <c r="A207" s="31"/>
      <c r="B207" s="31"/>
      <c r="C207" s="31"/>
      <c r="D207" s="31"/>
    </row>
    <row r="208" ht="15.75" customHeight="1">
      <c r="A208" s="31"/>
      <c r="B208" s="31"/>
      <c r="C208" s="31"/>
      <c r="D208" s="31"/>
    </row>
    <row r="209" ht="15.75" customHeight="1">
      <c r="A209" s="31"/>
      <c r="B209" s="31"/>
      <c r="C209" s="31"/>
      <c r="D209" s="31"/>
    </row>
    <row r="210" ht="15.75" customHeight="1">
      <c r="A210" s="31"/>
      <c r="B210" s="31"/>
      <c r="C210" s="31"/>
      <c r="D210" s="31"/>
    </row>
    <row r="211" ht="15.75" customHeight="1">
      <c r="A211" s="31"/>
      <c r="B211" s="31"/>
      <c r="C211" s="31"/>
      <c r="D211" s="31"/>
    </row>
    <row r="212" ht="15.75" customHeight="1">
      <c r="A212" s="31"/>
      <c r="B212" s="31"/>
      <c r="C212" s="31"/>
      <c r="D212" s="31"/>
    </row>
    <row r="213" ht="15.75" customHeight="1">
      <c r="A213" s="31"/>
      <c r="B213" s="31"/>
      <c r="C213" s="31"/>
      <c r="D213" s="31"/>
    </row>
    <row r="214" ht="15.75" customHeight="1">
      <c r="A214" s="31"/>
      <c r="B214" s="31"/>
      <c r="C214" s="31"/>
      <c r="D214" s="31"/>
    </row>
    <row r="215" ht="15.75" customHeight="1">
      <c r="A215" s="31"/>
      <c r="B215" s="31"/>
      <c r="C215" s="31"/>
      <c r="D215" s="31"/>
    </row>
    <row r="216" ht="15.75" customHeight="1">
      <c r="A216" s="31"/>
      <c r="B216" s="31"/>
      <c r="C216" s="31"/>
      <c r="D216" s="31"/>
    </row>
    <row r="217" ht="15.75" customHeight="1">
      <c r="A217" s="31"/>
      <c r="B217" s="31"/>
      <c r="C217" s="31"/>
      <c r="D217" s="31"/>
    </row>
    <row r="218" ht="15.75" customHeight="1">
      <c r="A218" s="31"/>
      <c r="B218" s="31"/>
      <c r="C218" s="31"/>
      <c r="D218" s="31"/>
    </row>
    <row r="219" ht="15.75" customHeight="1">
      <c r="A219" s="31"/>
      <c r="B219" s="31"/>
      <c r="C219" s="31"/>
      <c r="D219" s="31"/>
    </row>
    <row r="220" ht="15.75" customHeight="1">
      <c r="A220" s="31"/>
      <c r="B220" s="31"/>
      <c r="C220" s="31"/>
      <c r="D220" s="31"/>
    </row>
    <row r="221" ht="15.75" customHeight="1">
      <c r="A221" s="31"/>
      <c r="B221" s="31"/>
      <c r="C221" s="31"/>
      <c r="D221" s="31"/>
    </row>
    <row r="222" ht="15.75" customHeight="1">
      <c r="A222" s="31"/>
      <c r="B222" s="31"/>
      <c r="C222" s="31"/>
      <c r="D222" s="31"/>
    </row>
    <row r="223" ht="15.75" customHeight="1">
      <c r="A223" s="31"/>
      <c r="B223" s="31"/>
      <c r="C223" s="31"/>
      <c r="D223" s="31"/>
    </row>
    <row r="224" ht="15.75" customHeight="1">
      <c r="A224" s="31"/>
      <c r="B224" s="31"/>
      <c r="C224" s="31"/>
      <c r="D224" s="31"/>
    </row>
    <row r="225" ht="15.75" customHeight="1">
      <c r="A225" s="31"/>
      <c r="B225" s="31"/>
      <c r="C225" s="31"/>
      <c r="D225" s="31"/>
    </row>
    <row r="226" ht="15.75" customHeight="1">
      <c r="A226" s="31"/>
      <c r="B226" s="31"/>
      <c r="C226" s="31"/>
      <c r="D226" s="31"/>
    </row>
    <row r="227" ht="15.75" customHeight="1">
      <c r="A227" s="31"/>
      <c r="B227" s="31"/>
      <c r="C227" s="31"/>
      <c r="D227" s="31"/>
    </row>
    <row r="228" ht="15.75" customHeight="1">
      <c r="A228" s="31"/>
      <c r="B228" s="31"/>
      <c r="C228" s="31"/>
      <c r="D228" s="31"/>
    </row>
    <row r="229" ht="15.75" customHeight="1">
      <c r="A229" s="31"/>
      <c r="B229" s="31"/>
      <c r="C229" s="31"/>
      <c r="D229" s="31"/>
    </row>
    <row r="230" ht="15.75" customHeight="1">
      <c r="A230" s="31"/>
      <c r="B230" s="31"/>
      <c r="C230" s="31"/>
      <c r="D230" s="31"/>
    </row>
    <row r="231" ht="15.75" customHeight="1">
      <c r="A231" s="31"/>
      <c r="B231" s="31"/>
      <c r="C231" s="31"/>
      <c r="D231" s="31"/>
    </row>
    <row r="232" ht="15.75" customHeight="1">
      <c r="A232" s="31"/>
      <c r="B232" s="31"/>
      <c r="C232" s="31"/>
      <c r="D232" s="31"/>
    </row>
    <row r="233" ht="15.75" customHeight="1">
      <c r="A233" s="31"/>
      <c r="B233" s="31"/>
      <c r="C233" s="31"/>
      <c r="D233" s="31"/>
    </row>
    <row r="234" ht="15.75" customHeight="1">
      <c r="A234" s="31"/>
      <c r="B234" s="31"/>
      <c r="C234" s="31"/>
      <c r="D234" s="31"/>
    </row>
    <row r="235" ht="15.75" customHeight="1">
      <c r="A235" s="31"/>
      <c r="B235" s="31"/>
      <c r="C235" s="31"/>
      <c r="D235" s="31"/>
    </row>
    <row r="236" ht="15.75" customHeight="1">
      <c r="A236" s="31"/>
      <c r="B236" s="31"/>
      <c r="C236" s="31"/>
      <c r="D236" s="31"/>
    </row>
    <row r="237" ht="15.75" customHeight="1">
      <c r="A237" s="31"/>
      <c r="B237" s="31"/>
      <c r="C237" s="31"/>
      <c r="D237" s="31"/>
    </row>
    <row r="238" ht="15.75" customHeight="1">
      <c r="A238" s="31"/>
      <c r="B238" s="31"/>
      <c r="C238" s="31"/>
      <c r="D238" s="31"/>
    </row>
    <row r="239" ht="15.75" customHeight="1">
      <c r="A239" s="31"/>
      <c r="B239" s="31"/>
      <c r="C239" s="31"/>
      <c r="D239" s="31"/>
    </row>
    <row r="240" ht="15.75" customHeight="1">
      <c r="A240" s="31"/>
      <c r="B240" s="31"/>
      <c r="C240" s="31"/>
      <c r="D240" s="31"/>
    </row>
    <row r="241" ht="15.75" customHeight="1">
      <c r="A241" s="31"/>
      <c r="B241" s="31"/>
      <c r="C241" s="31"/>
      <c r="D241" s="31"/>
    </row>
    <row r="242" ht="15.75" customHeight="1">
      <c r="A242" s="31"/>
      <c r="B242" s="31"/>
      <c r="C242" s="31"/>
      <c r="D242" s="31"/>
    </row>
    <row r="243" ht="15.75" customHeight="1">
      <c r="A243" s="31"/>
      <c r="B243" s="31"/>
      <c r="C243" s="31"/>
      <c r="D243" s="31"/>
    </row>
    <row r="244" ht="15.75" customHeight="1">
      <c r="A244" s="31"/>
      <c r="B244" s="31"/>
      <c r="C244" s="31"/>
      <c r="D244" s="31"/>
    </row>
    <row r="245" ht="15.75" customHeight="1">
      <c r="A245" s="31"/>
      <c r="B245" s="31"/>
      <c r="C245" s="31"/>
      <c r="D245" s="31"/>
    </row>
    <row r="246" ht="15.75" customHeight="1">
      <c r="A246" s="31"/>
      <c r="B246" s="31"/>
      <c r="C246" s="31"/>
      <c r="D246" s="31"/>
    </row>
    <row r="247" ht="15.75" customHeight="1">
      <c r="A247" s="31"/>
      <c r="B247" s="31"/>
      <c r="C247" s="31"/>
      <c r="D247" s="31"/>
    </row>
    <row r="248" ht="15.75" customHeight="1">
      <c r="A248" s="31"/>
      <c r="B248" s="31"/>
      <c r="C248" s="31"/>
      <c r="D248" s="31"/>
    </row>
    <row r="249" ht="15.75" customHeight="1">
      <c r="A249" s="31"/>
      <c r="B249" s="31"/>
      <c r="C249" s="31"/>
      <c r="D249" s="31"/>
    </row>
    <row r="250" ht="15.75" customHeight="1">
      <c r="A250" s="31"/>
      <c r="B250" s="31"/>
      <c r="C250" s="31"/>
      <c r="D250" s="31"/>
    </row>
    <row r="251" ht="15.75" customHeight="1">
      <c r="A251" s="31"/>
      <c r="B251" s="31"/>
      <c r="C251" s="31"/>
      <c r="D251" s="31"/>
    </row>
    <row r="252" ht="15.75" customHeight="1">
      <c r="A252" s="31"/>
      <c r="B252" s="31"/>
      <c r="C252" s="31"/>
      <c r="D252" s="31"/>
    </row>
    <row r="253" ht="15.75" customHeight="1">
      <c r="A253" s="31"/>
      <c r="B253" s="31"/>
      <c r="C253" s="31"/>
      <c r="D253" s="31"/>
    </row>
    <row r="254" ht="15.75" customHeight="1">
      <c r="A254" s="31"/>
      <c r="B254" s="31"/>
      <c r="C254" s="31"/>
      <c r="D254" s="31"/>
    </row>
    <row r="255" ht="15.75" customHeight="1">
      <c r="A255" s="31"/>
      <c r="B255" s="31"/>
      <c r="C255" s="31"/>
      <c r="D255" s="31"/>
    </row>
    <row r="256" ht="15.75" customHeight="1">
      <c r="A256" s="31"/>
      <c r="B256" s="31"/>
      <c r="C256" s="31"/>
      <c r="D256" s="31"/>
    </row>
    <row r="257" ht="15.75" customHeight="1">
      <c r="A257" s="31"/>
      <c r="B257" s="31"/>
      <c r="C257" s="31"/>
      <c r="D257" s="31"/>
    </row>
    <row r="258" ht="15.75" customHeight="1">
      <c r="A258" s="31"/>
      <c r="B258" s="31"/>
      <c r="C258" s="31"/>
      <c r="D258" s="31"/>
    </row>
    <row r="259" ht="15.75" customHeight="1">
      <c r="A259" s="31"/>
      <c r="B259" s="31"/>
      <c r="C259" s="31"/>
      <c r="D259" s="31"/>
    </row>
    <row r="260" ht="15.75" customHeight="1">
      <c r="A260" s="31"/>
      <c r="B260" s="31"/>
      <c r="C260" s="31"/>
      <c r="D260" s="31"/>
    </row>
    <row r="261" ht="15.75" customHeight="1">
      <c r="A261" s="31"/>
      <c r="B261" s="31"/>
      <c r="C261" s="31"/>
      <c r="D261" s="31"/>
    </row>
    <row r="262" ht="15.75" customHeight="1">
      <c r="A262" s="31"/>
      <c r="B262" s="31"/>
      <c r="C262" s="31"/>
      <c r="D262" s="31"/>
    </row>
    <row r="263" ht="15.75" customHeight="1">
      <c r="A263" s="31"/>
      <c r="B263" s="31"/>
      <c r="C263" s="31"/>
      <c r="D263" s="31"/>
    </row>
    <row r="264" ht="15.75" customHeight="1">
      <c r="A264" s="31"/>
      <c r="B264" s="31"/>
      <c r="C264" s="31"/>
      <c r="D264" s="31"/>
    </row>
    <row r="265" ht="15.75" customHeight="1">
      <c r="A265" s="31"/>
      <c r="B265" s="31"/>
      <c r="C265" s="31"/>
      <c r="D265" s="31"/>
    </row>
    <row r="266" ht="15.75" customHeight="1">
      <c r="A266" s="31"/>
      <c r="B266" s="31"/>
      <c r="C266" s="31"/>
      <c r="D266" s="31"/>
    </row>
    <row r="267" ht="15.75" customHeight="1">
      <c r="A267" s="31"/>
      <c r="B267" s="31"/>
      <c r="C267" s="31"/>
      <c r="D267" s="31"/>
    </row>
    <row r="268" ht="15.75" customHeight="1">
      <c r="A268" s="31"/>
      <c r="B268" s="31"/>
      <c r="C268" s="31"/>
      <c r="D268" s="31"/>
    </row>
    <row r="269" ht="15.75" customHeight="1">
      <c r="A269" s="31"/>
      <c r="B269" s="31"/>
      <c r="C269" s="31"/>
      <c r="D269" s="31"/>
    </row>
    <row r="270" ht="15.75" customHeight="1">
      <c r="A270" s="31"/>
      <c r="B270" s="31"/>
      <c r="C270" s="31"/>
      <c r="D270" s="31"/>
    </row>
    <row r="271" ht="15.75" customHeight="1">
      <c r="A271" s="31"/>
      <c r="B271" s="31"/>
      <c r="C271" s="31"/>
      <c r="D271" s="31"/>
    </row>
    <row r="272" ht="15.75" customHeight="1">
      <c r="A272" s="31"/>
      <c r="B272" s="31"/>
      <c r="C272" s="31"/>
      <c r="D272" s="31"/>
    </row>
    <row r="273" ht="15.75" customHeight="1">
      <c r="A273" s="31"/>
      <c r="B273" s="31"/>
      <c r="C273" s="31"/>
      <c r="D273" s="31"/>
    </row>
    <row r="274" ht="15.75" customHeight="1">
      <c r="A274" s="31"/>
      <c r="B274" s="31"/>
      <c r="C274" s="31"/>
      <c r="D274" s="31"/>
    </row>
    <row r="275" ht="15.75" customHeight="1">
      <c r="A275" s="31"/>
      <c r="B275" s="31"/>
      <c r="C275" s="31"/>
      <c r="D275" s="31"/>
    </row>
    <row r="276" ht="15.75" customHeight="1">
      <c r="A276" s="31"/>
      <c r="B276" s="31"/>
      <c r="C276" s="31"/>
      <c r="D276" s="31"/>
    </row>
    <row r="277" ht="15.75" customHeight="1">
      <c r="A277" s="31"/>
      <c r="B277" s="31"/>
      <c r="C277" s="31"/>
      <c r="D277" s="31"/>
    </row>
    <row r="278" ht="15.75" customHeight="1">
      <c r="A278" s="31"/>
      <c r="B278" s="31"/>
      <c r="C278" s="31"/>
      <c r="D278" s="31"/>
    </row>
    <row r="279" ht="15.75" customHeight="1">
      <c r="A279" s="31"/>
      <c r="B279" s="31"/>
      <c r="C279" s="31"/>
      <c r="D279" s="31"/>
    </row>
    <row r="280" ht="15.75" customHeight="1">
      <c r="A280" s="31"/>
      <c r="B280" s="31"/>
      <c r="C280" s="31"/>
      <c r="D280" s="31"/>
    </row>
    <row r="281" ht="15.75" customHeight="1">
      <c r="A281" s="31"/>
      <c r="B281" s="31"/>
      <c r="C281" s="31"/>
      <c r="D281" s="31"/>
    </row>
    <row r="282" ht="15.75" customHeight="1">
      <c r="A282" s="31"/>
      <c r="B282" s="31"/>
      <c r="C282" s="31"/>
      <c r="D282" s="31"/>
    </row>
    <row r="283" ht="15.75" customHeight="1">
      <c r="A283" s="31"/>
      <c r="B283" s="31"/>
      <c r="C283" s="31"/>
      <c r="D283" s="31"/>
    </row>
    <row r="284" ht="15.75" customHeight="1">
      <c r="A284" s="31"/>
      <c r="B284" s="31"/>
      <c r="C284" s="31"/>
      <c r="D284" s="31"/>
    </row>
    <row r="285" ht="15.75" customHeight="1">
      <c r="A285" s="31"/>
      <c r="B285" s="31"/>
      <c r="C285" s="31"/>
      <c r="D285" s="31"/>
    </row>
    <row r="286" ht="15.75" customHeight="1">
      <c r="A286" s="31"/>
      <c r="B286" s="31"/>
      <c r="C286" s="31"/>
      <c r="D286" s="31"/>
    </row>
    <row r="287" ht="15.75" customHeight="1">
      <c r="A287" s="31"/>
      <c r="B287" s="31"/>
      <c r="C287" s="31"/>
      <c r="D287" s="31"/>
    </row>
    <row r="288" ht="15.75" customHeight="1">
      <c r="A288" s="31"/>
      <c r="B288" s="31"/>
      <c r="C288" s="31"/>
      <c r="D288" s="31"/>
    </row>
    <row r="289" ht="15.75" customHeight="1">
      <c r="A289" s="31"/>
      <c r="B289" s="31"/>
      <c r="C289" s="31"/>
      <c r="D289" s="31"/>
    </row>
    <row r="290" ht="15.75" customHeight="1">
      <c r="A290" s="31"/>
      <c r="B290" s="31"/>
      <c r="C290" s="31"/>
      <c r="D290" s="31"/>
    </row>
    <row r="291" ht="15.75" customHeight="1">
      <c r="A291" s="31"/>
      <c r="B291" s="31"/>
      <c r="C291" s="31"/>
      <c r="D291" s="31"/>
    </row>
    <row r="292" ht="15.75" customHeight="1">
      <c r="A292" s="31"/>
      <c r="B292" s="31"/>
      <c r="C292" s="31"/>
      <c r="D292" s="31"/>
    </row>
    <row r="293" ht="15.75" customHeight="1">
      <c r="A293" s="31"/>
      <c r="B293" s="31"/>
      <c r="C293" s="31"/>
      <c r="D293" s="31"/>
    </row>
    <row r="294" ht="15.75" customHeight="1">
      <c r="A294" s="31"/>
      <c r="B294" s="31"/>
      <c r="C294" s="31"/>
      <c r="D294" s="31"/>
    </row>
    <row r="295" ht="15.75" customHeight="1">
      <c r="A295" s="31"/>
      <c r="B295" s="31"/>
      <c r="C295" s="31"/>
      <c r="D295" s="31"/>
    </row>
    <row r="296" ht="15.75" customHeight="1">
      <c r="A296" s="31"/>
      <c r="B296" s="31"/>
      <c r="C296" s="31"/>
      <c r="D296" s="31"/>
    </row>
    <row r="297" ht="15.75" customHeight="1">
      <c r="A297" s="31"/>
      <c r="B297" s="31"/>
      <c r="C297" s="31"/>
      <c r="D297" s="31"/>
    </row>
    <row r="298" ht="15.75" customHeight="1">
      <c r="A298" s="31"/>
      <c r="B298" s="31"/>
      <c r="C298" s="31"/>
      <c r="D298" s="31"/>
    </row>
    <row r="299" ht="15.75" customHeight="1">
      <c r="A299" s="31"/>
      <c r="B299" s="31"/>
      <c r="C299" s="31"/>
      <c r="D299" s="31"/>
    </row>
    <row r="300" ht="15.75" customHeight="1">
      <c r="A300" s="31"/>
      <c r="B300" s="31"/>
      <c r="C300" s="31"/>
      <c r="D300" s="31"/>
    </row>
    <row r="301" ht="15.75" customHeight="1">
      <c r="A301" s="31"/>
      <c r="B301" s="31"/>
      <c r="C301" s="31"/>
      <c r="D301" s="31"/>
    </row>
    <row r="302" ht="15.75" customHeight="1">
      <c r="A302" s="31"/>
      <c r="B302" s="31"/>
      <c r="C302" s="31"/>
      <c r="D302" s="31"/>
    </row>
    <row r="303" ht="15.75" customHeight="1">
      <c r="A303" s="31"/>
      <c r="B303" s="31"/>
      <c r="C303" s="31"/>
      <c r="D303" s="31"/>
    </row>
    <row r="304" ht="15.75" customHeight="1">
      <c r="A304" s="31"/>
      <c r="B304" s="31"/>
      <c r="C304" s="31"/>
      <c r="D304" s="31"/>
    </row>
    <row r="305" ht="15.75" customHeight="1">
      <c r="A305" s="31"/>
      <c r="B305" s="31"/>
      <c r="C305" s="31"/>
      <c r="D305" s="31"/>
    </row>
    <row r="306" ht="15.75" customHeight="1">
      <c r="A306" s="31"/>
      <c r="B306" s="31"/>
      <c r="C306" s="31"/>
      <c r="D306" s="31"/>
    </row>
    <row r="307" ht="15.75" customHeight="1">
      <c r="A307" s="31"/>
      <c r="B307" s="31"/>
      <c r="C307" s="31"/>
      <c r="D307" s="31"/>
    </row>
    <row r="308" ht="15.75" customHeight="1">
      <c r="A308" s="31"/>
      <c r="B308" s="31"/>
      <c r="C308" s="31"/>
      <c r="D308" s="31"/>
    </row>
    <row r="309" ht="15.75" customHeight="1">
      <c r="A309" s="31"/>
      <c r="B309" s="31"/>
      <c r="C309" s="31"/>
      <c r="D309" s="31"/>
    </row>
    <row r="310" ht="15.75" customHeight="1">
      <c r="A310" s="31"/>
      <c r="B310" s="31"/>
      <c r="C310" s="31"/>
      <c r="D310" s="31"/>
    </row>
    <row r="311" ht="15.75" customHeight="1">
      <c r="A311" s="31"/>
      <c r="B311" s="31"/>
      <c r="C311" s="31"/>
      <c r="D311" s="31"/>
    </row>
    <row r="312" ht="15.75" customHeight="1">
      <c r="A312" s="31"/>
      <c r="B312" s="31"/>
      <c r="C312" s="31"/>
      <c r="D312" s="31"/>
    </row>
    <row r="313" ht="15.75" customHeight="1">
      <c r="A313" s="31"/>
      <c r="B313" s="31"/>
      <c r="C313" s="31"/>
      <c r="D313" s="31"/>
    </row>
    <row r="314" ht="15.75" customHeight="1">
      <c r="A314" s="31"/>
      <c r="B314" s="31"/>
      <c r="C314" s="31"/>
      <c r="D314" s="31"/>
    </row>
    <row r="315" ht="15.75" customHeight="1">
      <c r="A315" s="31"/>
      <c r="B315" s="31"/>
      <c r="C315" s="31"/>
      <c r="D315" s="31"/>
    </row>
    <row r="316" ht="15.75" customHeight="1">
      <c r="A316" s="31"/>
      <c r="B316" s="31"/>
      <c r="C316" s="31"/>
      <c r="D316" s="31"/>
    </row>
    <row r="317" ht="15.75" customHeight="1">
      <c r="A317" s="31"/>
      <c r="B317" s="31"/>
      <c r="C317" s="31"/>
      <c r="D317" s="31"/>
    </row>
    <row r="318" ht="15.75" customHeight="1">
      <c r="A318" s="31"/>
      <c r="B318" s="31"/>
      <c r="C318" s="31"/>
      <c r="D318" s="31"/>
    </row>
    <row r="319" ht="15.75" customHeight="1">
      <c r="A319" s="31"/>
      <c r="B319" s="31"/>
      <c r="C319" s="31"/>
      <c r="D319" s="31"/>
    </row>
    <row r="320" ht="15.75" customHeight="1">
      <c r="A320" s="31"/>
      <c r="B320" s="31"/>
      <c r="C320" s="31"/>
      <c r="D320" s="31"/>
    </row>
    <row r="321" ht="15.75" customHeight="1">
      <c r="A321" s="31"/>
      <c r="B321" s="31"/>
      <c r="C321" s="31"/>
      <c r="D321" s="31"/>
    </row>
    <row r="322" ht="15.75" customHeight="1">
      <c r="A322" s="31"/>
      <c r="B322" s="31"/>
      <c r="C322" s="31"/>
      <c r="D322" s="31"/>
    </row>
    <row r="323" ht="15.75" customHeight="1">
      <c r="A323" s="31"/>
      <c r="B323" s="31"/>
      <c r="C323" s="31"/>
      <c r="D323" s="31"/>
    </row>
    <row r="324" ht="15.75" customHeight="1">
      <c r="A324" s="31"/>
      <c r="B324" s="31"/>
      <c r="C324" s="31"/>
      <c r="D324" s="31"/>
    </row>
    <row r="325" ht="15.75" customHeight="1">
      <c r="A325" s="31"/>
      <c r="B325" s="31"/>
      <c r="C325" s="31"/>
      <c r="D325" s="31"/>
    </row>
    <row r="326" ht="15.75" customHeight="1">
      <c r="A326" s="31"/>
      <c r="B326" s="31"/>
      <c r="C326" s="31"/>
      <c r="D326" s="31"/>
    </row>
    <row r="327" ht="15.75" customHeight="1">
      <c r="A327" s="31"/>
      <c r="B327" s="31"/>
      <c r="C327" s="31"/>
      <c r="D327" s="31"/>
    </row>
    <row r="328" ht="15.75" customHeight="1">
      <c r="A328" s="31"/>
      <c r="B328" s="31"/>
      <c r="C328" s="31"/>
      <c r="D328" s="31"/>
    </row>
    <row r="329" ht="15.75" customHeight="1">
      <c r="A329" s="31"/>
      <c r="B329" s="31"/>
      <c r="C329" s="31"/>
      <c r="D329" s="31"/>
    </row>
    <row r="330" ht="15.75" customHeight="1">
      <c r="A330" s="31"/>
      <c r="B330" s="31"/>
      <c r="C330" s="31"/>
      <c r="D330" s="31"/>
    </row>
    <row r="331" ht="15.75" customHeight="1">
      <c r="A331" s="31"/>
      <c r="B331" s="31"/>
      <c r="C331" s="31"/>
      <c r="D331" s="31"/>
    </row>
    <row r="332" ht="15.75" customHeight="1">
      <c r="A332" s="31"/>
      <c r="B332" s="31"/>
      <c r="C332" s="31"/>
      <c r="D332" s="31"/>
    </row>
    <row r="333" ht="15.75" customHeight="1">
      <c r="A333" s="31"/>
      <c r="B333" s="31"/>
      <c r="C333" s="31"/>
      <c r="D333" s="31"/>
    </row>
    <row r="334" ht="15.75" customHeight="1">
      <c r="A334" s="31"/>
      <c r="B334" s="31"/>
      <c r="C334" s="31"/>
      <c r="D334" s="31"/>
    </row>
    <row r="335" ht="15.75" customHeight="1">
      <c r="A335" s="31"/>
      <c r="B335" s="31"/>
      <c r="C335" s="31"/>
      <c r="D335" s="31"/>
    </row>
    <row r="336" ht="15.75" customHeight="1">
      <c r="A336" s="31"/>
      <c r="B336" s="31"/>
      <c r="C336" s="31"/>
      <c r="D336" s="31"/>
    </row>
    <row r="337" ht="15.75" customHeight="1">
      <c r="A337" s="31"/>
      <c r="B337" s="31"/>
      <c r="C337" s="31"/>
      <c r="D337" s="31"/>
    </row>
    <row r="338" ht="15.75" customHeight="1">
      <c r="A338" s="31"/>
      <c r="B338" s="31"/>
      <c r="C338" s="31"/>
      <c r="D338" s="31"/>
    </row>
    <row r="339" ht="15.75" customHeight="1">
      <c r="A339" s="31"/>
      <c r="B339" s="31"/>
      <c r="C339" s="31"/>
      <c r="D339" s="31"/>
    </row>
    <row r="340" ht="15.75" customHeight="1">
      <c r="A340" s="31"/>
      <c r="B340" s="31"/>
      <c r="C340" s="31"/>
      <c r="D340" s="31"/>
    </row>
    <row r="341" ht="15.75" customHeight="1">
      <c r="A341" s="31"/>
      <c r="B341" s="31"/>
      <c r="C341" s="31"/>
      <c r="D341" s="31"/>
    </row>
    <row r="342" ht="15.75" customHeight="1">
      <c r="A342" s="31"/>
      <c r="B342" s="31"/>
      <c r="C342" s="31"/>
      <c r="D342" s="31"/>
    </row>
    <row r="343" ht="15.75" customHeight="1">
      <c r="A343" s="31"/>
      <c r="B343" s="31"/>
      <c r="C343" s="31"/>
      <c r="D343" s="31"/>
    </row>
    <row r="344" ht="15.75" customHeight="1">
      <c r="A344" s="31"/>
      <c r="B344" s="31"/>
      <c r="C344" s="31"/>
      <c r="D344" s="31"/>
    </row>
    <row r="345" ht="15.75" customHeight="1">
      <c r="A345" s="31"/>
      <c r="B345" s="31"/>
      <c r="C345" s="31"/>
      <c r="D345" s="31"/>
    </row>
    <row r="346" ht="15.75" customHeight="1">
      <c r="A346" s="31"/>
      <c r="B346" s="31"/>
      <c r="C346" s="31"/>
      <c r="D346" s="31"/>
    </row>
    <row r="347" ht="15.75" customHeight="1">
      <c r="A347" s="31"/>
      <c r="B347" s="31"/>
      <c r="C347" s="31"/>
      <c r="D347" s="31"/>
    </row>
    <row r="348" ht="15.75" customHeight="1">
      <c r="A348" s="31"/>
      <c r="B348" s="31"/>
      <c r="C348" s="31"/>
      <c r="D348" s="31"/>
    </row>
    <row r="349" ht="15.75" customHeight="1">
      <c r="A349" s="31"/>
      <c r="B349" s="31"/>
      <c r="C349" s="31"/>
      <c r="D349" s="31"/>
    </row>
    <row r="350" ht="15.75" customHeight="1">
      <c r="A350" s="31"/>
      <c r="B350" s="31"/>
      <c r="C350" s="31"/>
      <c r="D350" s="31"/>
    </row>
    <row r="351" ht="15.75" customHeight="1">
      <c r="A351" s="31"/>
      <c r="B351" s="31"/>
      <c r="C351" s="31"/>
      <c r="D351" s="31"/>
    </row>
    <row r="352" ht="15.75" customHeight="1">
      <c r="A352" s="31"/>
      <c r="B352" s="31"/>
      <c r="C352" s="31"/>
      <c r="D352" s="31"/>
    </row>
    <row r="353" ht="15.75" customHeight="1">
      <c r="A353" s="31"/>
      <c r="B353" s="31"/>
      <c r="C353" s="31"/>
      <c r="D353" s="31"/>
    </row>
    <row r="354" ht="15.75" customHeight="1">
      <c r="A354" s="31"/>
      <c r="B354" s="31"/>
      <c r="C354" s="31"/>
      <c r="D354" s="31"/>
    </row>
    <row r="355" ht="15.75" customHeight="1">
      <c r="A355" s="31"/>
      <c r="B355" s="31"/>
      <c r="C355" s="31"/>
      <c r="D355" s="31"/>
    </row>
    <row r="356" ht="15.75" customHeight="1">
      <c r="A356" s="31"/>
      <c r="B356" s="31"/>
      <c r="C356" s="31"/>
      <c r="D356" s="31"/>
    </row>
    <row r="357" ht="15.75" customHeight="1">
      <c r="A357" s="31"/>
      <c r="B357" s="31"/>
      <c r="C357" s="31"/>
      <c r="D357" s="31"/>
    </row>
    <row r="358" ht="15.75" customHeight="1">
      <c r="A358" s="31"/>
      <c r="B358" s="31"/>
      <c r="C358" s="31"/>
      <c r="D358" s="31"/>
    </row>
    <row r="359" ht="15.75" customHeight="1">
      <c r="A359" s="31"/>
      <c r="B359" s="31"/>
      <c r="C359" s="31"/>
      <c r="D359" s="31"/>
    </row>
    <row r="360" ht="15.75" customHeight="1">
      <c r="A360" s="31"/>
      <c r="B360" s="31"/>
      <c r="C360" s="31"/>
      <c r="D360" s="31"/>
    </row>
    <row r="361" ht="15.75" customHeight="1">
      <c r="A361" s="31"/>
      <c r="B361" s="31"/>
      <c r="C361" s="31"/>
      <c r="D361" s="31"/>
    </row>
    <row r="362" ht="15.75" customHeight="1">
      <c r="A362" s="31"/>
      <c r="B362" s="31"/>
      <c r="C362" s="31"/>
      <c r="D362" s="31"/>
    </row>
    <row r="363" ht="15.75" customHeight="1">
      <c r="A363" s="31"/>
      <c r="B363" s="31"/>
      <c r="C363" s="31"/>
      <c r="D363" s="31"/>
    </row>
    <row r="364" ht="15.75" customHeight="1">
      <c r="A364" s="31"/>
      <c r="B364" s="31"/>
      <c r="C364" s="31"/>
      <c r="D364" s="31"/>
    </row>
    <row r="365" ht="15.75" customHeight="1">
      <c r="A365" s="31"/>
      <c r="B365" s="31"/>
      <c r="C365" s="31"/>
      <c r="D365" s="31"/>
    </row>
    <row r="366" ht="15.75" customHeight="1">
      <c r="A366" s="31"/>
      <c r="B366" s="31"/>
      <c r="C366" s="31"/>
      <c r="D366" s="31"/>
    </row>
    <row r="367" ht="15.75" customHeight="1">
      <c r="A367" s="31"/>
      <c r="B367" s="31"/>
      <c r="C367" s="31"/>
      <c r="D367" s="31"/>
    </row>
    <row r="368" ht="15.75" customHeight="1">
      <c r="A368" s="31"/>
      <c r="B368" s="31"/>
      <c r="C368" s="31"/>
      <c r="D368" s="31"/>
    </row>
    <row r="369" ht="15.75" customHeight="1">
      <c r="A369" s="31"/>
      <c r="B369" s="31"/>
      <c r="C369" s="31"/>
      <c r="D369" s="31"/>
    </row>
    <row r="370" ht="15.75" customHeight="1">
      <c r="A370" s="31"/>
      <c r="B370" s="31"/>
      <c r="C370" s="31"/>
      <c r="D370" s="31"/>
    </row>
    <row r="371" ht="15.75" customHeight="1">
      <c r="A371" s="31"/>
      <c r="B371" s="31"/>
      <c r="C371" s="31"/>
      <c r="D371" s="31"/>
    </row>
    <row r="372" ht="15.75" customHeight="1">
      <c r="A372" s="31"/>
      <c r="B372" s="31"/>
      <c r="C372" s="31"/>
      <c r="D372" s="31"/>
    </row>
    <row r="373" ht="15.75" customHeight="1">
      <c r="A373" s="31"/>
      <c r="B373" s="31"/>
      <c r="C373" s="31"/>
      <c r="D373" s="31"/>
    </row>
    <row r="374" ht="15.75" customHeight="1">
      <c r="A374" s="31"/>
      <c r="B374" s="31"/>
      <c r="C374" s="31"/>
      <c r="D374" s="31"/>
    </row>
    <row r="375" ht="15.75" customHeight="1">
      <c r="A375" s="31"/>
      <c r="B375" s="31"/>
      <c r="C375" s="31"/>
      <c r="D375" s="31"/>
    </row>
    <row r="376" ht="15.75" customHeight="1">
      <c r="A376" s="31"/>
      <c r="B376" s="31"/>
      <c r="C376" s="31"/>
      <c r="D376" s="31"/>
    </row>
    <row r="377" ht="15.75" customHeight="1">
      <c r="A377" s="31"/>
      <c r="B377" s="31"/>
      <c r="C377" s="31"/>
      <c r="D377" s="31"/>
    </row>
    <row r="378" ht="15.75" customHeight="1">
      <c r="A378" s="31"/>
      <c r="B378" s="31"/>
      <c r="C378" s="31"/>
      <c r="D378" s="31"/>
    </row>
    <row r="379" ht="15.75" customHeight="1">
      <c r="A379" s="31"/>
      <c r="B379" s="31"/>
      <c r="C379" s="31"/>
      <c r="D379" s="31"/>
    </row>
    <row r="380" ht="15.75" customHeight="1">
      <c r="A380" s="31"/>
      <c r="B380" s="31"/>
      <c r="C380" s="31"/>
      <c r="D380" s="31"/>
    </row>
    <row r="381" ht="15.75" customHeight="1">
      <c r="A381" s="31"/>
      <c r="B381" s="31"/>
      <c r="C381" s="31"/>
      <c r="D381" s="31"/>
    </row>
    <row r="382" ht="15.75" customHeight="1">
      <c r="A382" s="31"/>
      <c r="B382" s="31"/>
      <c r="C382" s="31"/>
      <c r="D382" s="31"/>
    </row>
    <row r="383" ht="15.75" customHeight="1">
      <c r="A383" s="31"/>
      <c r="B383" s="31"/>
      <c r="C383" s="31"/>
      <c r="D383" s="31"/>
    </row>
    <row r="384" ht="15.75" customHeight="1">
      <c r="A384" s="31"/>
      <c r="B384" s="31"/>
      <c r="C384" s="31"/>
      <c r="D384" s="31"/>
    </row>
    <row r="385" ht="15.75" customHeight="1">
      <c r="A385" s="31"/>
      <c r="B385" s="31"/>
      <c r="C385" s="31"/>
      <c r="D385" s="31"/>
    </row>
    <row r="386" ht="15.75" customHeight="1">
      <c r="A386" s="31"/>
      <c r="B386" s="31"/>
      <c r="C386" s="31"/>
      <c r="D386" s="31"/>
    </row>
    <row r="387" ht="15.75" customHeight="1">
      <c r="A387" s="31"/>
      <c r="B387" s="31"/>
      <c r="C387" s="31"/>
      <c r="D387" s="31"/>
    </row>
    <row r="388" ht="15.75" customHeight="1">
      <c r="A388" s="31"/>
      <c r="B388" s="31"/>
      <c r="C388" s="31"/>
      <c r="D388" s="31"/>
    </row>
    <row r="389" ht="15.75" customHeight="1">
      <c r="A389" s="31"/>
      <c r="B389" s="31"/>
      <c r="C389" s="31"/>
      <c r="D389" s="31"/>
    </row>
    <row r="390" ht="15.75" customHeight="1">
      <c r="A390" s="31"/>
      <c r="B390" s="31"/>
      <c r="C390" s="31"/>
      <c r="D390" s="31"/>
    </row>
    <row r="391" ht="15.75" customHeight="1">
      <c r="A391" s="31"/>
      <c r="B391" s="31"/>
      <c r="C391" s="31"/>
      <c r="D391" s="31"/>
    </row>
    <row r="392" ht="15.75" customHeight="1">
      <c r="A392" s="31"/>
      <c r="B392" s="31"/>
      <c r="C392" s="31"/>
      <c r="D392" s="31"/>
    </row>
    <row r="393" ht="15.75" customHeight="1">
      <c r="A393" s="31"/>
      <c r="B393" s="31"/>
      <c r="C393" s="31"/>
      <c r="D393" s="31"/>
    </row>
    <row r="394" ht="15.75" customHeight="1">
      <c r="A394" s="31"/>
      <c r="B394" s="31"/>
      <c r="C394" s="31"/>
      <c r="D394" s="31"/>
    </row>
    <row r="395" ht="15.75" customHeight="1">
      <c r="A395" s="31"/>
      <c r="B395" s="31"/>
      <c r="C395" s="31"/>
      <c r="D395" s="31"/>
    </row>
    <row r="396" ht="15.75" customHeight="1">
      <c r="A396" s="31"/>
      <c r="B396" s="31"/>
      <c r="C396" s="31"/>
      <c r="D396" s="31"/>
    </row>
    <row r="397" ht="15.75" customHeight="1">
      <c r="A397" s="31"/>
      <c r="B397" s="31"/>
      <c r="C397" s="31"/>
      <c r="D397" s="31"/>
    </row>
    <row r="398" ht="15.75" customHeight="1">
      <c r="A398" s="31"/>
      <c r="B398" s="31"/>
      <c r="C398" s="31"/>
      <c r="D398" s="31"/>
    </row>
    <row r="399" ht="15.75" customHeight="1">
      <c r="A399" s="31"/>
      <c r="B399" s="31"/>
      <c r="C399" s="31"/>
      <c r="D399" s="31"/>
    </row>
    <row r="400" ht="15.75" customHeight="1">
      <c r="A400" s="31"/>
      <c r="B400" s="31"/>
      <c r="C400" s="31"/>
      <c r="D400" s="31"/>
    </row>
    <row r="401" ht="15.75" customHeight="1">
      <c r="A401" s="31"/>
      <c r="B401" s="31"/>
      <c r="C401" s="31"/>
      <c r="D401" s="31"/>
    </row>
    <row r="402" ht="15.75" customHeight="1">
      <c r="A402" s="31"/>
      <c r="B402" s="31"/>
      <c r="C402" s="31"/>
      <c r="D402" s="31"/>
    </row>
    <row r="403" ht="15.75" customHeight="1">
      <c r="A403" s="31"/>
      <c r="B403" s="31"/>
      <c r="C403" s="31"/>
      <c r="D403" s="31"/>
    </row>
    <row r="404" ht="15.75" customHeight="1">
      <c r="A404" s="31"/>
      <c r="B404" s="31"/>
      <c r="C404" s="31"/>
      <c r="D404" s="31"/>
    </row>
    <row r="405" ht="15.75" customHeight="1">
      <c r="A405" s="31"/>
      <c r="B405" s="31"/>
      <c r="C405" s="31"/>
      <c r="D405" s="31"/>
    </row>
    <row r="406" ht="15.75" customHeight="1">
      <c r="A406" s="31"/>
      <c r="B406" s="31"/>
      <c r="C406" s="31"/>
      <c r="D406" s="31"/>
    </row>
    <row r="407" ht="15.75" customHeight="1">
      <c r="A407" s="31"/>
      <c r="B407" s="31"/>
      <c r="C407" s="31"/>
      <c r="D407" s="31"/>
    </row>
    <row r="408" ht="15.75" customHeight="1">
      <c r="A408" s="31"/>
      <c r="B408" s="31"/>
      <c r="C408" s="31"/>
      <c r="D408" s="31"/>
    </row>
    <row r="409" ht="15.75" customHeight="1">
      <c r="A409" s="31"/>
      <c r="B409" s="31"/>
      <c r="C409" s="31"/>
      <c r="D409" s="31"/>
    </row>
    <row r="410" ht="15.75" customHeight="1">
      <c r="A410" s="31"/>
      <c r="B410" s="31"/>
      <c r="C410" s="31"/>
      <c r="D410" s="31"/>
    </row>
    <row r="411" ht="15.75" customHeight="1">
      <c r="A411" s="31"/>
      <c r="B411" s="31"/>
      <c r="C411" s="31"/>
      <c r="D411" s="31"/>
    </row>
    <row r="412" ht="15.75" customHeight="1">
      <c r="A412" s="31"/>
      <c r="B412" s="31"/>
      <c r="C412" s="31"/>
      <c r="D412" s="31"/>
    </row>
    <row r="413" ht="15.75" customHeight="1">
      <c r="A413" s="31"/>
      <c r="B413" s="31"/>
      <c r="C413" s="31"/>
      <c r="D413" s="31"/>
    </row>
    <row r="414" ht="15.75" customHeight="1">
      <c r="A414" s="31"/>
      <c r="B414" s="31"/>
      <c r="C414" s="31"/>
      <c r="D414" s="31"/>
    </row>
    <row r="415" ht="15.75" customHeight="1">
      <c r="A415" s="31"/>
      <c r="B415" s="31"/>
      <c r="C415" s="31"/>
      <c r="D415" s="31"/>
    </row>
    <row r="416" ht="15.75" customHeight="1">
      <c r="A416" s="31"/>
      <c r="B416" s="31"/>
      <c r="C416" s="31"/>
      <c r="D416" s="31"/>
    </row>
    <row r="417" ht="15.75" customHeight="1">
      <c r="A417" s="31"/>
      <c r="B417" s="31"/>
      <c r="C417" s="31"/>
      <c r="D417" s="31"/>
    </row>
    <row r="418" ht="15.75" customHeight="1">
      <c r="A418" s="31"/>
      <c r="B418" s="31"/>
      <c r="C418" s="31"/>
      <c r="D418" s="31"/>
    </row>
    <row r="419" ht="15.75" customHeight="1">
      <c r="A419" s="31"/>
      <c r="B419" s="31"/>
      <c r="C419" s="31"/>
      <c r="D419" s="31"/>
    </row>
    <row r="420" ht="15.75" customHeight="1">
      <c r="A420" s="31"/>
      <c r="B420" s="31"/>
      <c r="C420" s="31"/>
      <c r="D420" s="31"/>
    </row>
    <row r="421" ht="15.75" customHeight="1">
      <c r="A421" s="31"/>
      <c r="B421" s="31"/>
      <c r="C421" s="31"/>
      <c r="D421" s="31"/>
    </row>
    <row r="422" ht="15.75" customHeight="1">
      <c r="A422" s="31"/>
      <c r="B422" s="31"/>
      <c r="C422" s="31"/>
      <c r="D422" s="31"/>
    </row>
    <row r="423" ht="15.75" customHeight="1">
      <c r="A423" s="31"/>
      <c r="B423" s="31"/>
      <c r="C423" s="31"/>
      <c r="D423" s="31"/>
    </row>
    <row r="424" ht="15.75" customHeight="1">
      <c r="A424" s="31"/>
      <c r="B424" s="31"/>
      <c r="C424" s="31"/>
      <c r="D424" s="31"/>
    </row>
    <row r="425" ht="15.75" customHeight="1">
      <c r="A425" s="31"/>
      <c r="B425" s="31"/>
      <c r="C425" s="31"/>
      <c r="D425" s="31"/>
    </row>
    <row r="426" ht="15.75" customHeight="1">
      <c r="A426" s="31"/>
      <c r="B426" s="31"/>
      <c r="C426" s="31"/>
      <c r="D426" s="31"/>
    </row>
    <row r="427" ht="15.75" customHeight="1">
      <c r="A427" s="31"/>
      <c r="B427" s="31"/>
      <c r="C427" s="31"/>
      <c r="D427" s="31"/>
    </row>
    <row r="428" ht="15.75" customHeight="1">
      <c r="A428" s="31"/>
      <c r="B428" s="31"/>
      <c r="C428" s="31"/>
      <c r="D428" s="31"/>
    </row>
    <row r="429" ht="15.75" customHeight="1">
      <c r="A429" s="31"/>
      <c r="B429" s="31"/>
      <c r="C429" s="31"/>
      <c r="D429" s="31"/>
    </row>
    <row r="430" ht="15.75" customHeight="1">
      <c r="A430" s="31"/>
      <c r="B430" s="31"/>
      <c r="C430" s="31"/>
      <c r="D430" s="31"/>
    </row>
    <row r="431" ht="15.75" customHeight="1">
      <c r="A431" s="31"/>
      <c r="B431" s="31"/>
      <c r="C431" s="31"/>
      <c r="D431" s="31"/>
    </row>
    <row r="432" ht="15.75" customHeight="1">
      <c r="A432" s="31"/>
      <c r="B432" s="31"/>
      <c r="C432" s="31"/>
      <c r="D432" s="31"/>
    </row>
    <row r="433" ht="15.75" customHeight="1">
      <c r="A433" s="31"/>
      <c r="B433" s="31"/>
      <c r="C433" s="31"/>
      <c r="D433" s="31"/>
    </row>
    <row r="434" ht="15.75" customHeight="1">
      <c r="A434" s="31"/>
      <c r="B434" s="31"/>
      <c r="C434" s="31"/>
      <c r="D434" s="31"/>
    </row>
    <row r="435" ht="15.75" customHeight="1">
      <c r="A435" s="31"/>
      <c r="B435" s="31"/>
      <c r="C435" s="31"/>
      <c r="D435" s="31"/>
    </row>
    <row r="436" ht="15.75" customHeight="1">
      <c r="A436" s="31"/>
      <c r="B436" s="31"/>
      <c r="C436" s="31"/>
      <c r="D436" s="31"/>
    </row>
    <row r="437" ht="15.75" customHeight="1">
      <c r="A437" s="31"/>
      <c r="B437" s="31"/>
      <c r="C437" s="31"/>
      <c r="D437" s="31"/>
    </row>
    <row r="438" ht="15.75" customHeight="1">
      <c r="A438" s="31"/>
      <c r="B438" s="31"/>
      <c r="C438" s="31"/>
      <c r="D438" s="31"/>
    </row>
    <row r="439" ht="15.75" customHeight="1">
      <c r="A439" s="31"/>
      <c r="B439" s="31"/>
      <c r="C439" s="31"/>
      <c r="D439" s="31"/>
    </row>
    <row r="440" ht="15.75" customHeight="1">
      <c r="A440" s="31"/>
      <c r="B440" s="31"/>
      <c r="C440" s="31"/>
      <c r="D440" s="31"/>
    </row>
    <row r="441" ht="15.75" customHeight="1">
      <c r="A441" s="31"/>
      <c r="B441" s="31"/>
      <c r="C441" s="31"/>
      <c r="D441" s="31"/>
    </row>
    <row r="442" ht="15.75" customHeight="1">
      <c r="A442" s="31"/>
      <c r="B442" s="31"/>
      <c r="C442" s="31"/>
      <c r="D442" s="31"/>
    </row>
    <row r="443" ht="15.75" customHeight="1">
      <c r="A443" s="31"/>
      <c r="B443" s="31"/>
      <c r="C443" s="31"/>
      <c r="D443" s="31"/>
    </row>
    <row r="444" ht="15.75" customHeight="1">
      <c r="A444" s="31"/>
      <c r="B444" s="31"/>
      <c r="C444" s="31"/>
      <c r="D444" s="31"/>
    </row>
    <row r="445" ht="15.75" customHeight="1">
      <c r="A445" s="31"/>
      <c r="B445" s="31"/>
      <c r="C445" s="31"/>
      <c r="D445" s="31"/>
    </row>
    <row r="446" ht="15.75" customHeight="1">
      <c r="A446" s="31"/>
      <c r="B446" s="31"/>
      <c r="C446" s="31"/>
      <c r="D446" s="31"/>
    </row>
    <row r="447" ht="15.75" customHeight="1">
      <c r="A447" s="31"/>
      <c r="B447" s="31"/>
      <c r="C447" s="31"/>
      <c r="D447" s="31"/>
    </row>
    <row r="448" ht="15.75" customHeight="1">
      <c r="A448" s="31"/>
      <c r="B448" s="31"/>
      <c r="C448" s="31"/>
      <c r="D448" s="31"/>
    </row>
    <row r="449" ht="15.75" customHeight="1">
      <c r="A449" s="31"/>
      <c r="B449" s="31"/>
      <c r="C449" s="31"/>
      <c r="D449" s="31"/>
    </row>
    <row r="450" ht="15.75" customHeight="1">
      <c r="A450" s="31"/>
      <c r="B450" s="31"/>
      <c r="C450" s="31"/>
      <c r="D450" s="31"/>
    </row>
    <row r="451" ht="15.75" customHeight="1">
      <c r="A451" s="31"/>
      <c r="B451" s="31"/>
      <c r="C451" s="31"/>
      <c r="D451" s="31"/>
    </row>
    <row r="452" ht="15.75" customHeight="1">
      <c r="A452" s="31"/>
      <c r="B452" s="31"/>
      <c r="C452" s="31"/>
      <c r="D452" s="31"/>
    </row>
    <row r="453" ht="15.75" customHeight="1">
      <c r="A453" s="31"/>
      <c r="B453" s="31"/>
      <c r="C453" s="31"/>
      <c r="D453" s="31"/>
    </row>
    <row r="454" ht="15.75" customHeight="1">
      <c r="A454" s="31"/>
      <c r="B454" s="31"/>
      <c r="C454" s="31"/>
      <c r="D454" s="31"/>
    </row>
    <row r="455" ht="15.75" customHeight="1">
      <c r="A455" s="31"/>
      <c r="B455" s="31"/>
      <c r="C455" s="31"/>
      <c r="D455" s="31"/>
    </row>
    <row r="456" ht="15.75" customHeight="1">
      <c r="A456" s="31"/>
      <c r="B456" s="31"/>
      <c r="C456" s="31"/>
      <c r="D456" s="31"/>
    </row>
    <row r="457" ht="15.75" customHeight="1">
      <c r="A457" s="31"/>
      <c r="B457" s="31"/>
      <c r="C457" s="31"/>
      <c r="D457" s="31"/>
    </row>
    <row r="458" ht="15.75" customHeight="1">
      <c r="A458" s="31"/>
      <c r="B458" s="31"/>
      <c r="C458" s="31"/>
      <c r="D458" s="31"/>
    </row>
    <row r="459" ht="15.75" customHeight="1">
      <c r="A459" s="31"/>
      <c r="B459" s="31"/>
      <c r="C459" s="31"/>
      <c r="D459" s="31"/>
    </row>
    <row r="460" ht="15.75" customHeight="1">
      <c r="A460" s="31"/>
      <c r="B460" s="31"/>
      <c r="C460" s="31"/>
      <c r="D460" s="31"/>
    </row>
    <row r="461" ht="15.75" customHeight="1">
      <c r="A461" s="31"/>
      <c r="B461" s="31"/>
      <c r="C461" s="31"/>
      <c r="D461" s="31"/>
    </row>
    <row r="462" ht="15.75" customHeight="1">
      <c r="A462" s="31"/>
      <c r="B462" s="31"/>
      <c r="C462" s="31"/>
      <c r="D462" s="31"/>
    </row>
    <row r="463" ht="15.75" customHeight="1">
      <c r="A463" s="31"/>
      <c r="B463" s="31"/>
      <c r="C463" s="31"/>
      <c r="D463" s="31"/>
    </row>
    <row r="464" ht="15.75" customHeight="1">
      <c r="A464" s="31"/>
      <c r="B464" s="31"/>
      <c r="C464" s="31"/>
      <c r="D464" s="31"/>
    </row>
    <row r="465" ht="15.75" customHeight="1">
      <c r="A465" s="31"/>
      <c r="B465" s="31"/>
      <c r="C465" s="31"/>
      <c r="D465" s="31"/>
    </row>
    <row r="466" ht="15.75" customHeight="1">
      <c r="A466" s="31"/>
      <c r="B466" s="31"/>
      <c r="C466" s="31"/>
      <c r="D466" s="31"/>
    </row>
    <row r="467" ht="15.75" customHeight="1">
      <c r="A467" s="31"/>
      <c r="B467" s="31"/>
      <c r="C467" s="31"/>
      <c r="D467" s="31"/>
    </row>
    <row r="468" ht="15.75" customHeight="1">
      <c r="A468" s="31"/>
      <c r="B468" s="31"/>
      <c r="C468" s="31"/>
      <c r="D468" s="31"/>
    </row>
    <row r="469" ht="15.75" customHeight="1">
      <c r="A469" s="31"/>
      <c r="B469" s="31"/>
      <c r="C469" s="31"/>
      <c r="D469" s="31"/>
    </row>
    <row r="470" ht="15.75" customHeight="1">
      <c r="A470" s="31"/>
      <c r="B470" s="31"/>
      <c r="C470" s="31"/>
      <c r="D470" s="31"/>
    </row>
    <row r="471" ht="15.75" customHeight="1">
      <c r="A471" s="31"/>
      <c r="B471" s="31"/>
      <c r="C471" s="31"/>
      <c r="D471" s="31"/>
    </row>
    <row r="472" ht="15.75" customHeight="1">
      <c r="A472" s="31"/>
      <c r="B472" s="31"/>
      <c r="C472" s="31"/>
      <c r="D472" s="31"/>
    </row>
    <row r="473" ht="15.75" customHeight="1">
      <c r="A473" s="31"/>
      <c r="B473" s="31"/>
      <c r="C473" s="31"/>
      <c r="D473" s="31"/>
    </row>
    <row r="474" ht="15.75" customHeight="1">
      <c r="A474" s="31"/>
      <c r="B474" s="31"/>
      <c r="C474" s="31"/>
      <c r="D474" s="31"/>
    </row>
    <row r="475" ht="15.75" customHeight="1">
      <c r="A475" s="31"/>
      <c r="B475" s="31"/>
      <c r="C475" s="31"/>
      <c r="D475" s="31"/>
    </row>
    <row r="476" ht="15.75" customHeight="1">
      <c r="A476" s="31"/>
      <c r="B476" s="31"/>
      <c r="C476" s="31"/>
      <c r="D476" s="31"/>
    </row>
    <row r="477" ht="15.75" customHeight="1">
      <c r="A477" s="31"/>
      <c r="B477" s="31"/>
      <c r="C477" s="31"/>
      <c r="D477" s="31"/>
    </row>
    <row r="478" ht="15.75" customHeight="1">
      <c r="A478" s="31"/>
      <c r="B478" s="31"/>
      <c r="C478" s="31"/>
      <c r="D478" s="31"/>
    </row>
    <row r="479" ht="15.75" customHeight="1">
      <c r="A479" s="31"/>
      <c r="B479" s="31"/>
      <c r="C479" s="31"/>
      <c r="D479" s="31"/>
    </row>
    <row r="480" ht="15.75" customHeight="1">
      <c r="A480" s="31"/>
      <c r="B480" s="31"/>
      <c r="C480" s="31"/>
      <c r="D480" s="31"/>
    </row>
    <row r="481" ht="15.75" customHeight="1">
      <c r="A481" s="31"/>
      <c r="B481" s="31"/>
      <c r="C481" s="31"/>
      <c r="D481" s="31"/>
    </row>
    <row r="482" ht="15.75" customHeight="1">
      <c r="A482" s="31"/>
      <c r="B482" s="31"/>
      <c r="C482" s="31"/>
      <c r="D482" s="31"/>
    </row>
    <row r="483" ht="15.75" customHeight="1">
      <c r="A483" s="31"/>
      <c r="B483" s="31"/>
      <c r="C483" s="31"/>
      <c r="D483" s="31"/>
    </row>
    <row r="484" ht="15.75" customHeight="1">
      <c r="A484" s="31"/>
      <c r="B484" s="31"/>
      <c r="C484" s="31"/>
      <c r="D484" s="31"/>
    </row>
    <row r="485" ht="15.75" customHeight="1">
      <c r="A485" s="31"/>
      <c r="B485" s="31"/>
      <c r="C485" s="31"/>
      <c r="D485" s="31"/>
    </row>
    <row r="486" ht="15.75" customHeight="1">
      <c r="A486" s="31"/>
      <c r="B486" s="31"/>
      <c r="C486" s="31"/>
      <c r="D486" s="31"/>
    </row>
    <row r="487" ht="15.75" customHeight="1">
      <c r="A487" s="31"/>
      <c r="B487" s="31"/>
      <c r="C487" s="31"/>
      <c r="D487" s="31"/>
    </row>
    <row r="488" ht="15.75" customHeight="1">
      <c r="A488" s="31"/>
      <c r="B488" s="31"/>
      <c r="C488" s="31"/>
      <c r="D488" s="31"/>
    </row>
    <row r="489" ht="15.75" customHeight="1">
      <c r="A489" s="31"/>
      <c r="B489" s="31"/>
      <c r="C489" s="31"/>
      <c r="D489" s="31"/>
    </row>
    <row r="490" ht="15.75" customHeight="1">
      <c r="A490" s="31"/>
      <c r="B490" s="31"/>
      <c r="C490" s="31"/>
      <c r="D490" s="31"/>
    </row>
    <row r="491" ht="15.75" customHeight="1">
      <c r="A491" s="31"/>
      <c r="B491" s="31"/>
      <c r="C491" s="31"/>
      <c r="D491" s="31"/>
    </row>
    <row r="492" ht="15.75" customHeight="1">
      <c r="A492" s="31"/>
      <c r="B492" s="31"/>
      <c r="C492" s="31"/>
      <c r="D492" s="31"/>
    </row>
    <row r="493" ht="15.75" customHeight="1">
      <c r="A493" s="31"/>
      <c r="B493" s="31"/>
      <c r="C493" s="31"/>
      <c r="D493" s="31"/>
    </row>
    <row r="494" ht="15.75" customHeight="1">
      <c r="A494" s="31"/>
      <c r="B494" s="31"/>
      <c r="C494" s="31"/>
      <c r="D494" s="31"/>
    </row>
    <row r="495" ht="15.75" customHeight="1">
      <c r="A495" s="31"/>
      <c r="B495" s="31"/>
      <c r="C495" s="31"/>
      <c r="D495" s="31"/>
    </row>
    <row r="496" ht="15.75" customHeight="1">
      <c r="A496" s="31"/>
      <c r="B496" s="31"/>
      <c r="C496" s="31"/>
      <c r="D496" s="31"/>
    </row>
    <row r="497" ht="15.75" customHeight="1">
      <c r="A497" s="31"/>
      <c r="B497" s="31"/>
      <c r="C497" s="31"/>
      <c r="D497" s="31"/>
    </row>
    <row r="498" ht="15.75" customHeight="1">
      <c r="A498" s="31"/>
      <c r="B498" s="31"/>
      <c r="C498" s="31"/>
      <c r="D498" s="31"/>
    </row>
    <row r="499" ht="15.75" customHeight="1">
      <c r="A499" s="31"/>
      <c r="B499" s="31"/>
      <c r="C499" s="31"/>
      <c r="D499" s="31"/>
    </row>
    <row r="500" ht="15.75" customHeight="1">
      <c r="A500" s="31"/>
      <c r="B500" s="31"/>
      <c r="C500" s="31"/>
      <c r="D500" s="31"/>
    </row>
    <row r="501" ht="15.75" customHeight="1">
      <c r="A501" s="31"/>
      <c r="B501" s="31"/>
      <c r="C501" s="31"/>
      <c r="D501" s="31"/>
    </row>
    <row r="502" ht="15.75" customHeight="1">
      <c r="A502" s="31"/>
      <c r="B502" s="31"/>
      <c r="C502" s="31"/>
      <c r="D502" s="31"/>
    </row>
    <row r="503" ht="15.75" customHeight="1">
      <c r="A503" s="31"/>
      <c r="B503" s="31"/>
      <c r="C503" s="31"/>
      <c r="D503" s="31"/>
    </row>
    <row r="504" ht="15.75" customHeight="1">
      <c r="A504" s="31"/>
      <c r="B504" s="31"/>
      <c r="C504" s="31"/>
      <c r="D504" s="31"/>
    </row>
    <row r="505" ht="15.75" customHeight="1">
      <c r="A505" s="31"/>
      <c r="B505" s="31"/>
      <c r="C505" s="31"/>
      <c r="D505" s="31"/>
    </row>
    <row r="506" ht="15.75" customHeight="1">
      <c r="A506" s="31"/>
      <c r="B506" s="31"/>
      <c r="C506" s="31"/>
      <c r="D506" s="31"/>
    </row>
    <row r="507" ht="15.75" customHeight="1">
      <c r="A507" s="31"/>
      <c r="B507" s="31"/>
      <c r="C507" s="31"/>
      <c r="D507" s="31"/>
    </row>
    <row r="508" ht="15.75" customHeight="1">
      <c r="A508" s="31"/>
      <c r="B508" s="31"/>
      <c r="C508" s="31"/>
      <c r="D508" s="31"/>
    </row>
    <row r="509" ht="15.75" customHeight="1">
      <c r="A509" s="31"/>
      <c r="B509" s="31"/>
      <c r="C509" s="31"/>
      <c r="D509" s="31"/>
    </row>
    <row r="510" ht="15.75" customHeight="1">
      <c r="A510" s="31"/>
      <c r="B510" s="31"/>
      <c r="C510" s="31"/>
      <c r="D510" s="31"/>
    </row>
    <row r="511" ht="15.75" customHeight="1">
      <c r="A511" s="31"/>
      <c r="B511" s="31"/>
      <c r="C511" s="31"/>
      <c r="D511" s="31"/>
    </row>
    <row r="512" ht="15.75" customHeight="1">
      <c r="A512" s="31"/>
      <c r="B512" s="31"/>
      <c r="C512" s="31"/>
      <c r="D512" s="31"/>
    </row>
    <row r="513" ht="15.75" customHeight="1">
      <c r="A513" s="31"/>
      <c r="B513" s="31"/>
      <c r="C513" s="31"/>
      <c r="D513" s="31"/>
    </row>
    <row r="514" ht="15.75" customHeight="1">
      <c r="A514" s="31"/>
      <c r="B514" s="31"/>
      <c r="C514" s="31"/>
      <c r="D514" s="31"/>
    </row>
    <row r="515" ht="15.75" customHeight="1">
      <c r="A515" s="31"/>
      <c r="B515" s="31"/>
      <c r="C515" s="31"/>
      <c r="D515" s="31"/>
    </row>
    <row r="516" ht="15.75" customHeight="1">
      <c r="A516" s="31"/>
      <c r="B516" s="31"/>
      <c r="C516" s="31"/>
      <c r="D516" s="31"/>
    </row>
    <row r="517" ht="15.75" customHeight="1">
      <c r="A517" s="31"/>
      <c r="B517" s="31"/>
      <c r="C517" s="31"/>
      <c r="D517" s="31"/>
    </row>
    <row r="518" ht="15.75" customHeight="1">
      <c r="A518" s="31"/>
      <c r="B518" s="31"/>
      <c r="C518" s="31"/>
      <c r="D518" s="31"/>
    </row>
    <row r="519" ht="15.75" customHeight="1">
      <c r="A519" s="31"/>
      <c r="B519" s="31"/>
      <c r="C519" s="31"/>
      <c r="D519" s="31"/>
    </row>
    <row r="520" ht="15.75" customHeight="1">
      <c r="A520" s="31"/>
      <c r="B520" s="31"/>
      <c r="C520" s="31"/>
      <c r="D520" s="31"/>
    </row>
    <row r="521" ht="15.75" customHeight="1">
      <c r="A521" s="31"/>
      <c r="B521" s="31"/>
      <c r="C521" s="31"/>
      <c r="D521" s="31"/>
    </row>
    <row r="522" ht="15.75" customHeight="1">
      <c r="A522" s="31"/>
      <c r="B522" s="31"/>
      <c r="C522" s="31"/>
      <c r="D522" s="31"/>
    </row>
    <row r="523" ht="15.75" customHeight="1">
      <c r="A523" s="31"/>
      <c r="B523" s="31"/>
      <c r="C523" s="31"/>
      <c r="D523" s="31"/>
    </row>
    <row r="524" ht="15.75" customHeight="1">
      <c r="A524" s="31"/>
      <c r="B524" s="31"/>
      <c r="C524" s="31"/>
      <c r="D524" s="31"/>
    </row>
    <row r="525" ht="15.75" customHeight="1">
      <c r="A525" s="31"/>
      <c r="B525" s="31"/>
      <c r="C525" s="31"/>
      <c r="D525" s="31"/>
    </row>
    <row r="526" ht="15.75" customHeight="1">
      <c r="A526" s="31"/>
      <c r="B526" s="31"/>
      <c r="C526" s="31"/>
      <c r="D526" s="31"/>
    </row>
    <row r="527" ht="15.75" customHeight="1">
      <c r="A527" s="31"/>
      <c r="B527" s="31"/>
      <c r="C527" s="31"/>
      <c r="D527" s="31"/>
    </row>
    <row r="528" ht="15.75" customHeight="1">
      <c r="A528" s="31"/>
      <c r="B528" s="31"/>
      <c r="C528" s="31"/>
      <c r="D528" s="31"/>
    </row>
    <row r="529" ht="15.75" customHeight="1">
      <c r="A529" s="31"/>
      <c r="B529" s="31"/>
      <c r="C529" s="31"/>
      <c r="D529" s="31"/>
    </row>
    <row r="530" ht="15.75" customHeight="1">
      <c r="A530" s="31"/>
      <c r="B530" s="31"/>
      <c r="C530" s="31"/>
      <c r="D530" s="31"/>
    </row>
    <row r="531" ht="15.75" customHeight="1">
      <c r="A531" s="31"/>
      <c r="B531" s="31"/>
      <c r="C531" s="31"/>
      <c r="D531" s="31"/>
    </row>
    <row r="532" ht="15.75" customHeight="1">
      <c r="A532" s="31"/>
      <c r="B532" s="31"/>
      <c r="C532" s="31"/>
      <c r="D532" s="31"/>
    </row>
    <row r="533" ht="15.75" customHeight="1">
      <c r="A533" s="31"/>
      <c r="B533" s="31"/>
      <c r="C533" s="31"/>
      <c r="D533" s="31"/>
    </row>
    <row r="534" ht="15.75" customHeight="1">
      <c r="A534" s="31"/>
      <c r="B534" s="31"/>
      <c r="C534" s="31"/>
      <c r="D534" s="31"/>
    </row>
    <row r="535" ht="15.75" customHeight="1">
      <c r="A535" s="31"/>
      <c r="B535" s="31"/>
      <c r="C535" s="31"/>
      <c r="D535" s="31"/>
    </row>
    <row r="536" ht="15.75" customHeight="1">
      <c r="A536" s="31"/>
      <c r="B536" s="31"/>
      <c r="C536" s="31"/>
      <c r="D536" s="31"/>
    </row>
    <row r="537" ht="15.75" customHeight="1">
      <c r="A537" s="31"/>
      <c r="B537" s="31"/>
      <c r="C537" s="31"/>
      <c r="D537" s="31"/>
    </row>
    <row r="538" ht="15.75" customHeight="1">
      <c r="A538" s="31"/>
      <c r="B538" s="31"/>
      <c r="C538" s="31"/>
      <c r="D538" s="31"/>
    </row>
    <row r="539" ht="15.75" customHeight="1">
      <c r="A539" s="31"/>
      <c r="B539" s="31"/>
      <c r="C539" s="31"/>
      <c r="D539" s="31"/>
    </row>
    <row r="540" ht="15.75" customHeight="1">
      <c r="A540" s="31"/>
      <c r="B540" s="31"/>
      <c r="C540" s="31"/>
      <c r="D540" s="31"/>
    </row>
    <row r="541" ht="15.75" customHeight="1">
      <c r="A541" s="31"/>
      <c r="B541" s="31"/>
      <c r="C541" s="31"/>
      <c r="D541" s="31"/>
    </row>
    <row r="542" ht="15.75" customHeight="1">
      <c r="A542" s="31"/>
      <c r="B542" s="31"/>
      <c r="C542" s="31"/>
      <c r="D542" s="31"/>
    </row>
    <row r="543" ht="15.75" customHeight="1">
      <c r="A543" s="31"/>
      <c r="B543" s="31"/>
      <c r="C543" s="31"/>
      <c r="D543" s="31"/>
    </row>
    <row r="544" ht="15.75" customHeight="1">
      <c r="A544" s="31"/>
      <c r="B544" s="31"/>
      <c r="C544" s="31"/>
      <c r="D544" s="31"/>
    </row>
    <row r="545" ht="15.75" customHeight="1">
      <c r="A545" s="31"/>
      <c r="B545" s="31"/>
      <c r="C545" s="31"/>
      <c r="D545" s="31"/>
    </row>
    <row r="546" ht="15.75" customHeight="1">
      <c r="A546" s="31"/>
      <c r="B546" s="31"/>
      <c r="C546" s="31"/>
      <c r="D546" s="31"/>
    </row>
    <row r="547" ht="15.75" customHeight="1">
      <c r="A547" s="31"/>
      <c r="B547" s="31"/>
      <c r="C547" s="31"/>
      <c r="D547" s="31"/>
    </row>
    <row r="548" ht="15.75" customHeight="1">
      <c r="A548" s="31"/>
      <c r="B548" s="31"/>
      <c r="C548" s="31"/>
      <c r="D548" s="31"/>
    </row>
    <row r="549" ht="15.75" customHeight="1">
      <c r="A549" s="31"/>
      <c r="B549" s="31"/>
      <c r="C549" s="31"/>
      <c r="D549" s="31"/>
    </row>
    <row r="550" ht="15.75" customHeight="1">
      <c r="A550" s="31"/>
      <c r="B550" s="31"/>
      <c r="C550" s="31"/>
      <c r="D550" s="31"/>
    </row>
    <row r="551" ht="15.75" customHeight="1">
      <c r="A551" s="31"/>
      <c r="B551" s="31"/>
      <c r="C551" s="31"/>
      <c r="D551" s="31"/>
    </row>
    <row r="552" ht="15.75" customHeight="1">
      <c r="A552" s="31"/>
      <c r="B552" s="31"/>
      <c r="C552" s="31"/>
      <c r="D552" s="31"/>
    </row>
    <row r="553" ht="15.75" customHeight="1">
      <c r="A553" s="31"/>
      <c r="B553" s="31"/>
      <c r="C553" s="31"/>
      <c r="D553" s="31"/>
    </row>
    <row r="554" ht="15.75" customHeight="1">
      <c r="A554" s="31"/>
      <c r="B554" s="31"/>
      <c r="C554" s="31"/>
      <c r="D554" s="31"/>
    </row>
    <row r="555" ht="15.75" customHeight="1">
      <c r="A555" s="31"/>
      <c r="B555" s="31"/>
      <c r="C555" s="31"/>
      <c r="D555" s="31"/>
    </row>
    <row r="556" ht="15.75" customHeight="1">
      <c r="A556" s="31"/>
      <c r="B556" s="31"/>
      <c r="C556" s="31"/>
      <c r="D556" s="31"/>
    </row>
    <row r="557" ht="15.75" customHeight="1">
      <c r="A557" s="31"/>
      <c r="B557" s="31"/>
      <c r="C557" s="31"/>
      <c r="D557" s="31"/>
    </row>
    <row r="558" ht="15.75" customHeight="1">
      <c r="A558" s="31"/>
      <c r="B558" s="31"/>
      <c r="C558" s="31"/>
      <c r="D558" s="31"/>
    </row>
    <row r="559" ht="15.75" customHeight="1">
      <c r="A559" s="31"/>
      <c r="B559" s="31"/>
      <c r="C559" s="31"/>
      <c r="D559" s="31"/>
    </row>
    <row r="560" ht="15.75" customHeight="1">
      <c r="A560" s="31"/>
      <c r="B560" s="31"/>
      <c r="C560" s="31"/>
      <c r="D560" s="31"/>
    </row>
    <row r="561" ht="15.75" customHeight="1">
      <c r="A561" s="31"/>
      <c r="B561" s="31"/>
      <c r="C561" s="31"/>
      <c r="D561" s="31"/>
    </row>
    <row r="562" ht="15.75" customHeight="1">
      <c r="A562" s="31"/>
      <c r="B562" s="31"/>
      <c r="C562" s="31"/>
      <c r="D562" s="31"/>
    </row>
    <row r="563" ht="15.75" customHeight="1">
      <c r="A563" s="31"/>
      <c r="B563" s="31"/>
      <c r="C563" s="31"/>
      <c r="D563" s="31"/>
    </row>
    <row r="564" ht="15.75" customHeight="1">
      <c r="A564" s="31"/>
      <c r="B564" s="31"/>
      <c r="C564" s="31"/>
      <c r="D564" s="31"/>
    </row>
    <row r="565" ht="15.75" customHeight="1">
      <c r="A565" s="31"/>
      <c r="B565" s="31"/>
      <c r="C565" s="31"/>
      <c r="D565" s="31"/>
    </row>
    <row r="566" ht="15.75" customHeight="1">
      <c r="A566" s="31"/>
      <c r="B566" s="31"/>
      <c r="C566" s="31"/>
      <c r="D566" s="31"/>
    </row>
    <row r="567" ht="15.75" customHeight="1">
      <c r="A567" s="31"/>
      <c r="B567" s="31"/>
      <c r="C567" s="31"/>
      <c r="D567" s="31"/>
    </row>
    <row r="568" ht="15.75" customHeight="1">
      <c r="A568" s="31"/>
      <c r="B568" s="31"/>
      <c r="C568" s="31"/>
      <c r="D568" s="31"/>
    </row>
    <row r="569" ht="15.75" customHeight="1">
      <c r="A569" s="31"/>
      <c r="B569" s="31"/>
      <c r="C569" s="31"/>
      <c r="D569" s="31"/>
    </row>
    <row r="570" ht="15.75" customHeight="1">
      <c r="A570" s="31"/>
      <c r="B570" s="31"/>
      <c r="C570" s="31"/>
      <c r="D570" s="31"/>
    </row>
    <row r="571" ht="15.75" customHeight="1">
      <c r="A571" s="31"/>
      <c r="B571" s="31"/>
      <c r="C571" s="31"/>
      <c r="D571" s="31"/>
    </row>
    <row r="572" ht="15.75" customHeight="1">
      <c r="A572" s="31"/>
      <c r="B572" s="31"/>
      <c r="C572" s="31"/>
      <c r="D572" s="31"/>
    </row>
    <row r="573" ht="15.75" customHeight="1">
      <c r="A573" s="31"/>
      <c r="B573" s="31"/>
      <c r="C573" s="31"/>
      <c r="D573" s="31"/>
    </row>
    <row r="574" ht="15.75" customHeight="1">
      <c r="A574" s="31"/>
      <c r="B574" s="31"/>
      <c r="C574" s="31"/>
      <c r="D574" s="31"/>
    </row>
    <row r="575" ht="15.75" customHeight="1">
      <c r="A575" s="31"/>
      <c r="B575" s="31"/>
      <c r="C575" s="31"/>
      <c r="D575" s="31"/>
    </row>
    <row r="576" ht="15.75" customHeight="1">
      <c r="A576" s="31"/>
      <c r="B576" s="31"/>
      <c r="C576" s="31"/>
      <c r="D576" s="31"/>
    </row>
    <row r="577" ht="15.75" customHeight="1">
      <c r="A577" s="31"/>
      <c r="B577" s="31"/>
      <c r="C577" s="31"/>
      <c r="D577" s="31"/>
    </row>
    <row r="578" ht="15.75" customHeight="1">
      <c r="A578" s="31"/>
      <c r="B578" s="31"/>
      <c r="C578" s="31"/>
      <c r="D578" s="31"/>
    </row>
    <row r="579" ht="15.75" customHeight="1">
      <c r="A579" s="31"/>
      <c r="B579" s="31"/>
      <c r="C579" s="31"/>
      <c r="D579" s="31"/>
    </row>
    <row r="580" ht="15.75" customHeight="1">
      <c r="A580" s="31"/>
      <c r="B580" s="31"/>
      <c r="C580" s="31"/>
      <c r="D580" s="31"/>
    </row>
    <row r="581" ht="15.75" customHeight="1">
      <c r="A581" s="31"/>
      <c r="B581" s="31"/>
      <c r="C581" s="31"/>
      <c r="D581" s="31"/>
    </row>
    <row r="582" ht="15.75" customHeight="1">
      <c r="A582" s="31"/>
      <c r="B582" s="31"/>
      <c r="C582" s="31"/>
      <c r="D582" s="31"/>
    </row>
    <row r="583" ht="15.75" customHeight="1">
      <c r="A583" s="31"/>
      <c r="B583" s="31"/>
      <c r="C583" s="31"/>
      <c r="D583" s="31"/>
    </row>
    <row r="584" ht="15.75" customHeight="1">
      <c r="A584" s="31"/>
      <c r="B584" s="31"/>
      <c r="C584" s="31"/>
      <c r="D584" s="31"/>
    </row>
    <row r="585" ht="15.75" customHeight="1">
      <c r="A585" s="31"/>
      <c r="B585" s="31"/>
      <c r="C585" s="31"/>
      <c r="D585" s="31"/>
    </row>
    <row r="586" ht="15.75" customHeight="1">
      <c r="A586" s="31"/>
      <c r="B586" s="31"/>
      <c r="C586" s="31"/>
      <c r="D586" s="31"/>
    </row>
    <row r="587" ht="15.75" customHeight="1">
      <c r="A587" s="31"/>
      <c r="B587" s="31"/>
      <c r="C587" s="31"/>
      <c r="D587" s="31"/>
    </row>
    <row r="588" ht="15.75" customHeight="1">
      <c r="A588" s="31"/>
      <c r="B588" s="31"/>
      <c r="C588" s="31"/>
      <c r="D588" s="31"/>
    </row>
    <row r="589" ht="15.75" customHeight="1">
      <c r="A589" s="31"/>
      <c r="B589" s="31"/>
      <c r="C589" s="31"/>
      <c r="D589" s="31"/>
    </row>
    <row r="590" ht="15.75" customHeight="1">
      <c r="A590" s="31"/>
      <c r="B590" s="31"/>
      <c r="C590" s="31"/>
      <c r="D590" s="31"/>
    </row>
    <row r="591" ht="15.75" customHeight="1">
      <c r="A591" s="31"/>
      <c r="B591" s="31"/>
      <c r="C591" s="31"/>
      <c r="D591" s="31"/>
    </row>
    <row r="592" ht="15.75" customHeight="1">
      <c r="A592" s="31"/>
      <c r="B592" s="31"/>
      <c r="C592" s="31"/>
      <c r="D592" s="31"/>
    </row>
    <row r="593" ht="15.75" customHeight="1">
      <c r="A593" s="31"/>
      <c r="B593" s="31"/>
      <c r="C593" s="31"/>
      <c r="D593" s="31"/>
    </row>
    <row r="594" ht="15.75" customHeight="1">
      <c r="A594" s="31"/>
      <c r="B594" s="31"/>
      <c r="C594" s="31"/>
      <c r="D594" s="31"/>
    </row>
    <row r="595" ht="15.75" customHeight="1">
      <c r="A595" s="31"/>
      <c r="B595" s="31"/>
      <c r="C595" s="31"/>
      <c r="D595" s="31"/>
    </row>
    <row r="596" ht="15.75" customHeight="1">
      <c r="A596" s="31"/>
      <c r="B596" s="31"/>
      <c r="C596" s="31"/>
      <c r="D596" s="31"/>
    </row>
    <row r="597" ht="15.75" customHeight="1">
      <c r="A597" s="31"/>
      <c r="B597" s="31"/>
      <c r="C597" s="31"/>
      <c r="D597" s="31"/>
    </row>
    <row r="598" ht="15.75" customHeight="1">
      <c r="A598" s="31"/>
      <c r="B598" s="31"/>
      <c r="C598" s="31"/>
      <c r="D598" s="31"/>
    </row>
    <row r="599" ht="15.75" customHeight="1">
      <c r="A599" s="31"/>
      <c r="B599" s="31"/>
      <c r="C599" s="31"/>
      <c r="D599" s="31"/>
    </row>
    <row r="600" ht="15.75" customHeight="1">
      <c r="A600" s="31"/>
      <c r="B600" s="31"/>
      <c r="C600" s="31"/>
      <c r="D600" s="31"/>
    </row>
    <row r="601" ht="15.75" customHeight="1">
      <c r="A601" s="31"/>
      <c r="B601" s="31"/>
      <c r="C601" s="31"/>
      <c r="D601" s="31"/>
    </row>
    <row r="602" ht="15.75" customHeight="1">
      <c r="A602" s="31"/>
      <c r="B602" s="31"/>
      <c r="C602" s="31"/>
      <c r="D602" s="31"/>
    </row>
    <row r="603" ht="15.75" customHeight="1">
      <c r="A603" s="31"/>
      <c r="B603" s="31"/>
      <c r="C603" s="31"/>
      <c r="D603" s="31"/>
    </row>
    <row r="604" ht="15.75" customHeight="1">
      <c r="A604" s="31"/>
      <c r="B604" s="31"/>
      <c r="C604" s="31"/>
      <c r="D604" s="31"/>
    </row>
    <row r="605" ht="15.75" customHeight="1">
      <c r="A605" s="31"/>
      <c r="B605" s="31"/>
      <c r="C605" s="31"/>
      <c r="D605" s="31"/>
    </row>
    <row r="606" ht="15.75" customHeight="1">
      <c r="A606" s="31"/>
      <c r="B606" s="31"/>
      <c r="C606" s="31"/>
      <c r="D606" s="31"/>
    </row>
    <row r="607" ht="15.75" customHeight="1">
      <c r="A607" s="31"/>
      <c r="B607" s="31"/>
      <c r="C607" s="31"/>
      <c r="D607" s="31"/>
    </row>
    <row r="608" ht="15.75" customHeight="1">
      <c r="A608" s="31"/>
      <c r="B608" s="31"/>
      <c r="C608" s="31"/>
      <c r="D608" s="31"/>
    </row>
    <row r="609" ht="15.75" customHeight="1">
      <c r="A609" s="31"/>
      <c r="B609" s="31"/>
      <c r="C609" s="31"/>
      <c r="D609" s="31"/>
    </row>
    <row r="610" ht="15.75" customHeight="1">
      <c r="A610" s="31"/>
      <c r="B610" s="31"/>
      <c r="C610" s="31"/>
      <c r="D610" s="31"/>
    </row>
    <row r="611" ht="15.75" customHeight="1">
      <c r="A611" s="31"/>
      <c r="B611" s="31"/>
      <c r="C611" s="31"/>
      <c r="D611" s="31"/>
    </row>
    <row r="612" ht="15.75" customHeight="1">
      <c r="A612" s="31"/>
      <c r="B612" s="31"/>
      <c r="C612" s="31"/>
      <c r="D612" s="31"/>
    </row>
    <row r="613" ht="15.75" customHeight="1">
      <c r="A613" s="31"/>
      <c r="B613" s="31"/>
      <c r="C613" s="31"/>
      <c r="D613" s="31"/>
    </row>
    <row r="614" ht="15.75" customHeight="1">
      <c r="A614" s="31"/>
      <c r="B614" s="31"/>
      <c r="C614" s="31"/>
      <c r="D614" s="31"/>
    </row>
    <row r="615" ht="15.75" customHeight="1">
      <c r="A615" s="31"/>
      <c r="B615" s="31"/>
      <c r="C615" s="31"/>
      <c r="D615" s="31"/>
    </row>
    <row r="616" ht="15.75" customHeight="1">
      <c r="A616" s="31"/>
      <c r="B616" s="31"/>
      <c r="C616" s="31"/>
      <c r="D616" s="31"/>
    </row>
    <row r="617" ht="15.75" customHeight="1">
      <c r="A617" s="31"/>
      <c r="B617" s="31"/>
      <c r="C617" s="31"/>
      <c r="D617" s="31"/>
    </row>
    <row r="618" ht="15.75" customHeight="1">
      <c r="A618" s="31"/>
      <c r="B618" s="31"/>
      <c r="C618" s="31"/>
      <c r="D618" s="31"/>
    </row>
    <row r="619" ht="15.75" customHeight="1">
      <c r="A619" s="31"/>
      <c r="B619" s="31"/>
      <c r="C619" s="31"/>
      <c r="D619" s="31"/>
    </row>
    <row r="620" ht="15.75" customHeight="1">
      <c r="A620" s="31"/>
      <c r="B620" s="31"/>
      <c r="C620" s="31"/>
      <c r="D620" s="31"/>
    </row>
    <row r="621" ht="15.75" customHeight="1">
      <c r="A621" s="31"/>
      <c r="B621" s="31"/>
      <c r="C621" s="31"/>
      <c r="D621" s="31"/>
    </row>
    <row r="622" ht="15.75" customHeight="1">
      <c r="A622" s="31"/>
      <c r="B622" s="31"/>
      <c r="C622" s="31"/>
      <c r="D622" s="31"/>
    </row>
    <row r="623" ht="15.75" customHeight="1">
      <c r="A623" s="31"/>
      <c r="B623" s="31"/>
      <c r="C623" s="31"/>
      <c r="D623" s="31"/>
    </row>
    <row r="624" ht="15.75" customHeight="1">
      <c r="A624" s="31"/>
      <c r="B624" s="31"/>
      <c r="C624" s="31"/>
      <c r="D624" s="31"/>
    </row>
    <row r="625" ht="15.75" customHeight="1">
      <c r="A625" s="31"/>
      <c r="B625" s="31"/>
      <c r="C625" s="31"/>
      <c r="D625" s="31"/>
    </row>
    <row r="626" ht="15.75" customHeight="1">
      <c r="A626" s="31"/>
      <c r="B626" s="31"/>
      <c r="C626" s="31"/>
      <c r="D626" s="31"/>
    </row>
    <row r="627" ht="15.75" customHeight="1">
      <c r="A627" s="31"/>
      <c r="B627" s="31"/>
      <c r="C627" s="31"/>
      <c r="D627" s="31"/>
    </row>
    <row r="628" ht="15.75" customHeight="1">
      <c r="A628" s="31"/>
      <c r="B628" s="31"/>
      <c r="C628" s="31"/>
      <c r="D628" s="31"/>
    </row>
    <row r="629" ht="15.75" customHeight="1">
      <c r="A629" s="31"/>
      <c r="B629" s="31"/>
      <c r="C629" s="31"/>
      <c r="D629" s="31"/>
    </row>
    <row r="630" ht="15.75" customHeight="1">
      <c r="A630" s="31"/>
      <c r="B630" s="31"/>
      <c r="C630" s="31"/>
      <c r="D630" s="31"/>
    </row>
    <row r="631" ht="15.75" customHeight="1">
      <c r="A631" s="31"/>
      <c r="B631" s="31"/>
      <c r="C631" s="31"/>
      <c r="D631" s="31"/>
    </row>
    <row r="632" ht="15.75" customHeight="1">
      <c r="A632" s="31"/>
      <c r="B632" s="31"/>
      <c r="C632" s="31"/>
      <c r="D632" s="31"/>
    </row>
    <row r="633" ht="15.75" customHeight="1">
      <c r="A633" s="31"/>
      <c r="B633" s="31"/>
      <c r="C633" s="31"/>
      <c r="D633" s="31"/>
    </row>
    <row r="634" ht="15.75" customHeight="1">
      <c r="A634" s="31"/>
      <c r="B634" s="31"/>
      <c r="C634" s="31"/>
      <c r="D634" s="31"/>
    </row>
    <row r="635" ht="15.75" customHeight="1">
      <c r="A635" s="31"/>
      <c r="B635" s="31"/>
      <c r="C635" s="31"/>
      <c r="D635" s="31"/>
    </row>
    <row r="636" ht="15.75" customHeight="1">
      <c r="A636" s="31"/>
      <c r="B636" s="31"/>
      <c r="C636" s="31"/>
      <c r="D636" s="31"/>
    </row>
    <row r="637" ht="15.75" customHeight="1">
      <c r="A637" s="31"/>
      <c r="B637" s="31"/>
      <c r="C637" s="31"/>
      <c r="D637" s="31"/>
    </row>
    <row r="638" ht="15.75" customHeight="1">
      <c r="A638" s="31"/>
      <c r="B638" s="31"/>
      <c r="C638" s="31"/>
      <c r="D638" s="31"/>
    </row>
    <row r="639" ht="15.75" customHeight="1">
      <c r="A639" s="31"/>
      <c r="B639" s="31"/>
      <c r="C639" s="31"/>
      <c r="D639" s="31"/>
    </row>
    <row r="640" ht="15.75" customHeight="1">
      <c r="A640" s="31"/>
      <c r="B640" s="31"/>
      <c r="C640" s="31"/>
      <c r="D640" s="31"/>
    </row>
    <row r="641" ht="15.75" customHeight="1">
      <c r="A641" s="31"/>
      <c r="B641" s="31"/>
      <c r="C641" s="31"/>
      <c r="D641" s="31"/>
    </row>
    <row r="642" ht="15.75" customHeight="1">
      <c r="A642" s="31"/>
      <c r="B642" s="31"/>
      <c r="C642" s="31"/>
      <c r="D642" s="31"/>
    </row>
    <row r="643" ht="15.75" customHeight="1">
      <c r="A643" s="31"/>
      <c r="B643" s="31"/>
      <c r="C643" s="31"/>
      <c r="D643" s="31"/>
    </row>
    <row r="644" ht="15.75" customHeight="1">
      <c r="A644" s="31"/>
      <c r="B644" s="31"/>
      <c r="C644" s="31"/>
      <c r="D644" s="31"/>
    </row>
    <row r="645" ht="15.75" customHeight="1">
      <c r="A645" s="31"/>
      <c r="B645" s="31"/>
      <c r="C645" s="31"/>
      <c r="D645" s="31"/>
    </row>
    <row r="646" ht="15.75" customHeight="1">
      <c r="A646" s="31"/>
      <c r="B646" s="31"/>
      <c r="C646" s="31"/>
      <c r="D646" s="31"/>
    </row>
    <row r="647" ht="15.75" customHeight="1">
      <c r="A647" s="31"/>
      <c r="B647" s="31"/>
      <c r="C647" s="31"/>
      <c r="D647" s="31"/>
    </row>
    <row r="648" ht="15.75" customHeight="1">
      <c r="A648" s="31"/>
      <c r="B648" s="31"/>
      <c r="C648" s="31"/>
      <c r="D648" s="31"/>
    </row>
    <row r="649" ht="15.75" customHeight="1">
      <c r="A649" s="31"/>
      <c r="B649" s="31"/>
      <c r="C649" s="31"/>
      <c r="D649" s="31"/>
    </row>
    <row r="650" ht="15.75" customHeight="1">
      <c r="A650" s="31"/>
      <c r="B650" s="31"/>
      <c r="C650" s="31"/>
      <c r="D650" s="31"/>
    </row>
    <row r="651" ht="15.75" customHeight="1">
      <c r="A651" s="31"/>
      <c r="B651" s="31"/>
      <c r="C651" s="31"/>
      <c r="D651" s="31"/>
    </row>
    <row r="652" ht="15.75" customHeight="1">
      <c r="A652" s="31"/>
      <c r="B652" s="31"/>
      <c r="C652" s="31"/>
      <c r="D652" s="31"/>
    </row>
    <row r="653" ht="15.75" customHeight="1">
      <c r="A653" s="31"/>
      <c r="B653" s="31"/>
      <c r="C653" s="31"/>
      <c r="D653" s="31"/>
    </row>
    <row r="654" ht="15.75" customHeight="1">
      <c r="A654" s="31"/>
      <c r="B654" s="31"/>
      <c r="C654" s="31"/>
      <c r="D654" s="31"/>
    </row>
    <row r="655" ht="15.75" customHeight="1">
      <c r="A655" s="31"/>
      <c r="B655" s="31"/>
      <c r="C655" s="31"/>
      <c r="D655" s="31"/>
    </row>
    <row r="656" ht="15.75" customHeight="1">
      <c r="A656" s="31"/>
      <c r="B656" s="31"/>
      <c r="C656" s="31"/>
      <c r="D656" s="31"/>
    </row>
    <row r="657" ht="15.75" customHeight="1">
      <c r="A657" s="31"/>
      <c r="B657" s="31"/>
      <c r="C657" s="31"/>
      <c r="D657" s="31"/>
    </row>
    <row r="658" ht="15.75" customHeight="1">
      <c r="A658" s="31"/>
      <c r="B658" s="31"/>
      <c r="C658" s="31"/>
      <c r="D658" s="31"/>
    </row>
    <row r="659" ht="15.75" customHeight="1">
      <c r="A659" s="31"/>
      <c r="B659" s="31"/>
      <c r="C659" s="31"/>
      <c r="D659" s="31"/>
    </row>
    <row r="660" ht="15.75" customHeight="1">
      <c r="A660" s="31"/>
      <c r="B660" s="31"/>
      <c r="C660" s="31"/>
      <c r="D660" s="31"/>
    </row>
    <row r="661" ht="15.75" customHeight="1">
      <c r="A661" s="31"/>
      <c r="B661" s="31"/>
      <c r="C661" s="31"/>
      <c r="D661" s="31"/>
    </row>
    <row r="662" ht="15.75" customHeight="1">
      <c r="A662" s="31"/>
      <c r="B662" s="31"/>
      <c r="C662" s="31"/>
      <c r="D662" s="31"/>
    </row>
    <row r="663" ht="15.75" customHeight="1">
      <c r="A663" s="31"/>
      <c r="B663" s="31"/>
      <c r="C663" s="31"/>
      <c r="D663" s="31"/>
    </row>
    <row r="664" ht="15.75" customHeight="1">
      <c r="A664" s="31"/>
      <c r="B664" s="31"/>
      <c r="C664" s="31"/>
      <c r="D664" s="31"/>
    </row>
    <row r="665" ht="15.75" customHeight="1">
      <c r="A665" s="31"/>
      <c r="B665" s="31"/>
      <c r="C665" s="31"/>
      <c r="D665" s="31"/>
    </row>
    <row r="666" ht="15.75" customHeight="1">
      <c r="A666" s="31"/>
      <c r="B666" s="31"/>
      <c r="C666" s="31"/>
      <c r="D666" s="31"/>
    </row>
    <row r="667" ht="15.75" customHeight="1">
      <c r="A667" s="31"/>
      <c r="B667" s="31"/>
      <c r="C667" s="31"/>
      <c r="D667" s="31"/>
    </row>
    <row r="668" ht="15.75" customHeight="1">
      <c r="A668" s="31"/>
      <c r="B668" s="31"/>
      <c r="C668" s="31"/>
      <c r="D668" s="31"/>
    </row>
    <row r="669" ht="15.75" customHeight="1">
      <c r="A669" s="31"/>
      <c r="B669" s="31"/>
      <c r="C669" s="31"/>
      <c r="D669" s="31"/>
    </row>
    <row r="670" ht="15.75" customHeight="1">
      <c r="A670" s="31"/>
      <c r="B670" s="31"/>
      <c r="C670" s="31"/>
      <c r="D670" s="31"/>
    </row>
    <row r="671" ht="15.75" customHeight="1">
      <c r="A671" s="31"/>
      <c r="B671" s="31"/>
      <c r="C671" s="31"/>
      <c r="D671" s="31"/>
    </row>
    <row r="672" ht="15.75" customHeight="1">
      <c r="A672" s="31"/>
      <c r="B672" s="31"/>
      <c r="C672" s="31"/>
      <c r="D672" s="31"/>
    </row>
    <row r="673" ht="15.75" customHeight="1">
      <c r="A673" s="31"/>
      <c r="B673" s="31"/>
      <c r="C673" s="31"/>
      <c r="D673" s="31"/>
    </row>
    <row r="674" ht="15.75" customHeight="1">
      <c r="A674" s="31"/>
      <c r="B674" s="31"/>
      <c r="C674" s="31"/>
      <c r="D674" s="31"/>
    </row>
    <row r="675" ht="15.75" customHeight="1">
      <c r="A675" s="31"/>
      <c r="B675" s="31"/>
      <c r="C675" s="31"/>
      <c r="D675" s="31"/>
    </row>
    <row r="676" ht="15.75" customHeight="1">
      <c r="A676" s="31"/>
      <c r="B676" s="31"/>
      <c r="C676" s="31"/>
      <c r="D676" s="31"/>
    </row>
    <row r="677" ht="15.75" customHeight="1">
      <c r="A677" s="31"/>
      <c r="B677" s="31"/>
      <c r="C677" s="31"/>
      <c r="D677" s="31"/>
    </row>
    <row r="678" ht="15.75" customHeight="1">
      <c r="A678" s="31"/>
      <c r="B678" s="31"/>
      <c r="C678" s="31"/>
      <c r="D678" s="31"/>
    </row>
    <row r="679" ht="15.75" customHeight="1">
      <c r="A679" s="31"/>
      <c r="B679" s="31"/>
      <c r="C679" s="31"/>
      <c r="D679" s="31"/>
    </row>
    <row r="680" ht="15.75" customHeight="1">
      <c r="A680" s="31"/>
      <c r="B680" s="31"/>
      <c r="C680" s="31"/>
      <c r="D680" s="31"/>
    </row>
    <row r="681" ht="15.75" customHeight="1">
      <c r="A681" s="31"/>
      <c r="B681" s="31"/>
      <c r="C681" s="31"/>
      <c r="D681" s="31"/>
    </row>
    <row r="682" ht="15.75" customHeight="1">
      <c r="A682" s="31"/>
      <c r="B682" s="31"/>
      <c r="C682" s="31"/>
      <c r="D682" s="31"/>
    </row>
    <row r="683" ht="15.75" customHeight="1">
      <c r="A683" s="31"/>
      <c r="B683" s="31"/>
      <c r="C683" s="31"/>
      <c r="D683" s="31"/>
    </row>
    <row r="684" ht="15.75" customHeight="1">
      <c r="A684" s="31"/>
      <c r="B684" s="31"/>
      <c r="C684" s="31"/>
      <c r="D684" s="31"/>
    </row>
    <row r="685" ht="15.75" customHeight="1">
      <c r="A685" s="31"/>
      <c r="B685" s="31"/>
      <c r="C685" s="31"/>
      <c r="D685" s="31"/>
    </row>
    <row r="686" ht="15.75" customHeight="1">
      <c r="A686" s="31"/>
      <c r="B686" s="31"/>
      <c r="C686" s="31"/>
      <c r="D686" s="31"/>
    </row>
    <row r="687" ht="15.75" customHeight="1">
      <c r="A687" s="31"/>
      <c r="B687" s="31"/>
      <c r="C687" s="31"/>
      <c r="D687" s="31"/>
    </row>
    <row r="688" ht="15.75" customHeight="1">
      <c r="A688" s="31"/>
      <c r="B688" s="31"/>
      <c r="C688" s="31"/>
      <c r="D688" s="31"/>
    </row>
    <row r="689" ht="15.75" customHeight="1">
      <c r="A689" s="31"/>
      <c r="B689" s="31"/>
      <c r="C689" s="31"/>
      <c r="D689" s="31"/>
    </row>
    <row r="690" ht="15.75" customHeight="1">
      <c r="A690" s="31"/>
      <c r="B690" s="31"/>
      <c r="C690" s="31"/>
      <c r="D690" s="31"/>
    </row>
    <row r="691" ht="15.75" customHeight="1">
      <c r="A691" s="31"/>
      <c r="B691" s="31"/>
      <c r="C691" s="31"/>
      <c r="D691" s="31"/>
    </row>
    <row r="692" ht="15.75" customHeight="1">
      <c r="A692" s="31"/>
      <c r="B692" s="31"/>
      <c r="C692" s="31"/>
      <c r="D692" s="31"/>
    </row>
    <row r="693" ht="15.75" customHeight="1">
      <c r="A693" s="31"/>
      <c r="B693" s="31"/>
      <c r="C693" s="31"/>
      <c r="D693" s="31"/>
    </row>
    <row r="694" ht="15.75" customHeight="1">
      <c r="A694" s="31"/>
      <c r="B694" s="31"/>
      <c r="C694" s="31"/>
      <c r="D694" s="31"/>
    </row>
    <row r="695" ht="15.75" customHeight="1">
      <c r="A695" s="31"/>
      <c r="B695" s="31"/>
      <c r="C695" s="31"/>
      <c r="D695" s="31"/>
    </row>
    <row r="696" ht="15.75" customHeight="1">
      <c r="A696" s="31"/>
      <c r="B696" s="31"/>
      <c r="C696" s="31"/>
      <c r="D696" s="31"/>
    </row>
    <row r="697" ht="15.75" customHeight="1">
      <c r="A697" s="31"/>
      <c r="B697" s="31"/>
      <c r="C697" s="31"/>
      <c r="D697" s="31"/>
    </row>
    <row r="698" ht="15.75" customHeight="1">
      <c r="A698" s="31"/>
      <c r="B698" s="31"/>
      <c r="C698" s="31"/>
      <c r="D698" s="31"/>
    </row>
    <row r="699" ht="15.75" customHeight="1">
      <c r="A699" s="31"/>
      <c r="B699" s="31"/>
      <c r="C699" s="31"/>
      <c r="D699" s="31"/>
    </row>
    <row r="700" ht="15.75" customHeight="1">
      <c r="A700" s="31"/>
      <c r="B700" s="31"/>
      <c r="C700" s="31"/>
      <c r="D700" s="31"/>
    </row>
    <row r="701" ht="15.75" customHeight="1">
      <c r="A701" s="31"/>
      <c r="B701" s="31"/>
      <c r="C701" s="31"/>
      <c r="D701" s="31"/>
    </row>
    <row r="702" ht="15.75" customHeight="1">
      <c r="A702" s="31"/>
      <c r="B702" s="31"/>
      <c r="C702" s="31"/>
      <c r="D702" s="31"/>
    </row>
    <row r="703" ht="15.75" customHeight="1">
      <c r="A703" s="31"/>
      <c r="B703" s="31"/>
      <c r="C703" s="31"/>
      <c r="D703" s="31"/>
    </row>
    <row r="704" ht="15.75" customHeight="1">
      <c r="A704" s="31"/>
      <c r="B704" s="31"/>
      <c r="C704" s="31"/>
      <c r="D704" s="31"/>
    </row>
    <row r="705" ht="15.75" customHeight="1">
      <c r="A705" s="31"/>
      <c r="B705" s="31"/>
      <c r="C705" s="31"/>
      <c r="D705" s="31"/>
    </row>
    <row r="706" ht="15.75" customHeight="1">
      <c r="A706" s="31"/>
      <c r="B706" s="31"/>
      <c r="C706" s="31"/>
      <c r="D706" s="31"/>
    </row>
    <row r="707" ht="15.75" customHeight="1">
      <c r="A707" s="31"/>
      <c r="B707" s="31"/>
      <c r="C707" s="31"/>
      <c r="D707" s="31"/>
    </row>
    <row r="708" ht="15.75" customHeight="1">
      <c r="A708" s="31"/>
      <c r="B708" s="31"/>
      <c r="C708" s="31"/>
      <c r="D708" s="31"/>
    </row>
    <row r="709" ht="15.75" customHeight="1">
      <c r="A709" s="31"/>
      <c r="B709" s="31"/>
      <c r="C709" s="31"/>
      <c r="D709" s="31"/>
    </row>
    <row r="710" ht="15.75" customHeight="1">
      <c r="A710" s="31"/>
      <c r="B710" s="31"/>
      <c r="C710" s="31"/>
      <c r="D710" s="31"/>
    </row>
    <row r="711" ht="15.75" customHeight="1">
      <c r="A711" s="31"/>
      <c r="B711" s="31"/>
      <c r="C711" s="31"/>
      <c r="D711" s="31"/>
    </row>
    <row r="712" ht="15.75" customHeight="1">
      <c r="A712" s="31"/>
      <c r="B712" s="31"/>
      <c r="C712" s="31"/>
      <c r="D712" s="31"/>
    </row>
    <row r="713" ht="15.75" customHeight="1">
      <c r="A713" s="31"/>
      <c r="B713" s="31"/>
      <c r="C713" s="31"/>
      <c r="D713" s="31"/>
    </row>
    <row r="714" ht="15.75" customHeight="1">
      <c r="A714" s="31"/>
      <c r="B714" s="31"/>
      <c r="C714" s="31"/>
      <c r="D714" s="31"/>
    </row>
    <row r="715" ht="15.75" customHeight="1">
      <c r="A715" s="31"/>
      <c r="B715" s="31"/>
      <c r="C715" s="31"/>
      <c r="D715" s="31"/>
    </row>
    <row r="716" ht="15.75" customHeight="1">
      <c r="A716" s="31"/>
      <c r="B716" s="31"/>
      <c r="C716" s="31"/>
      <c r="D716" s="31"/>
    </row>
    <row r="717" ht="15.75" customHeight="1">
      <c r="A717" s="31"/>
      <c r="B717" s="31"/>
      <c r="C717" s="31"/>
      <c r="D717" s="31"/>
    </row>
    <row r="718" ht="15.75" customHeight="1">
      <c r="A718" s="31"/>
      <c r="B718" s="31"/>
      <c r="C718" s="31"/>
      <c r="D718" s="31"/>
    </row>
    <row r="719" ht="15.75" customHeight="1">
      <c r="A719" s="31"/>
      <c r="B719" s="31"/>
      <c r="C719" s="31"/>
      <c r="D719" s="31"/>
    </row>
    <row r="720" ht="15.75" customHeight="1">
      <c r="A720" s="31"/>
      <c r="B720" s="31"/>
      <c r="C720" s="31"/>
      <c r="D720" s="31"/>
    </row>
    <row r="721" ht="15.75" customHeight="1">
      <c r="A721" s="31"/>
      <c r="B721" s="31"/>
      <c r="C721" s="31"/>
      <c r="D721" s="31"/>
    </row>
    <row r="722" ht="15.75" customHeight="1">
      <c r="A722" s="31"/>
      <c r="B722" s="31"/>
      <c r="C722" s="31"/>
      <c r="D722" s="31"/>
    </row>
    <row r="723" ht="15.75" customHeight="1">
      <c r="A723" s="31"/>
      <c r="B723" s="31"/>
      <c r="C723" s="31"/>
      <c r="D723" s="31"/>
    </row>
    <row r="724" ht="15.75" customHeight="1">
      <c r="A724" s="31"/>
      <c r="B724" s="31"/>
      <c r="C724" s="31"/>
      <c r="D724" s="31"/>
    </row>
    <row r="725" ht="15.75" customHeight="1">
      <c r="A725" s="31"/>
      <c r="B725" s="31"/>
      <c r="C725" s="31"/>
      <c r="D725" s="31"/>
    </row>
    <row r="726" ht="15.75" customHeight="1">
      <c r="A726" s="31"/>
      <c r="B726" s="31"/>
      <c r="C726" s="31"/>
      <c r="D726" s="31"/>
    </row>
    <row r="727" ht="15.75" customHeight="1">
      <c r="A727" s="31"/>
      <c r="B727" s="31"/>
      <c r="C727" s="31"/>
      <c r="D727" s="31"/>
    </row>
    <row r="728" ht="15.75" customHeight="1">
      <c r="A728" s="31"/>
      <c r="B728" s="31"/>
      <c r="C728" s="31"/>
      <c r="D728" s="31"/>
    </row>
    <row r="729" ht="15.75" customHeight="1">
      <c r="A729" s="31"/>
      <c r="B729" s="31"/>
      <c r="C729" s="31"/>
      <c r="D729" s="31"/>
    </row>
    <row r="730" ht="15.75" customHeight="1">
      <c r="A730" s="31"/>
      <c r="B730" s="31"/>
      <c r="C730" s="31"/>
      <c r="D730" s="31"/>
    </row>
    <row r="731" ht="15.75" customHeight="1">
      <c r="A731" s="31"/>
      <c r="B731" s="31"/>
      <c r="C731" s="31"/>
      <c r="D731" s="31"/>
    </row>
    <row r="732" ht="15.75" customHeight="1">
      <c r="A732" s="31"/>
      <c r="B732" s="31"/>
      <c r="C732" s="31"/>
      <c r="D732" s="31"/>
    </row>
    <row r="733" ht="15.75" customHeight="1">
      <c r="A733" s="31"/>
      <c r="B733" s="31"/>
      <c r="C733" s="31"/>
      <c r="D733" s="31"/>
    </row>
    <row r="734" ht="15.75" customHeight="1">
      <c r="A734" s="31"/>
      <c r="B734" s="31"/>
      <c r="C734" s="31"/>
      <c r="D734" s="31"/>
    </row>
    <row r="735" ht="15.75" customHeight="1">
      <c r="A735" s="31"/>
      <c r="B735" s="31"/>
      <c r="C735" s="31"/>
      <c r="D735" s="31"/>
    </row>
    <row r="736" ht="15.75" customHeight="1">
      <c r="A736" s="31"/>
      <c r="B736" s="31"/>
      <c r="C736" s="31"/>
      <c r="D736" s="31"/>
    </row>
    <row r="737" ht="15.75" customHeight="1">
      <c r="A737" s="31"/>
      <c r="B737" s="31"/>
      <c r="C737" s="31"/>
      <c r="D737" s="31"/>
    </row>
    <row r="738" ht="15.75" customHeight="1">
      <c r="A738" s="31"/>
      <c r="B738" s="31"/>
      <c r="C738" s="31"/>
      <c r="D738" s="31"/>
    </row>
    <row r="739" ht="15.75" customHeight="1">
      <c r="A739" s="31"/>
      <c r="B739" s="31"/>
      <c r="C739" s="31"/>
      <c r="D739" s="31"/>
    </row>
    <row r="740" ht="15.75" customHeight="1">
      <c r="A740" s="31"/>
      <c r="B740" s="31"/>
      <c r="C740" s="31"/>
      <c r="D740" s="31"/>
    </row>
    <row r="741" ht="15.75" customHeight="1">
      <c r="A741" s="31"/>
      <c r="B741" s="31"/>
      <c r="C741" s="31"/>
      <c r="D741" s="31"/>
    </row>
    <row r="742" ht="15.75" customHeight="1">
      <c r="A742" s="31"/>
      <c r="B742" s="31"/>
      <c r="C742" s="31"/>
      <c r="D742" s="31"/>
    </row>
    <row r="743" ht="15.75" customHeight="1">
      <c r="A743" s="31"/>
      <c r="B743" s="31"/>
      <c r="C743" s="31"/>
      <c r="D743" s="31"/>
    </row>
    <row r="744" ht="15.75" customHeight="1">
      <c r="A744" s="31"/>
      <c r="B744" s="31"/>
      <c r="C744" s="31"/>
      <c r="D744" s="31"/>
    </row>
    <row r="745" ht="15.75" customHeight="1">
      <c r="A745" s="31"/>
      <c r="B745" s="31"/>
      <c r="C745" s="31"/>
      <c r="D745" s="31"/>
    </row>
    <row r="746" ht="15.75" customHeight="1">
      <c r="A746" s="31"/>
      <c r="B746" s="31"/>
      <c r="C746" s="31"/>
      <c r="D746" s="31"/>
    </row>
    <row r="747" ht="15.75" customHeight="1">
      <c r="A747" s="31"/>
      <c r="B747" s="31"/>
      <c r="C747" s="31"/>
      <c r="D747" s="31"/>
    </row>
    <row r="748" ht="15.75" customHeight="1">
      <c r="A748" s="31"/>
      <c r="B748" s="31"/>
      <c r="C748" s="31"/>
      <c r="D748" s="31"/>
    </row>
    <row r="749" ht="15.75" customHeight="1">
      <c r="A749" s="31"/>
      <c r="B749" s="31"/>
      <c r="C749" s="31"/>
      <c r="D749" s="31"/>
    </row>
    <row r="750" ht="15.75" customHeight="1">
      <c r="A750" s="31"/>
      <c r="B750" s="31"/>
      <c r="C750" s="31"/>
      <c r="D750" s="31"/>
    </row>
    <row r="751" ht="15.75" customHeight="1">
      <c r="A751" s="31"/>
      <c r="B751" s="31"/>
      <c r="C751" s="31"/>
      <c r="D751" s="31"/>
    </row>
    <row r="752" ht="15.75" customHeight="1">
      <c r="A752" s="31"/>
      <c r="B752" s="31"/>
      <c r="C752" s="31"/>
      <c r="D752" s="31"/>
    </row>
    <row r="753" ht="15.75" customHeight="1">
      <c r="A753" s="31"/>
      <c r="B753" s="31"/>
      <c r="C753" s="31"/>
      <c r="D753" s="31"/>
    </row>
    <row r="754" ht="15.75" customHeight="1">
      <c r="A754" s="31"/>
      <c r="B754" s="31"/>
      <c r="C754" s="31"/>
      <c r="D754" s="31"/>
    </row>
    <row r="755" ht="15.75" customHeight="1">
      <c r="A755" s="31"/>
      <c r="B755" s="31"/>
      <c r="C755" s="31"/>
      <c r="D755" s="31"/>
    </row>
    <row r="756" ht="15.75" customHeight="1">
      <c r="A756" s="31"/>
      <c r="B756" s="31"/>
      <c r="C756" s="31"/>
      <c r="D756" s="31"/>
    </row>
    <row r="757" ht="15.75" customHeight="1">
      <c r="A757" s="31"/>
      <c r="B757" s="31"/>
      <c r="C757" s="31"/>
      <c r="D757" s="31"/>
    </row>
    <row r="758" ht="15.75" customHeight="1">
      <c r="A758" s="31"/>
      <c r="B758" s="31"/>
      <c r="C758" s="31"/>
      <c r="D758" s="31"/>
    </row>
    <row r="759" ht="15.75" customHeight="1">
      <c r="A759" s="31"/>
      <c r="B759" s="31"/>
      <c r="C759" s="31"/>
      <c r="D759" s="31"/>
    </row>
    <row r="760" ht="15.75" customHeight="1">
      <c r="A760" s="31"/>
      <c r="B760" s="31"/>
      <c r="C760" s="31"/>
      <c r="D760" s="31"/>
    </row>
    <row r="761" ht="15.75" customHeight="1">
      <c r="A761" s="31"/>
      <c r="B761" s="31"/>
      <c r="C761" s="31"/>
      <c r="D761" s="31"/>
    </row>
    <row r="762" ht="15.75" customHeight="1">
      <c r="A762" s="31"/>
      <c r="B762" s="31"/>
      <c r="C762" s="31"/>
      <c r="D762" s="31"/>
    </row>
    <row r="763" ht="15.75" customHeight="1">
      <c r="A763" s="31"/>
      <c r="B763" s="31"/>
      <c r="C763" s="31"/>
      <c r="D763" s="31"/>
    </row>
    <row r="764" ht="15.75" customHeight="1">
      <c r="A764" s="31"/>
      <c r="B764" s="31"/>
      <c r="C764" s="31"/>
      <c r="D764" s="31"/>
    </row>
    <row r="765" ht="15.75" customHeight="1">
      <c r="A765" s="31"/>
      <c r="B765" s="31"/>
      <c r="C765" s="31"/>
      <c r="D765" s="31"/>
    </row>
    <row r="766" ht="15.75" customHeight="1">
      <c r="A766" s="31"/>
      <c r="B766" s="31"/>
      <c r="C766" s="31"/>
      <c r="D766" s="31"/>
    </row>
    <row r="767" ht="15.75" customHeight="1">
      <c r="A767" s="31"/>
      <c r="B767" s="31"/>
      <c r="C767" s="31"/>
      <c r="D767" s="31"/>
    </row>
    <row r="768" ht="15.75" customHeight="1">
      <c r="A768" s="31"/>
      <c r="B768" s="31"/>
      <c r="C768" s="31"/>
      <c r="D768" s="31"/>
    </row>
    <row r="769" ht="15.75" customHeight="1">
      <c r="A769" s="31"/>
      <c r="B769" s="31"/>
      <c r="C769" s="31"/>
      <c r="D769" s="31"/>
    </row>
    <row r="770" ht="15.75" customHeight="1">
      <c r="A770" s="31"/>
      <c r="B770" s="31"/>
      <c r="C770" s="31"/>
      <c r="D770" s="31"/>
    </row>
    <row r="771" ht="15.75" customHeight="1">
      <c r="A771" s="31"/>
      <c r="B771" s="31"/>
      <c r="C771" s="31"/>
      <c r="D771" s="31"/>
    </row>
    <row r="772" ht="15.75" customHeight="1">
      <c r="A772" s="31"/>
      <c r="B772" s="31"/>
      <c r="C772" s="31"/>
      <c r="D772" s="31"/>
    </row>
    <row r="773" ht="15.75" customHeight="1">
      <c r="A773" s="31"/>
      <c r="B773" s="31"/>
      <c r="C773" s="31"/>
      <c r="D773" s="31"/>
    </row>
    <row r="774" ht="15.75" customHeight="1">
      <c r="A774" s="31"/>
      <c r="B774" s="31"/>
      <c r="C774" s="31"/>
      <c r="D774" s="31"/>
    </row>
    <row r="775" ht="15.75" customHeight="1">
      <c r="A775" s="31"/>
      <c r="B775" s="31"/>
      <c r="C775" s="31"/>
      <c r="D775" s="31"/>
    </row>
    <row r="776" ht="15.75" customHeight="1">
      <c r="A776" s="31"/>
      <c r="B776" s="31"/>
      <c r="C776" s="31"/>
      <c r="D776" s="31"/>
    </row>
    <row r="777" ht="15.75" customHeight="1">
      <c r="A777" s="31"/>
      <c r="B777" s="31"/>
      <c r="C777" s="31"/>
      <c r="D777" s="31"/>
    </row>
    <row r="778" ht="15.75" customHeight="1">
      <c r="A778" s="31"/>
      <c r="B778" s="31"/>
      <c r="C778" s="31"/>
      <c r="D778" s="31"/>
    </row>
    <row r="779" ht="15.75" customHeight="1">
      <c r="A779" s="31"/>
      <c r="B779" s="31"/>
      <c r="C779" s="31"/>
      <c r="D779" s="31"/>
    </row>
    <row r="780" ht="15.75" customHeight="1">
      <c r="A780" s="31"/>
      <c r="B780" s="31"/>
      <c r="C780" s="31"/>
      <c r="D780" s="31"/>
    </row>
    <row r="781" ht="15.75" customHeight="1">
      <c r="A781" s="31"/>
      <c r="B781" s="31"/>
      <c r="C781" s="31"/>
      <c r="D781" s="31"/>
    </row>
    <row r="782" ht="15.75" customHeight="1">
      <c r="A782" s="31"/>
      <c r="B782" s="31"/>
      <c r="C782" s="31"/>
      <c r="D782" s="31"/>
    </row>
    <row r="783" ht="15.75" customHeight="1">
      <c r="A783" s="31"/>
      <c r="B783" s="31"/>
      <c r="C783" s="31"/>
      <c r="D783" s="31"/>
    </row>
    <row r="784" ht="15.75" customHeight="1">
      <c r="A784" s="31"/>
      <c r="B784" s="31"/>
      <c r="C784" s="31"/>
      <c r="D784" s="31"/>
    </row>
    <row r="785" ht="15.75" customHeight="1">
      <c r="A785" s="31"/>
      <c r="B785" s="31"/>
      <c r="C785" s="31"/>
      <c r="D785" s="31"/>
    </row>
    <row r="786" ht="15.75" customHeight="1">
      <c r="A786" s="31"/>
      <c r="B786" s="31"/>
      <c r="C786" s="31"/>
      <c r="D786" s="31"/>
    </row>
    <row r="787" ht="15.75" customHeight="1">
      <c r="A787" s="31"/>
      <c r="B787" s="31"/>
      <c r="C787" s="31"/>
      <c r="D787" s="31"/>
    </row>
    <row r="788" ht="15.75" customHeight="1">
      <c r="A788" s="31"/>
      <c r="B788" s="31"/>
      <c r="C788" s="31"/>
      <c r="D788" s="31"/>
    </row>
    <row r="789" ht="15.75" customHeight="1">
      <c r="A789" s="31"/>
      <c r="B789" s="31"/>
      <c r="C789" s="31"/>
      <c r="D789" s="31"/>
    </row>
    <row r="790" ht="15.75" customHeight="1">
      <c r="A790" s="31"/>
      <c r="B790" s="31"/>
      <c r="C790" s="31"/>
      <c r="D790" s="31"/>
    </row>
    <row r="791" ht="15.75" customHeight="1">
      <c r="A791" s="31"/>
      <c r="B791" s="31"/>
      <c r="C791" s="31"/>
      <c r="D791" s="31"/>
    </row>
    <row r="792" ht="15.75" customHeight="1">
      <c r="A792" s="31"/>
      <c r="B792" s="31"/>
      <c r="C792" s="31"/>
      <c r="D792" s="31"/>
    </row>
    <row r="793" ht="15.75" customHeight="1">
      <c r="A793" s="31"/>
      <c r="B793" s="31"/>
      <c r="C793" s="31"/>
      <c r="D793" s="31"/>
    </row>
    <row r="794" ht="15.75" customHeight="1">
      <c r="A794" s="31"/>
      <c r="B794" s="31"/>
      <c r="C794" s="31"/>
      <c r="D794" s="31"/>
    </row>
    <row r="795" ht="15.75" customHeight="1">
      <c r="A795" s="31"/>
      <c r="B795" s="31"/>
      <c r="C795" s="31"/>
      <c r="D795" s="31"/>
    </row>
    <row r="796" ht="15.75" customHeight="1">
      <c r="A796" s="31"/>
      <c r="B796" s="31"/>
      <c r="C796" s="31"/>
      <c r="D796" s="31"/>
    </row>
    <row r="797" ht="15.75" customHeight="1">
      <c r="A797" s="31"/>
      <c r="B797" s="31"/>
      <c r="C797" s="31"/>
      <c r="D797" s="31"/>
    </row>
    <row r="798" ht="15.75" customHeight="1">
      <c r="A798" s="31"/>
      <c r="B798" s="31"/>
      <c r="C798" s="31"/>
      <c r="D798" s="31"/>
    </row>
    <row r="799" ht="15.75" customHeight="1">
      <c r="A799" s="31"/>
      <c r="B799" s="31"/>
      <c r="C799" s="31"/>
      <c r="D799" s="31"/>
    </row>
    <row r="800" ht="15.75" customHeight="1">
      <c r="A800" s="31"/>
      <c r="B800" s="31"/>
      <c r="C800" s="31"/>
      <c r="D800" s="31"/>
    </row>
    <row r="801" ht="15.75" customHeight="1">
      <c r="A801" s="31"/>
      <c r="B801" s="31"/>
      <c r="C801" s="31"/>
      <c r="D801" s="31"/>
    </row>
    <row r="802" ht="15.75" customHeight="1">
      <c r="A802" s="31"/>
      <c r="B802" s="31"/>
      <c r="C802" s="31"/>
      <c r="D802" s="31"/>
    </row>
    <row r="803" ht="15.75" customHeight="1">
      <c r="A803" s="31"/>
      <c r="B803" s="31"/>
      <c r="C803" s="31"/>
      <c r="D803" s="31"/>
    </row>
    <row r="804" ht="15.75" customHeight="1">
      <c r="A804" s="31"/>
      <c r="B804" s="31"/>
      <c r="C804" s="31"/>
      <c r="D804" s="31"/>
    </row>
    <row r="805" ht="15.75" customHeight="1">
      <c r="A805" s="31"/>
      <c r="B805" s="31"/>
      <c r="C805" s="31"/>
      <c r="D805" s="31"/>
    </row>
    <row r="806" ht="15.75" customHeight="1">
      <c r="A806" s="31"/>
      <c r="B806" s="31"/>
      <c r="C806" s="31"/>
      <c r="D806" s="31"/>
    </row>
    <row r="807" ht="15.75" customHeight="1">
      <c r="A807" s="31"/>
      <c r="B807" s="31"/>
      <c r="C807" s="31"/>
      <c r="D807" s="31"/>
    </row>
    <row r="808" ht="15.75" customHeight="1">
      <c r="A808" s="31"/>
      <c r="B808" s="31"/>
      <c r="C808" s="31"/>
      <c r="D808" s="31"/>
    </row>
    <row r="809" ht="15.75" customHeight="1">
      <c r="A809" s="31"/>
      <c r="B809" s="31"/>
      <c r="C809" s="31"/>
      <c r="D809" s="31"/>
    </row>
    <row r="810" ht="15.75" customHeight="1">
      <c r="A810" s="31"/>
      <c r="B810" s="31"/>
      <c r="C810" s="31"/>
      <c r="D810" s="31"/>
    </row>
    <row r="811" ht="15.75" customHeight="1">
      <c r="A811" s="31"/>
      <c r="B811" s="31"/>
      <c r="C811" s="31"/>
      <c r="D811" s="31"/>
    </row>
    <row r="812" ht="15.75" customHeight="1">
      <c r="A812" s="31"/>
      <c r="B812" s="31"/>
      <c r="C812" s="31"/>
      <c r="D812" s="31"/>
    </row>
    <row r="813" ht="15.75" customHeight="1">
      <c r="A813" s="31"/>
      <c r="B813" s="31"/>
      <c r="C813" s="31"/>
      <c r="D813" s="31"/>
    </row>
    <row r="814" ht="15.75" customHeight="1">
      <c r="A814" s="31"/>
      <c r="B814" s="31"/>
      <c r="C814" s="31"/>
      <c r="D814" s="31"/>
    </row>
    <row r="815" ht="15.75" customHeight="1">
      <c r="A815" s="31"/>
      <c r="B815" s="31"/>
      <c r="C815" s="31"/>
      <c r="D815" s="31"/>
    </row>
    <row r="816" ht="15.75" customHeight="1">
      <c r="A816" s="31"/>
      <c r="B816" s="31"/>
      <c r="C816" s="31"/>
      <c r="D816" s="31"/>
    </row>
    <row r="817" ht="15.75" customHeight="1">
      <c r="A817" s="31"/>
      <c r="B817" s="31"/>
      <c r="C817" s="31"/>
      <c r="D817" s="31"/>
    </row>
    <row r="818" ht="15.75" customHeight="1">
      <c r="A818" s="31"/>
      <c r="B818" s="31"/>
      <c r="C818" s="31"/>
      <c r="D818" s="31"/>
    </row>
    <row r="819" ht="15.75" customHeight="1">
      <c r="A819" s="31"/>
      <c r="B819" s="31"/>
      <c r="C819" s="31"/>
      <c r="D819" s="31"/>
    </row>
    <row r="820" ht="15.75" customHeight="1">
      <c r="A820" s="31"/>
      <c r="B820" s="31"/>
      <c r="C820" s="31"/>
      <c r="D820" s="31"/>
    </row>
    <row r="821" ht="15.75" customHeight="1">
      <c r="A821" s="31"/>
      <c r="B821" s="31"/>
      <c r="C821" s="31"/>
      <c r="D821" s="31"/>
    </row>
    <row r="822" ht="15.75" customHeight="1">
      <c r="A822" s="31"/>
      <c r="B822" s="31"/>
      <c r="C822" s="31"/>
      <c r="D822" s="31"/>
    </row>
    <row r="823" ht="15.75" customHeight="1">
      <c r="A823" s="31"/>
      <c r="B823" s="31"/>
      <c r="C823" s="31"/>
      <c r="D823" s="31"/>
    </row>
    <row r="824" ht="15.75" customHeight="1">
      <c r="A824" s="31"/>
      <c r="B824" s="31"/>
      <c r="C824" s="31"/>
      <c r="D824" s="31"/>
    </row>
    <row r="825" ht="15.75" customHeight="1">
      <c r="A825" s="31"/>
      <c r="B825" s="31"/>
      <c r="C825" s="31"/>
      <c r="D825" s="31"/>
    </row>
    <row r="826" ht="15.75" customHeight="1">
      <c r="A826" s="31"/>
      <c r="B826" s="31"/>
      <c r="C826" s="31"/>
      <c r="D826" s="31"/>
    </row>
    <row r="827" ht="15.75" customHeight="1">
      <c r="A827" s="31"/>
      <c r="B827" s="31"/>
      <c r="C827" s="31"/>
      <c r="D827" s="31"/>
    </row>
    <row r="828" ht="15.75" customHeight="1">
      <c r="A828" s="31"/>
      <c r="B828" s="31"/>
      <c r="C828" s="31"/>
      <c r="D828" s="31"/>
    </row>
    <row r="829" ht="15.75" customHeight="1">
      <c r="A829" s="31"/>
      <c r="B829" s="31"/>
      <c r="C829" s="31"/>
      <c r="D829" s="31"/>
    </row>
    <row r="830" ht="15.75" customHeight="1">
      <c r="A830" s="31"/>
      <c r="B830" s="31"/>
      <c r="C830" s="31"/>
      <c r="D830" s="31"/>
    </row>
    <row r="831" ht="15.75" customHeight="1">
      <c r="A831" s="31"/>
      <c r="B831" s="31"/>
      <c r="C831" s="31"/>
      <c r="D831" s="31"/>
    </row>
    <row r="832" ht="15.75" customHeight="1">
      <c r="A832" s="31"/>
      <c r="B832" s="31"/>
      <c r="C832" s="31"/>
      <c r="D832" s="31"/>
    </row>
    <row r="833" ht="15.75" customHeight="1">
      <c r="A833" s="31"/>
      <c r="B833" s="31"/>
      <c r="C833" s="31"/>
      <c r="D833" s="31"/>
    </row>
    <row r="834" ht="15.75" customHeight="1">
      <c r="A834" s="31"/>
      <c r="B834" s="31"/>
      <c r="C834" s="31"/>
      <c r="D834" s="31"/>
    </row>
    <row r="835" ht="15.75" customHeight="1">
      <c r="A835" s="31"/>
      <c r="B835" s="31"/>
      <c r="C835" s="31"/>
      <c r="D835" s="31"/>
    </row>
    <row r="836" ht="15.75" customHeight="1">
      <c r="A836" s="31"/>
      <c r="B836" s="31"/>
      <c r="C836" s="31"/>
      <c r="D836" s="31"/>
    </row>
    <row r="837" ht="15.75" customHeight="1">
      <c r="A837" s="31"/>
      <c r="B837" s="31"/>
      <c r="C837" s="31"/>
      <c r="D837" s="31"/>
    </row>
    <row r="838" ht="15.75" customHeight="1">
      <c r="A838" s="31"/>
      <c r="B838" s="31"/>
      <c r="C838" s="31"/>
      <c r="D838" s="31"/>
    </row>
    <row r="839" ht="15.75" customHeight="1">
      <c r="A839" s="31"/>
      <c r="B839" s="31"/>
      <c r="C839" s="31"/>
      <c r="D839" s="31"/>
    </row>
    <row r="840" ht="15.75" customHeight="1">
      <c r="A840" s="31"/>
      <c r="B840" s="31"/>
      <c r="C840" s="31"/>
      <c r="D840" s="31"/>
    </row>
    <row r="841" ht="15.75" customHeight="1">
      <c r="A841" s="31"/>
      <c r="B841" s="31"/>
      <c r="C841" s="31"/>
      <c r="D841" s="31"/>
    </row>
    <row r="842" ht="15.75" customHeight="1">
      <c r="A842" s="31"/>
      <c r="B842" s="31"/>
      <c r="C842" s="31"/>
      <c r="D842" s="31"/>
    </row>
    <row r="843" ht="15.75" customHeight="1">
      <c r="A843" s="31"/>
      <c r="B843" s="31"/>
      <c r="C843" s="31"/>
      <c r="D843" s="31"/>
    </row>
    <row r="844" ht="15.75" customHeight="1">
      <c r="A844" s="31"/>
      <c r="B844" s="31"/>
      <c r="C844" s="31"/>
      <c r="D844" s="31"/>
    </row>
    <row r="845" ht="15.75" customHeight="1">
      <c r="A845" s="31"/>
      <c r="B845" s="31"/>
      <c r="C845" s="31"/>
      <c r="D845" s="31"/>
    </row>
    <row r="846" ht="15.75" customHeight="1">
      <c r="A846" s="31"/>
      <c r="B846" s="31"/>
      <c r="C846" s="31"/>
      <c r="D846" s="31"/>
    </row>
    <row r="847" ht="15.75" customHeight="1">
      <c r="A847" s="31"/>
      <c r="B847" s="31"/>
      <c r="C847" s="31"/>
      <c r="D847" s="31"/>
    </row>
    <row r="848" ht="15.75" customHeight="1">
      <c r="A848" s="31"/>
      <c r="B848" s="31"/>
      <c r="C848" s="31"/>
      <c r="D848" s="31"/>
    </row>
    <row r="849" ht="15.75" customHeight="1">
      <c r="A849" s="31"/>
      <c r="B849" s="31"/>
      <c r="C849" s="31"/>
      <c r="D849" s="31"/>
    </row>
    <row r="850" ht="15.75" customHeight="1">
      <c r="A850" s="31"/>
      <c r="B850" s="31"/>
      <c r="C850" s="31"/>
      <c r="D850" s="31"/>
    </row>
    <row r="851" ht="15.75" customHeight="1">
      <c r="A851" s="31"/>
      <c r="B851" s="31"/>
      <c r="C851" s="31"/>
      <c r="D851" s="31"/>
    </row>
    <row r="852" ht="15.75" customHeight="1">
      <c r="A852" s="31"/>
      <c r="B852" s="31"/>
      <c r="C852" s="31"/>
      <c r="D852" s="31"/>
    </row>
    <row r="853" ht="15.75" customHeight="1">
      <c r="A853" s="31"/>
      <c r="B853" s="31"/>
      <c r="C853" s="31"/>
      <c r="D853" s="31"/>
    </row>
    <row r="854" ht="15.75" customHeight="1">
      <c r="A854" s="31"/>
      <c r="B854" s="31"/>
      <c r="C854" s="31"/>
      <c r="D854" s="31"/>
    </row>
    <row r="855" ht="15.75" customHeight="1">
      <c r="A855" s="31"/>
      <c r="B855" s="31"/>
      <c r="C855" s="31"/>
      <c r="D855" s="31"/>
    </row>
    <row r="856" ht="15.75" customHeight="1">
      <c r="A856" s="31"/>
      <c r="B856" s="31"/>
      <c r="C856" s="31"/>
      <c r="D856" s="31"/>
    </row>
    <row r="857" ht="15.75" customHeight="1">
      <c r="A857" s="31"/>
      <c r="B857" s="31"/>
      <c r="C857" s="31"/>
      <c r="D857" s="31"/>
    </row>
    <row r="858" ht="15.75" customHeight="1">
      <c r="A858" s="31"/>
      <c r="B858" s="31"/>
      <c r="C858" s="31"/>
      <c r="D858" s="31"/>
    </row>
    <row r="859" ht="15.75" customHeight="1">
      <c r="A859" s="31"/>
      <c r="B859" s="31"/>
      <c r="C859" s="31"/>
      <c r="D859" s="31"/>
    </row>
    <row r="860" ht="15.75" customHeight="1">
      <c r="A860" s="31"/>
      <c r="B860" s="31"/>
      <c r="C860" s="31"/>
      <c r="D860" s="31"/>
    </row>
    <row r="861" ht="15.75" customHeight="1">
      <c r="A861" s="31"/>
      <c r="B861" s="31"/>
      <c r="C861" s="31"/>
      <c r="D861" s="31"/>
    </row>
    <row r="862" ht="15.75" customHeight="1">
      <c r="A862" s="31"/>
      <c r="B862" s="31"/>
      <c r="C862" s="31"/>
      <c r="D862" s="31"/>
    </row>
    <row r="863" ht="15.75" customHeight="1">
      <c r="A863" s="31"/>
      <c r="B863" s="31"/>
      <c r="C863" s="31"/>
      <c r="D863" s="31"/>
    </row>
    <row r="864" ht="15.75" customHeight="1">
      <c r="A864" s="31"/>
      <c r="B864" s="31"/>
      <c r="C864" s="31"/>
      <c r="D864" s="31"/>
    </row>
    <row r="865" ht="15.75" customHeight="1">
      <c r="A865" s="31"/>
      <c r="B865" s="31"/>
      <c r="C865" s="31"/>
      <c r="D865" s="31"/>
    </row>
    <row r="866" ht="15.75" customHeight="1">
      <c r="A866" s="31"/>
      <c r="B866" s="31"/>
      <c r="C866" s="31"/>
      <c r="D866" s="31"/>
    </row>
    <row r="867" ht="15.75" customHeight="1">
      <c r="A867" s="31"/>
      <c r="B867" s="31"/>
      <c r="C867" s="31"/>
      <c r="D867" s="31"/>
    </row>
    <row r="868" ht="15.75" customHeight="1">
      <c r="A868" s="31"/>
      <c r="B868" s="31"/>
      <c r="C868" s="31"/>
      <c r="D868" s="31"/>
    </row>
    <row r="869" ht="15.75" customHeight="1">
      <c r="A869" s="31"/>
      <c r="B869" s="31"/>
      <c r="C869" s="31"/>
      <c r="D869" s="31"/>
    </row>
    <row r="870" ht="15.75" customHeight="1">
      <c r="A870" s="31"/>
      <c r="B870" s="31"/>
      <c r="C870" s="31"/>
      <c r="D870" s="31"/>
    </row>
    <row r="871" ht="15.75" customHeight="1">
      <c r="A871" s="31"/>
      <c r="B871" s="31"/>
      <c r="C871" s="31"/>
      <c r="D871" s="31"/>
    </row>
    <row r="872" ht="15.75" customHeight="1">
      <c r="A872" s="31"/>
      <c r="B872" s="31"/>
      <c r="C872" s="31"/>
      <c r="D872" s="31"/>
    </row>
    <row r="873" ht="15.75" customHeight="1">
      <c r="A873" s="31"/>
      <c r="B873" s="31"/>
      <c r="C873" s="31"/>
      <c r="D873" s="31"/>
    </row>
    <row r="874" ht="15.75" customHeight="1">
      <c r="A874" s="31"/>
      <c r="B874" s="31"/>
      <c r="C874" s="31"/>
      <c r="D874" s="31"/>
    </row>
    <row r="875" ht="15.75" customHeight="1">
      <c r="A875" s="31"/>
      <c r="B875" s="31"/>
      <c r="C875" s="31"/>
      <c r="D875" s="31"/>
    </row>
    <row r="876" ht="15.75" customHeight="1">
      <c r="A876" s="31"/>
      <c r="B876" s="31"/>
      <c r="C876" s="31"/>
      <c r="D876" s="31"/>
    </row>
    <row r="877" ht="15.75" customHeight="1">
      <c r="A877" s="31"/>
      <c r="B877" s="31"/>
      <c r="C877" s="31"/>
      <c r="D877" s="31"/>
    </row>
    <row r="878" ht="15.75" customHeight="1">
      <c r="A878" s="31"/>
      <c r="B878" s="31"/>
      <c r="C878" s="31"/>
      <c r="D878" s="31"/>
    </row>
    <row r="879" ht="15.75" customHeight="1">
      <c r="A879" s="31"/>
      <c r="B879" s="31"/>
      <c r="C879" s="31"/>
      <c r="D879" s="31"/>
    </row>
    <row r="880" ht="15.75" customHeight="1">
      <c r="A880" s="31"/>
      <c r="B880" s="31"/>
      <c r="C880" s="31"/>
      <c r="D880" s="31"/>
    </row>
    <row r="881" ht="15.75" customHeight="1">
      <c r="A881" s="31"/>
      <c r="B881" s="31"/>
      <c r="C881" s="31"/>
      <c r="D881" s="31"/>
    </row>
    <row r="882" ht="15.75" customHeight="1">
      <c r="A882" s="31"/>
      <c r="B882" s="31"/>
      <c r="C882" s="31"/>
      <c r="D882" s="31"/>
    </row>
    <row r="883" ht="15.75" customHeight="1">
      <c r="A883" s="31"/>
      <c r="B883" s="31"/>
      <c r="C883" s="31"/>
      <c r="D883" s="31"/>
    </row>
    <row r="884" ht="15.75" customHeight="1">
      <c r="A884" s="31"/>
      <c r="B884" s="31"/>
      <c r="C884" s="31"/>
      <c r="D884" s="31"/>
    </row>
    <row r="885" ht="15.75" customHeight="1">
      <c r="A885" s="31"/>
      <c r="B885" s="31"/>
      <c r="C885" s="31"/>
      <c r="D885" s="31"/>
    </row>
    <row r="886" ht="15.75" customHeight="1">
      <c r="A886" s="31"/>
      <c r="B886" s="31"/>
      <c r="C886" s="31"/>
      <c r="D886" s="31"/>
    </row>
    <row r="887" ht="15.75" customHeight="1">
      <c r="A887" s="31"/>
      <c r="B887" s="31"/>
      <c r="C887" s="31"/>
      <c r="D887" s="31"/>
    </row>
    <row r="888" ht="15.75" customHeight="1">
      <c r="A888" s="31"/>
      <c r="B888" s="31"/>
      <c r="C888" s="31"/>
      <c r="D888" s="31"/>
    </row>
    <row r="889" ht="15.75" customHeight="1">
      <c r="A889" s="31"/>
      <c r="B889" s="31"/>
      <c r="C889" s="31"/>
      <c r="D889" s="31"/>
    </row>
    <row r="890" ht="15.75" customHeight="1">
      <c r="A890" s="31"/>
      <c r="B890" s="31"/>
      <c r="C890" s="31"/>
      <c r="D890" s="31"/>
    </row>
    <row r="891" ht="15.75" customHeight="1">
      <c r="A891" s="31"/>
      <c r="B891" s="31"/>
      <c r="C891" s="31"/>
      <c r="D891" s="31"/>
    </row>
    <row r="892" ht="15.75" customHeight="1">
      <c r="A892" s="31"/>
      <c r="B892" s="31"/>
      <c r="C892" s="31"/>
      <c r="D892" s="31"/>
    </row>
    <row r="893" ht="15.75" customHeight="1">
      <c r="A893" s="31"/>
      <c r="B893" s="31"/>
      <c r="C893" s="31"/>
      <c r="D893" s="31"/>
    </row>
    <row r="894" ht="15.75" customHeight="1">
      <c r="A894" s="31"/>
      <c r="B894" s="31"/>
      <c r="C894" s="31"/>
      <c r="D894" s="31"/>
    </row>
    <row r="895" ht="15.75" customHeight="1">
      <c r="A895" s="31"/>
      <c r="B895" s="31"/>
      <c r="C895" s="31"/>
      <c r="D895" s="31"/>
    </row>
    <row r="896" ht="15.75" customHeight="1">
      <c r="A896" s="31"/>
      <c r="B896" s="31"/>
      <c r="C896" s="31"/>
      <c r="D896" s="31"/>
    </row>
    <row r="897" ht="15.75" customHeight="1">
      <c r="A897" s="31"/>
      <c r="B897" s="31"/>
      <c r="C897" s="31"/>
      <c r="D897" s="31"/>
    </row>
    <row r="898" ht="15.75" customHeight="1">
      <c r="A898" s="31"/>
      <c r="B898" s="31"/>
      <c r="C898" s="31"/>
      <c r="D898" s="31"/>
    </row>
    <row r="899" ht="15.75" customHeight="1">
      <c r="A899" s="31"/>
      <c r="B899" s="31"/>
      <c r="C899" s="31"/>
      <c r="D899" s="31"/>
    </row>
    <row r="900" ht="15.75" customHeight="1">
      <c r="A900" s="31"/>
      <c r="B900" s="31"/>
      <c r="C900" s="31"/>
      <c r="D900" s="31"/>
    </row>
    <row r="901" ht="15.75" customHeight="1">
      <c r="A901" s="31"/>
      <c r="B901" s="31"/>
      <c r="C901" s="31"/>
      <c r="D901" s="31"/>
    </row>
    <row r="902" ht="15.75" customHeight="1">
      <c r="A902" s="31"/>
      <c r="B902" s="31"/>
      <c r="C902" s="31"/>
      <c r="D902" s="31"/>
    </row>
    <row r="903" ht="15.75" customHeight="1">
      <c r="A903" s="31"/>
      <c r="B903" s="31"/>
      <c r="C903" s="31"/>
      <c r="D903" s="31"/>
    </row>
    <row r="904" ht="15.75" customHeight="1">
      <c r="A904" s="31"/>
      <c r="B904" s="31"/>
      <c r="C904" s="31"/>
      <c r="D904" s="31"/>
    </row>
    <row r="905" ht="15.75" customHeight="1">
      <c r="A905" s="31"/>
      <c r="B905" s="31"/>
      <c r="C905" s="31"/>
      <c r="D905" s="31"/>
    </row>
    <row r="906" ht="15.75" customHeight="1">
      <c r="A906" s="31"/>
      <c r="B906" s="31"/>
      <c r="C906" s="31"/>
      <c r="D906" s="31"/>
    </row>
    <row r="907" ht="15.75" customHeight="1">
      <c r="A907" s="31"/>
      <c r="B907" s="31"/>
      <c r="C907" s="31"/>
      <c r="D907" s="31"/>
    </row>
    <row r="908" ht="15.75" customHeight="1">
      <c r="A908" s="31"/>
      <c r="B908" s="31"/>
      <c r="C908" s="31"/>
      <c r="D908" s="31"/>
    </row>
    <row r="909" ht="15.75" customHeight="1">
      <c r="A909" s="31"/>
      <c r="B909" s="31"/>
      <c r="C909" s="31"/>
      <c r="D909" s="31"/>
    </row>
    <row r="910" ht="15.75" customHeight="1">
      <c r="A910" s="31"/>
      <c r="B910" s="31"/>
      <c r="C910" s="31"/>
      <c r="D910" s="31"/>
    </row>
    <row r="911" ht="15.75" customHeight="1">
      <c r="A911" s="31"/>
      <c r="B911" s="31"/>
      <c r="C911" s="31"/>
      <c r="D911" s="31"/>
    </row>
    <row r="912" ht="15.75" customHeight="1">
      <c r="A912" s="31"/>
      <c r="B912" s="31"/>
      <c r="C912" s="31"/>
      <c r="D912" s="31"/>
    </row>
    <row r="913" ht="15.75" customHeight="1">
      <c r="A913" s="31"/>
      <c r="B913" s="31"/>
      <c r="C913" s="31"/>
      <c r="D913" s="31"/>
    </row>
    <row r="914" ht="15.75" customHeight="1">
      <c r="A914" s="31"/>
      <c r="B914" s="31"/>
      <c r="C914" s="31"/>
      <c r="D914" s="31"/>
    </row>
    <row r="915" ht="15.75" customHeight="1">
      <c r="A915" s="31"/>
      <c r="B915" s="31"/>
      <c r="C915" s="31"/>
      <c r="D915" s="31"/>
    </row>
    <row r="916" ht="15.75" customHeight="1">
      <c r="A916" s="31"/>
      <c r="B916" s="31"/>
      <c r="C916" s="31"/>
      <c r="D916" s="31"/>
    </row>
    <row r="917" ht="15.75" customHeight="1">
      <c r="A917" s="31"/>
      <c r="B917" s="31"/>
      <c r="C917" s="31"/>
      <c r="D917" s="31"/>
    </row>
    <row r="918" ht="15.75" customHeight="1">
      <c r="A918" s="31"/>
      <c r="B918" s="31"/>
      <c r="C918" s="31"/>
      <c r="D918" s="31"/>
    </row>
    <row r="919" ht="15.75" customHeight="1">
      <c r="A919" s="31"/>
      <c r="B919" s="31"/>
      <c r="C919" s="31"/>
      <c r="D919" s="31"/>
    </row>
    <row r="920" ht="15.75" customHeight="1">
      <c r="A920" s="31"/>
      <c r="B920" s="31"/>
      <c r="C920" s="31"/>
      <c r="D920" s="31"/>
    </row>
    <row r="921" ht="15.75" customHeight="1">
      <c r="A921" s="31"/>
      <c r="B921" s="31"/>
      <c r="C921" s="31"/>
      <c r="D921" s="31"/>
    </row>
    <row r="922" ht="15.75" customHeight="1">
      <c r="A922" s="31"/>
      <c r="B922" s="31"/>
      <c r="C922" s="31"/>
      <c r="D922" s="31"/>
    </row>
    <row r="923" ht="15.75" customHeight="1">
      <c r="A923" s="31"/>
      <c r="B923" s="31"/>
      <c r="C923" s="31"/>
      <c r="D923" s="31"/>
    </row>
    <row r="924" ht="15.75" customHeight="1">
      <c r="A924" s="31"/>
      <c r="B924" s="31"/>
      <c r="C924" s="31"/>
      <c r="D924" s="31"/>
    </row>
    <row r="925" ht="15.75" customHeight="1">
      <c r="A925" s="31"/>
      <c r="B925" s="31"/>
      <c r="C925" s="31"/>
      <c r="D925" s="31"/>
    </row>
    <row r="926" ht="15.75" customHeight="1">
      <c r="A926" s="31"/>
      <c r="B926" s="31"/>
      <c r="C926" s="31"/>
      <c r="D926" s="31"/>
    </row>
    <row r="927" ht="15.75" customHeight="1">
      <c r="A927" s="31"/>
      <c r="B927" s="31"/>
      <c r="C927" s="31"/>
      <c r="D927" s="31"/>
    </row>
    <row r="928" ht="15.75" customHeight="1">
      <c r="A928" s="31"/>
      <c r="B928" s="31"/>
      <c r="C928" s="31"/>
      <c r="D928" s="31"/>
    </row>
    <row r="929" ht="15.75" customHeight="1">
      <c r="A929" s="31"/>
      <c r="B929" s="31"/>
      <c r="C929" s="31"/>
      <c r="D929" s="31"/>
    </row>
    <row r="930" ht="15.75" customHeight="1">
      <c r="A930" s="31"/>
      <c r="B930" s="31"/>
      <c r="C930" s="31"/>
      <c r="D930" s="31"/>
    </row>
    <row r="931" ht="15.75" customHeight="1">
      <c r="A931" s="31"/>
      <c r="B931" s="31"/>
      <c r="C931" s="31"/>
      <c r="D931" s="31"/>
    </row>
    <row r="932" ht="15.75" customHeight="1">
      <c r="A932" s="31"/>
      <c r="B932" s="31"/>
      <c r="C932" s="31"/>
      <c r="D932" s="31"/>
    </row>
    <row r="933" ht="15.75" customHeight="1">
      <c r="A933" s="31"/>
      <c r="B933" s="31"/>
      <c r="C933" s="31"/>
      <c r="D933" s="31"/>
    </row>
    <row r="934" ht="15.75" customHeight="1">
      <c r="A934" s="31"/>
      <c r="B934" s="31"/>
      <c r="C934" s="31"/>
      <c r="D934" s="31"/>
    </row>
    <row r="935" ht="15.75" customHeight="1">
      <c r="A935" s="31"/>
      <c r="B935" s="31"/>
      <c r="C935" s="31"/>
      <c r="D935" s="31"/>
    </row>
    <row r="936" ht="15.75" customHeight="1">
      <c r="A936" s="31"/>
      <c r="B936" s="31"/>
      <c r="C936" s="31"/>
      <c r="D936" s="31"/>
    </row>
    <row r="937" ht="15.75" customHeight="1">
      <c r="A937" s="31"/>
      <c r="B937" s="31"/>
      <c r="C937" s="31"/>
      <c r="D937" s="31"/>
    </row>
    <row r="938" ht="15.75" customHeight="1">
      <c r="A938" s="31"/>
      <c r="B938" s="31"/>
      <c r="C938" s="31"/>
      <c r="D938" s="31"/>
    </row>
    <row r="939" ht="15.75" customHeight="1">
      <c r="A939" s="31"/>
      <c r="B939" s="31"/>
      <c r="C939" s="31"/>
      <c r="D939" s="31"/>
    </row>
    <row r="940" ht="15.75" customHeight="1">
      <c r="A940" s="31"/>
      <c r="B940" s="31"/>
      <c r="C940" s="31"/>
      <c r="D940" s="31"/>
    </row>
    <row r="941" ht="15.75" customHeight="1">
      <c r="A941" s="31"/>
      <c r="B941" s="31"/>
      <c r="C941" s="31"/>
      <c r="D941" s="31"/>
    </row>
    <row r="942" ht="15.75" customHeight="1">
      <c r="A942" s="31"/>
      <c r="B942" s="31"/>
      <c r="C942" s="31"/>
      <c r="D942" s="31"/>
    </row>
    <row r="943" ht="15.75" customHeight="1">
      <c r="A943" s="31"/>
      <c r="B943" s="31"/>
      <c r="C943" s="31"/>
      <c r="D943" s="31"/>
    </row>
    <row r="944" ht="15.75" customHeight="1">
      <c r="A944" s="31"/>
      <c r="B944" s="31"/>
      <c r="C944" s="31"/>
      <c r="D944" s="31"/>
    </row>
    <row r="945" ht="15.75" customHeight="1">
      <c r="A945" s="31"/>
      <c r="B945" s="31"/>
      <c r="C945" s="31"/>
      <c r="D945" s="31"/>
    </row>
    <row r="946" ht="15.75" customHeight="1">
      <c r="A946" s="31"/>
      <c r="B946" s="31"/>
      <c r="C946" s="31"/>
      <c r="D946" s="31"/>
    </row>
    <row r="947" ht="15.75" customHeight="1">
      <c r="A947" s="31"/>
      <c r="B947" s="31"/>
      <c r="C947" s="31"/>
      <c r="D947" s="31"/>
    </row>
    <row r="948" ht="15.75" customHeight="1">
      <c r="A948" s="31"/>
      <c r="B948" s="31"/>
      <c r="C948" s="31"/>
      <c r="D948" s="31"/>
    </row>
    <row r="949" ht="15.75" customHeight="1">
      <c r="A949" s="31"/>
      <c r="B949" s="31"/>
      <c r="C949" s="31"/>
      <c r="D949" s="31"/>
    </row>
    <row r="950" ht="15.75" customHeight="1">
      <c r="A950" s="31"/>
      <c r="B950" s="31"/>
      <c r="C950" s="31"/>
      <c r="D950" s="31"/>
    </row>
    <row r="951" ht="15.75" customHeight="1">
      <c r="A951" s="31"/>
      <c r="B951" s="31"/>
      <c r="C951" s="31"/>
      <c r="D951" s="31"/>
    </row>
    <row r="952" ht="15.75" customHeight="1">
      <c r="A952" s="31"/>
      <c r="B952" s="31"/>
      <c r="C952" s="31"/>
      <c r="D952" s="31"/>
    </row>
    <row r="953" ht="15.75" customHeight="1">
      <c r="A953" s="31"/>
      <c r="B953" s="31"/>
      <c r="C953" s="31"/>
      <c r="D953" s="31"/>
    </row>
    <row r="954" ht="15.75" customHeight="1">
      <c r="A954" s="31"/>
      <c r="B954" s="31"/>
      <c r="C954" s="31"/>
      <c r="D954" s="31"/>
    </row>
    <row r="955" ht="15.75" customHeight="1">
      <c r="A955" s="31"/>
      <c r="B955" s="31"/>
      <c r="C955" s="31"/>
      <c r="D955" s="31"/>
    </row>
    <row r="956" ht="15.75" customHeight="1">
      <c r="A956" s="31"/>
      <c r="B956" s="31"/>
      <c r="C956" s="31"/>
      <c r="D956" s="31"/>
    </row>
    <row r="957" ht="15.75" customHeight="1">
      <c r="A957" s="31"/>
      <c r="B957" s="31"/>
      <c r="C957" s="31"/>
      <c r="D957" s="31"/>
    </row>
    <row r="958" ht="15.75" customHeight="1">
      <c r="A958" s="31"/>
      <c r="B958" s="31"/>
      <c r="C958" s="31"/>
      <c r="D958" s="31"/>
    </row>
    <row r="959" ht="15.75" customHeight="1">
      <c r="A959" s="31"/>
      <c r="B959" s="31"/>
      <c r="C959" s="31"/>
      <c r="D959" s="31"/>
    </row>
    <row r="960" ht="15.75" customHeight="1">
      <c r="A960" s="31"/>
      <c r="B960" s="31"/>
      <c r="C960" s="31"/>
      <c r="D960" s="31"/>
    </row>
    <row r="961" ht="15.75" customHeight="1">
      <c r="A961" s="31"/>
      <c r="B961" s="31"/>
      <c r="C961" s="31"/>
      <c r="D961" s="31"/>
    </row>
    <row r="962" ht="15.75" customHeight="1">
      <c r="A962" s="31"/>
      <c r="B962" s="31"/>
      <c r="C962" s="31"/>
      <c r="D962" s="31"/>
    </row>
    <row r="963" ht="15.75" customHeight="1">
      <c r="A963" s="31"/>
      <c r="B963" s="31"/>
      <c r="C963" s="31"/>
      <c r="D963" s="31"/>
    </row>
    <row r="964" ht="15.75" customHeight="1">
      <c r="A964" s="31"/>
      <c r="B964" s="31"/>
      <c r="C964" s="31"/>
      <c r="D964" s="31"/>
    </row>
    <row r="965" ht="15.75" customHeight="1">
      <c r="A965" s="31"/>
      <c r="B965" s="31"/>
      <c r="C965" s="31"/>
      <c r="D965" s="31"/>
    </row>
    <row r="966" ht="15.75" customHeight="1">
      <c r="A966" s="31"/>
      <c r="B966" s="31"/>
      <c r="C966" s="31"/>
      <c r="D966" s="31"/>
    </row>
    <row r="967" ht="15.75" customHeight="1">
      <c r="A967" s="31"/>
      <c r="B967" s="31"/>
      <c r="C967" s="31"/>
      <c r="D967" s="31"/>
    </row>
    <row r="968" ht="15.75" customHeight="1">
      <c r="A968" s="31"/>
      <c r="B968" s="31"/>
      <c r="C968" s="31"/>
      <c r="D968" s="31"/>
    </row>
    <row r="969" ht="15.75" customHeight="1">
      <c r="A969" s="31"/>
      <c r="B969" s="31"/>
      <c r="C969" s="31"/>
      <c r="D969" s="31"/>
    </row>
    <row r="970" ht="15.75" customHeight="1">
      <c r="A970" s="31"/>
      <c r="B970" s="31"/>
      <c r="C970" s="31"/>
      <c r="D970" s="31"/>
    </row>
    <row r="971" ht="15.75" customHeight="1">
      <c r="A971" s="31"/>
      <c r="B971" s="31"/>
      <c r="C971" s="31"/>
      <c r="D971" s="31"/>
    </row>
    <row r="972" ht="15.75" customHeight="1">
      <c r="A972" s="31"/>
      <c r="B972" s="31"/>
      <c r="C972" s="31"/>
      <c r="D972" s="31"/>
    </row>
    <row r="973" ht="15.75" customHeight="1">
      <c r="A973" s="31"/>
      <c r="B973" s="31"/>
      <c r="C973" s="31"/>
      <c r="D973" s="31"/>
    </row>
    <row r="974" ht="15.75" customHeight="1">
      <c r="A974" s="31"/>
      <c r="B974" s="31"/>
      <c r="C974" s="31"/>
      <c r="D974" s="31"/>
    </row>
    <row r="975" ht="15.75" customHeight="1">
      <c r="A975" s="31"/>
      <c r="B975" s="31"/>
      <c r="C975" s="31"/>
      <c r="D975" s="31"/>
    </row>
    <row r="976" ht="15.75" customHeight="1">
      <c r="A976" s="31"/>
      <c r="B976" s="31"/>
      <c r="C976" s="31"/>
      <c r="D976" s="31"/>
    </row>
    <row r="977" ht="15.75" customHeight="1">
      <c r="A977" s="31"/>
      <c r="B977" s="31"/>
      <c r="C977" s="31"/>
      <c r="D977" s="31"/>
    </row>
    <row r="978" ht="15.75" customHeight="1">
      <c r="A978" s="31"/>
      <c r="B978" s="31"/>
      <c r="C978" s="31"/>
      <c r="D978" s="31"/>
    </row>
    <row r="979" ht="15.75" customHeight="1">
      <c r="A979" s="31"/>
      <c r="B979" s="31"/>
      <c r="C979" s="31"/>
      <c r="D979" s="31"/>
    </row>
    <row r="980" ht="15.75" customHeight="1">
      <c r="A980" s="31"/>
      <c r="B980" s="31"/>
      <c r="C980" s="31"/>
      <c r="D980" s="31"/>
    </row>
    <row r="981" ht="15.75" customHeight="1">
      <c r="A981" s="31"/>
      <c r="B981" s="31"/>
      <c r="C981" s="31"/>
      <c r="D981" s="31"/>
    </row>
    <row r="982" ht="15.75" customHeight="1">
      <c r="A982" s="31"/>
      <c r="B982" s="31"/>
      <c r="C982" s="31"/>
      <c r="D982" s="31"/>
    </row>
    <row r="983" ht="15.75" customHeight="1">
      <c r="A983" s="31"/>
      <c r="B983" s="31"/>
      <c r="C983" s="31"/>
      <c r="D983" s="31"/>
    </row>
    <row r="984" ht="15.75" customHeight="1">
      <c r="A984" s="31"/>
      <c r="B984" s="31"/>
      <c r="C984" s="31"/>
      <c r="D984" s="31"/>
    </row>
    <row r="985" ht="15.75" customHeight="1">
      <c r="A985" s="31"/>
      <c r="B985" s="31"/>
      <c r="C985" s="31"/>
      <c r="D985" s="31"/>
    </row>
    <row r="986" ht="15.75" customHeight="1">
      <c r="A986" s="31"/>
      <c r="B986" s="31"/>
      <c r="C986" s="31"/>
      <c r="D986" s="31"/>
    </row>
    <row r="987" ht="15.75" customHeight="1">
      <c r="A987" s="31"/>
      <c r="B987" s="31"/>
      <c r="C987" s="31"/>
      <c r="D987" s="31"/>
    </row>
    <row r="988" ht="15.75" customHeight="1">
      <c r="A988" s="31"/>
      <c r="B988" s="31"/>
      <c r="C988" s="31"/>
      <c r="D988" s="31"/>
    </row>
    <row r="989" ht="15.75" customHeight="1">
      <c r="A989" s="31"/>
      <c r="B989" s="31"/>
      <c r="C989" s="31"/>
      <c r="D989" s="31"/>
    </row>
    <row r="990" ht="15.75" customHeight="1">
      <c r="A990" s="31"/>
      <c r="B990" s="31"/>
      <c r="C990" s="31"/>
      <c r="D990" s="31"/>
    </row>
    <row r="991" ht="15.75" customHeight="1">
      <c r="A991" s="31"/>
      <c r="B991" s="31"/>
      <c r="C991" s="31"/>
      <c r="D991" s="31"/>
    </row>
    <row r="992" ht="15.75" customHeight="1">
      <c r="A992" s="31"/>
      <c r="B992" s="31"/>
      <c r="C992" s="31"/>
      <c r="D992" s="31"/>
    </row>
    <row r="993" ht="15.75" customHeight="1">
      <c r="A993" s="31"/>
      <c r="B993" s="31"/>
      <c r="C993" s="31"/>
      <c r="D993" s="31"/>
    </row>
    <row r="994" ht="15.75" customHeight="1">
      <c r="A994" s="31"/>
      <c r="B994" s="31"/>
      <c r="C994" s="31"/>
      <c r="D994" s="31"/>
    </row>
    <row r="995" ht="15.75" customHeight="1">
      <c r="A995" s="31"/>
      <c r="B995" s="31"/>
      <c r="C995" s="31"/>
      <c r="D995" s="31"/>
    </row>
    <row r="996" ht="15.75" customHeight="1">
      <c r="A996" s="31"/>
      <c r="B996" s="31"/>
      <c r="C996" s="31"/>
      <c r="D996" s="31"/>
    </row>
    <row r="997" ht="15.75" customHeight="1">
      <c r="A997" s="31"/>
      <c r="B997" s="31"/>
      <c r="C997" s="31"/>
      <c r="D997" s="31"/>
    </row>
    <row r="998" ht="15.75" customHeight="1">
      <c r="A998" s="31"/>
      <c r="B998" s="31"/>
      <c r="C998" s="31"/>
      <c r="D998" s="31"/>
    </row>
    <row r="999" ht="15.75" customHeight="1">
      <c r="A999" s="31"/>
      <c r="B999" s="31"/>
      <c r="C999" s="31"/>
      <c r="D999" s="31"/>
    </row>
    <row r="1000" ht="15.75" customHeight="1">
      <c r="A1000" s="31"/>
      <c r="B1000" s="31"/>
      <c r="C1000" s="31"/>
      <c r="D1000" s="31"/>
    </row>
  </sheetData>
  <mergeCells count="2">
    <mergeCell ref="A1:D1"/>
    <mergeCell ref="A2:D2"/>
  </mergeCells>
  <printOptions/>
  <pageMargins bottom="1.0" footer="0.0" header="0.0" left="0.75" right="0.75" top="1.0"/>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2" width="13.86"/>
    <col customWidth="1" min="3" max="3" width="11.43"/>
    <col customWidth="1" min="4" max="4" width="15.14"/>
    <col customWidth="1" min="5" max="5" width="16.43"/>
    <col customWidth="1" min="6" max="6" width="15.14"/>
    <col customWidth="1" min="7" max="7" width="12.57"/>
    <col customWidth="1" min="8" max="8" width="16.43"/>
    <col customWidth="1" min="9" max="26" width="12.57"/>
  </cols>
  <sheetData>
    <row r="1" ht="25.5" customHeight="1">
      <c r="A1" s="5" t="s">
        <v>1551</v>
      </c>
      <c r="B1" s="7"/>
      <c r="C1" s="7"/>
      <c r="D1" s="7"/>
      <c r="E1" s="7"/>
      <c r="F1" s="7"/>
      <c r="G1" s="7"/>
      <c r="H1" s="9"/>
    </row>
    <row r="2" ht="15.0" customHeight="1">
      <c r="A2" s="55" t="s">
        <v>1552</v>
      </c>
      <c r="B2" s="7"/>
      <c r="C2" s="7"/>
      <c r="D2" s="7"/>
      <c r="E2" s="7"/>
      <c r="F2" s="7"/>
      <c r="G2" s="7"/>
      <c r="H2" s="9"/>
    </row>
    <row r="3" ht="15.0" customHeight="1">
      <c r="A3" s="17"/>
      <c r="B3" s="17"/>
      <c r="C3" s="17"/>
      <c r="D3" s="17"/>
      <c r="E3" s="17"/>
      <c r="F3" s="17"/>
      <c r="G3" s="17"/>
      <c r="H3" s="17"/>
    </row>
    <row r="4" ht="31.5" customHeight="1">
      <c r="A4" s="18" t="s">
        <v>1341</v>
      </c>
      <c r="B4" s="18" t="s">
        <v>1553</v>
      </c>
      <c r="C4" s="18" t="s">
        <v>26</v>
      </c>
      <c r="D4" s="18" t="s">
        <v>1554</v>
      </c>
      <c r="E4" s="18" t="s">
        <v>1495</v>
      </c>
      <c r="F4" s="18" t="s">
        <v>1555</v>
      </c>
      <c r="G4" s="18" t="s">
        <v>1556</v>
      </c>
      <c r="H4" s="18" t="s">
        <v>1345</v>
      </c>
    </row>
    <row r="5" ht="15.0" customHeight="1">
      <c r="A5" s="57" t="s">
        <v>1348</v>
      </c>
      <c r="B5" s="57">
        <f>COUNTIF('Execution Log'!A:A,A5)</f>
        <v>9</v>
      </c>
      <c r="C5" s="57">
        <f>COUNTIFS('Execution Log'!A:A,A5,'Execution Log'!C:C,"Pass")</f>
        <v>9</v>
      </c>
      <c r="D5" s="57">
        <f>COUNTIFS('Execution Log'!A:A,A5,'Execution Log'!C:C,"&lt;&gt;Pass",'Execution Log'!C:C,"&lt;&gt;Not Executed")</f>
        <v>0</v>
      </c>
      <c r="E5" s="61">
        <f>IFERROR(AVERAGEIFS('Execution Log'!D:D,'Execution Log'!A:A,A5,'Execution Log'!B:B,"OP-J05"),"")</f>
        <v>16</v>
      </c>
      <c r="F5" s="57">
        <f>COUNTIFS('Execution Log'!A:A,A5,'Execution Log'!E:E,"&lt;&gt;",'Execution Log'!E:E,"&lt;&gt;None")</f>
        <v>9</v>
      </c>
      <c r="G5" s="57">
        <f>IFERROR(VLOOKUP(A5,'SUS Questionnaire'!A:N,14,FALSE()),"")</f>
        <v>85</v>
      </c>
      <c r="H5" s="57">
        <f>IFERROR(VLOOKUP(A5,'Session Control'!A:E,5,FALSE()),"")</f>
        <v>5</v>
      </c>
    </row>
    <row r="6" ht="15.0" customHeight="1">
      <c r="A6" s="17" t="s">
        <v>1355</v>
      </c>
      <c r="B6" s="17">
        <f>COUNTIF('Execution Log'!A:A,A6)</f>
        <v>9</v>
      </c>
      <c r="C6" s="17">
        <f>COUNTIFS('Execution Log'!A:A,A6,'Execution Log'!C:C,"Pass")</f>
        <v>9</v>
      </c>
      <c r="D6" s="17">
        <f>COUNTIFS('Execution Log'!A:A,A6,'Execution Log'!C:C,"&lt;&gt;Pass",'Execution Log'!C:C,"&lt;&gt;Not Executed")</f>
        <v>0</v>
      </c>
      <c r="E6" s="63">
        <f>IFERROR(AVERAGEIFS('Execution Log'!D:D,'Execution Log'!A:A,A6,'Execution Log'!B:B,"OP-J05"),"")</f>
        <v>9</v>
      </c>
      <c r="F6" s="17">
        <f>COUNTIFS('Execution Log'!A:A,A6,'Execution Log'!E:E,"&lt;&gt;",'Execution Log'!E:E,"&lt;&gt;None")</f>
        <v>1</v>
      </c>
      <c r="G6" s="17">
        <f>IFERROR(VLOOKUP(A6,'SUS Questionnaire'!A:N,14,FALSE()),"")</f>
        <v>95</v>
      </c>
      <c r="H6" s="17">
        <f>IFERROR(VLOOKUP(A6,'Session Control'!A:E,5,FALSE()),"")</f>
        <v>5</v>
      </c>
    </row>
    <row r="7" ht="15.0" customHeight="1">
      <c r="A7" s="17" t="s">
        <v>1358</v>
      </c>
      <c r="B7" s="17">
        <f>COUNTIF('Execution Log'!A:A,A7)</f>
        <v>9</v>
      </c>
      <c r="C7" s="17">
        <f>COUNTIFS('Execution Log'!A:A,A7,'Execution Log'!C:C,"Pass")</f>
        <v>9</v>
      </c>
      <c r="D7" s="17">
        <f>COUNTIFS('Execution Log'!A:A,A7,'Execution Log'!C:C,"&lt;&gt;Pass",'Execution Log'!C:C,"&lt;&gt;Not Executed")</f>
        <v>0</v>
      </c>
      <c r="E7" s="63">
        <f>IFERROR(AVERAGEIFS('Execution Log'!D:D,'Execution Log'!A:A,A7,'Execution Log'!B:B,"OP-J05"),"")</f>
        <v>15</v>
      </c>
      <c r="F7" s="17">
        <f>COUNTIFS('Execution Log'!A:A,A7,'Execution Log'!E:E,"&lt;&gt;",'Execution Log'!E:E,"&lt;&gt;None")</f>
        <v>9</v>
      </c>
      <c r="G7" s="17">
        <f>IFERROR(VLOOKUP(A7,'SUS Questionnaire'!A:N,14,FALSE()),"")</f>
        <v>77.5</v>
      </c>
      <c r="H7" s="17">
        <f>IFERROR(VLOOKUP(A7,'Session Control'!A:E,5,FALSE()),"")</f>
        <v>5</v>
      </c>
    </row>
    <row r="8" ht="15.0" customHeight="1">
      <c r="A8" s="57" t="s">
        <v>1362</v>
      </c>
      <c r="B8" s="57">
        <f>COUNTIF('Execution Log'!A:A,A8)</f>
        <v>6</v>
      </c>
      <c r="C8" s="57">
        <f>COUNTIFS('Execution Log'!A:A,A8,'Execution Log'!C:C,"Pass")</f>
        <v>6</v>
      </c>
      <c r="D8" s="57">
        <f>COUNTIFS('Execution Log'!A:A,A8,'Execution Log'!C:C,"&lt;&gt;Pass",'Execution Log'!C:C,"&lt;&gt;Not Executed")</f>
        <v>0</v>
      </c>
      <c r="E8" s="61" t="str">
        <f>IFERROR(AVERAGEIFS('Execution Log'!D:D,'Execution Log'!A:A,A8,'Execution Log'!B:B,"OP-J05"),"")</f>
        <v/>
      </c>
      <c r="F8" s="57">
        <f>COUNTIFS('Execution Log'!A:A,A8,'Execution Log'!E:E,"&lt;&gt;",'Execution Log'!E:E,"&lt;&gt;None")</f>
        <v>0</v>
      </c>
      <c r="G8" s="57">
        <f>IFERROR(VLOOKUP(A8,'SUS Questionnaire'!A:N,14,FALSE()),"")</f>
        <v>100</v>
      </c>
      <c r="H8" s="57">
        <f>IFERROR(VLOOKUP(A8,'Session Control'!A:E,5,FALSE()),"")</f>
        <v>5</v>
      </c>
    </row>
    <row r="9" ht="15.0" customHeight="1">
      <c r="A9" s="17"/>
      <c r="B9" s="17"/>
      <c r="C9" s="17"/>
      <c r="D9" s="17"/>
      <c r="E9" s="17"/>
      <c r="F9" s="17"/>
      <c r="G9" s="17"/>
      <c r="H9" s="17"/>
    </row>
    <row r="10" ht="23.25" customHeight="1">
      <c r="A10" s="17" t="s">
        <v>1557</v>
      </c>
      <c r="B10" s="17" t="s">
        <v>1315</v>
      </c>
      <c r="C10" s="17" t="s">
        <v>1549</v>
      </c>
      <c r="D10" s="17"/>
      <c r="E10" s="17"/>
      <c r="F10" s="17"/>
      <c r="G10" s="17"/>
      <c r="H10" s="17"/>
    </row>
    <row r="11" ht="39.0" customHeight="1">
      <c r="A11" s="18" t="s">
        <v>1558</v>
      </c>
      <c r="B11" s="18">
        <f>COUNT('SUS Questionnaire'!N5:N8)</f>
        <v>4</v>
      </c>
      <c r="C11" s="18" t="s">
        <v>1559</v>
      </c>
      <c r="D11" s="17"/>
      <c r="E11" s="17"/>
      <c r="F11" s="17"/>
      <c r="G11" s="17"/>
      <c r="H11" s="17"/>
    </row>
    <row r="12" ht="23.25" customHeight="1">
      <c r="A12" s="17" t="s">
        <v>744</v>
      </c>
      <c r="B12" s="63">
        <f>IFERROR(AVERAGE('SUS Questionnaire'!N5:N8),"")</f>
        <v>89.375</v>
      </c>
      <c r="C12" s="17" t="s">
        <v>1560</v>
      </c>
      <c r="D12" s="17"/>
      <c r="E12" s="17"/>
      <c r="F12" s="17"/>
      <c r="G12" s="17"/>
      <c r="H12" s="17"/>
    </row>
    <row r="13" ht="34.5" customHeight="1">
      <c r="A13" s="17" t="s">
        <v>1561</v>
      </c>
      <c r="B13" s="63">
        <f>IFERROR(AVERAGE('SUS Questionnaire'!N5:N7),"")</f>
        <v>85.83333333</v>
      </c>
      <c r="C13" s="17" t="s">
        <v>1562</v>
      </c>
      <c r="D13" s="17"/>
      <c r="E13" s="17"/>
      <c r="F13" s="17"/>
      <c r="G13" s="17"/>
      <c r="H13" s="17"/>
    </row>
    <row r="14" ht="34.5" customHeight="1">
      <c r="A14" s="17" t="s">
        <v>1563</v>
      </c>
      <c r="B14" s="63">
        <f>IFERROR(AVERAGE('SUS Questionnaire'!N8),"")</f>
        <v>100</v>
      </c>
      <c r="C14" s="17" t="s">
        <v>1562</v>
      </c>
      <c r="D14" s="17"/>
      <c r="E14" s="17"/>
      <c r="F14" s="17"/>
      <c r="G14" s="17"/>
      <c r="H14" s="17"/>
    </row>
    <row r="15" ht="57.0" customHeight="1">
      <c r="A15" s="17" t="s">
        <v>1564</v>
      </c>
      <c r="B15" s="63">
        <f>IFERROR(AVERAGEIF('Execution Log'!B:B,"OP-J05",'Execution Log'!D:D)+3+2,"")</f>
        <v>18.33333333</v>
      </c>
      <c r="C15" s="17" t="s">
        <v>1567</v>
      </c>
      <c r="D15" s="17"/>
      <c r="E15" s="17"/>
      <c r="F15" s="17"/>
      <c r="G15" s="17"/>
      <c r="H15" s="17"/>
    </row>
    <row r="16" ht="57.0" customHeight="1">
      <c r="A16" s="17" t="s">
        <v>1570</v>
      </c>
      <c r="B16" s="63">
        <f>IFERROR(__xludf.DUMMYFUNCTION("IFERROR(MAX(FILTER('Execution Log'!D:D,'Execution Log'!B:B=""OP-J05"",'Execution Log'!D:D&lt;&gt;""""))+3+2,"""")"),21.0)</f>
        <v>21</v>
      </c>
      <c r="C16" s="17" t="s">
        <v>1572</v>
      </c>
      <c r="D16" s="17"/>
      <c r="E16" s="17"/>
      <c r="F16" s="17"/>
      <c r="G16" s="17"/>
      <c r="H16" s="17"/>
    </row>
    <row r="17" ht="45.75" customHeight="1">
      <c r="A17" s="17" t="s">
        <v>1573</v>
      </c>
      <c r="B17" s="63">
        <f>COUNTIFS('Session Control'!C15:C18,"Yes",'Session Control'!E15:E18,"&lt;=15")</f>
        <v>4</v>
      </c>
      <c r="C17" s="17" t="s">
        <v>1574</v>
      </c>
      <c r="D17" s="17"/>
      <c r="E17" s="17"/>
      <c r="F17" s="17"/>
      <c r="G17" s="17"/>
      <c r="H17" s="17"/>
    </row>
    <row r="18" ht="23.25" customHeight="1">
      <c r="A18" s="17" t="s">
        <v>1575</v>
      </c>
      <c r="B18" s="63">
        <f>COUNTIF('Session Control'!C15:C18,"Yes")</f>
        <v>4</v>
      </c>
      <c r="C18" s="17" t="s">
        <v>1576</v>
      </c>
      <c r="D18" s="17"/>
      <c r="E18" s="17"/>
      <c r="F18" s="17"/>
      <c r="G18" s="17"/>
      <c r="H18" s="17"/>
    </row>
    <row r="19">
      <c r="A19" s="31"/>
      <c r="B19" s="31"/>
      <c r="C19" s="31"/>
      <c r="D19" s="31"/>
      <c r="E19" s="31"/>
      <c r="F19" s="31"/>
      <c r="H19" s="31"/>
    </row>
    <row r="20">
      <c r="A20" s="31"/>
      <c r="B20" s="31"/>
      <c r="C20" s="31"/>
      <c r="D20" s="31"/>
      <c r="E20" s="31"/>
      <c r="F20" s="31"/>
      <c r="H20" s="31"/>
    </row>
    <row r="21" ht="15.75" customHeight="1">
      <c r="A21" s="31"/>
      <c r="B21" s="31"/>
      <c r="C21" s="31"/>
      <c r="D21" s="31"/>
      <c r="E21" s="31"/>
      <c r="F21" s="31"/>
      <c r="H21" s="31"/>
    </row>
    <row r="22" ht="15.75" customHeight="1">
      <c r="A22" s="31"/>
      <c r="B22" s="31"/>
      <c r="C22" s="31"/>
      <c r="D22" s="31"/>
      <c r="E22" s="31"/>
      <c r="F22" s="31"/>
      <c r="H22" s="31"/>
    </row>
    <row r="23" ht="15.75" customHeight="1">
      <c r="A23" s="31"/>
      <c r="B23" s="31"/>
      <c r="C23" s="31"/>
      <c r="D23" s="31"/>
      <c r="E23" s="31"/>
      <c r="F23" s="31"/>
      <c r="H23" s="31"/>
    </row>
    <row r="24" ht="15.75" customHeight="1">
      <c r="A24" s="31"/>
      <c r="B24" s="31"/>
      <c r="C24" s="31"/>
      <c r="D24" s="31"/>
      <c r="E24" s="31"/>
      <c r="F24" s="31"/>
      <c r="H24" s="31"/>
    </row>
    <row r="25" ht="15.75" customHeight="1">
      <c r="A25" s="31"/>
      <c r="B25" s="31"/>
      <c r="C25" s="31"/>
      <c r="D25" s="31"/>
      <c r="E25" s="31"/>
      <c r="F25" s="31"/>
      <c r="H25" s="31"/>
    </row>
    <row r="26" ht="15.75" customHeight="1">
      <c r="A26" s="31"/>
      <c r="B26" s="31"/>
      <c r="C26" s="31"/>
      <c r="D26" s="31"/>
      <c r="E26" s="31"/>
      <c r="F26" s="31"/>
      <c r="H26" s="31"/>
    </row>
    <row r="27" ht="15.75" customHeight="1">
      <c r="A27" s="31"/>
      <c r="B27" s="31"/>
      <c r="C27" s="31"/>
      <c r="D27" s="31"/>
      <c r="E27" s="31"/>
      <c r="F27" s="31"/>
      <c r="H27" s="31"/>
    </row>
    <row r="28" ht="15.75" customHeight="1">
      <c r="A28" s="31"/>
      <c r="B28" s="31"/>
      <c r="C28" s="31"/>
      <c r="D28" s="31"/>
      <c r="E28" s="31"/>
      <c r="F28" s="31"/>
      <c r="H28" s="31"/>
    </row>
    <row r="29" ht="15.75" customHeight="1">
      <c r="A29" s="31"/>
      <c r="B29" s="31"/>
      <c r="C29" s="31"/>
      <c r="D29" s="31"/>
      <c r="E29" s="31"/>
      <c r="F29" s="31"/>
      <c r="H29" s="31"/>
    </row>
    <row r="30" ht="15.75" customHeight="1">
      <c r="A30" s="31"/>
      <c r="B30" s="31"/>
      <c r="C30" s="31"/>
      <c r="D30" s="31"/>
      <c r="E30" s="31"/>
      <c r="F30" s="31"/>
      <c r="H30" s="31"/>
    </row>
    <row r="31" ht="15.75" customHeight="1">
      <c r="A31" s="31"/>
      <c r="B31" s="31"/>
      <c r="C31" s="31"/>
      <c r="D31" s="31"/>
      <c r="E31" s="31"/>
      <c r="F31" s="31"/>
      <c r="H31" s="31"/>
    </row>
    <row r="32" ht="15.75" customHeight="1">
      <c r="A32" s="31"/>
      <c r="B32" s="31"/>
      <c r="C32" s="31"/>
      <c r="D32" s="31"/>
      <c r="E32" s="31"/>
      <c r="F32" s="31"/>
      <c r="H32" s="31"/>
    </row>
    <row r="33" ht="15.75" customHeight="1">
      <c r="A33" s="31"/>
      <c r="B33" s="31"/>
      <c r="C33" s="31"/>
      <c r="D33" s="31"/>
      <c r="E33" s="31"/>
      <c r="F33" s="31"/>
      <c r="H33" s="31"/>
    </row>
    <row r="34" ht="15.75" customHeight="1">
      <c r="A34" s="31"/>
      <c r="B34" s="31"/>
      <c r="C34" s="31"/>
      <c r="D34" s="31"/>
      <c r="E34" s="31"/>
      <c r="F34" s="31"/>
      <c r="H34" s="31"/>
    </row>
    <row r="35" ht="15.75" customHeight="1">
      <c r="A35" s="31"/>
      <c r="B35" s="31"/>
      <c r="C35" s="31"/>
      <c r="D35" s="31"/>
      <c r="E35" s="31"/>
      <c r="F35" s="31"/>
      <c r="H35" s="31"/>
    </row>
    <row r="36" ht="15.75" customHeight="1">
      <c r="A36" s="31"/>
      <c r="B36" s="31"/>
      <c r="C36" s="31"/>
      <c r="D36" s="31"/>
      <c r="E36" s="31"/>
      <c r="F36" s="31"/>
      <c r="H36" s="31"/>
    </row>
    <row r="37" ht="15.75" customHeight="1">
      <c r="A37" s="31"/>
      <c r="B37" s="31"/>
      <c r="C37" s="31"/>
      <c r="D37" s="31"/>
      <c r="E37" s="31"/>
      <c r="F37" s="31"/>
      <c r="H37" s="31"/>
    </row>
    <row r="38" ht="15.75" customHeight="1">
      <c r="A38" s="31"/>
      <c r="B38" s="31"/>
      <c r="C38" s="31"/>
      <c r="D38" s="31"/>
      <c r="E38" s="31"/>
      <c r="F38" s="31"/>
      <c r="H38" s="31"/>
    </row>
    <row r="39" ht="15.75" customHeight="1">
      <c r="A39" s="31"/>
      <c r="B39" s="31"/>
      <c r="C39" s="31"/>
      <c r="D39" s="31"/>
      <c r="E39" s="31"/>
      <c r="F39" s="31"/>
      <c r="H39" s="31"/>
    </row>
    <row r="40" ht="15.75" customHeight="1">
      <c r="A40" s="31"/>
      <c r="B40" s="31"/>
      <c r="C40" s="31"/>
      <c r="D40" s="31"/>
      <c r="E40" s="31"/>
      <c r="F40" s="31"/>
      <c r="H40" s="31"/>
    </row>
    <row r="41" ht="15.75" customHeight="1">
      <c r="A41" s="31"/>
      <c r="B41" s="31"/>
      <c r="C41" s="31"/>
      <c r="D41" s="31"/>
      <c r="E41" s="31"/>
      <c r="F41" s="31"/>
      <c r="H41" s="31"/>
    </row>
    <row r="42" ht="15.75" customHeight="1">
      <c r="A42" s="31"/>
      <c r="B42" s="31"/>
      <c r="C42" s="31"/>
      <c r="D42" s="31"/>
      <c r="E42" s="31"/>
      <c r="F42" s="31"/>
      <c r="H42" s="31"/>
    </row>
    <row r="43" ht="15.75" customHeight="1">
      <c r="A43" s="31"/>
      <c r="B43" s="31"/>
      <c r="C43" s="31"/>
      <c r="D43" s="31"/>
      <c r="E43" s="31"/>
      <c r="F43" s="31"/>
      <c r="H43" s="31"/>
    </row>
    <row r="44" ht="15.75" customHeight="1">
      <c r="A44" s="31"/>
      <c r="B44" s="31"/>
      <c r="C44" s="31"/>
      <c r="D44" s="31"/>
      <c r="E44" s="31"/>
      <c r="F44" s="31"/>
      <c r="H44" s="31"/>
    </row>
    <row r="45" ht="15.75" customHeight="1">
      <c r="A45" s="31"/>
      <c r="B45" s="31"/>
      <c r="C45" s="31"/>
      <c r="D45" s="31"/>
      <c r="E45" s="31"/>
      <c r="F45" s="31"/>
      <c r="H45" s="31"/>
    </row>
    <row r="46" ht="15.75" customHeight="1">
      <c r="A46" s="31"/>
      <c r="B46" s="31"/>
      <c r="C46" s="31"/>
      <c r="D46" s="31"/>
      <c r="E46" s="31"/>
      <c r="F46" s="31"/>
      <c r="H46" s="31"/>
    </row>
    <row r="47" ht="15.75" customHeight="1">
      <c r="A47" s="31"/>
      <c r="B47" s="31"/>
      <c r="C47" s="31"/>
      <c r="D47" s="31"/>
      <c r="E47" s="31"/>
      <c r="F47" s="31"/>
      <c r="H47" s="31"/>
    </row>
    <row r="48" ht="15.75" customHeight="1">
      <c r="A48" s="31"/>
      <c r="B48" s="31"/>
      <c r="C48" s="31"/>
      <c r="D48" s="31"/>
      <c r="E48" s="31"/>
      <c r="F48" s="31"/>
      <c r="H48" s="31"/>
    </row>
    <row r="49" ht="15.75" customHeight="1">
      <c r="A49" s="31"/>
      <c r="B49" s="31"/>
      <c r="C49" s="31"/>
      <c r="D49" s="31"/>
      <c r="E49" s="31"/>
      <c r="F49" s="31"/>
      <c r="H49" s="31"/>
    </row>
    <row r="50" ht="15.75" customHeight="1">
      <c r="A50" s="31"/>
      <c r="B50" s="31"/>
      <c r="C50" s="31"/>
      <c r="D50" s="31"/>
      <c r="E50" s="31"/>
      <c r="F50" s="31"/>
      <c r="H50" s="31"/>
    </row>
    <row r="51" ht="15.75" customHeight="1">
      <c r="A51" s="31"/>
      <c r="B51" s="31"/>
      <c r="C51" s="31"/>
      <c r="D51" s="31"/>
      <c r="E51" s="31"/>
      <c r="F51" s="31"/>
      <c r="H51" s="31"/>
    </row>
    <row r="52" ht="15.75" customHeight="1">
      <c r="A52" s="31"/>
      <c r="B52" s="31"/>
      <c r="C52" s="31"/>
      <c r="D52" s="31"/>
      <c r="E52" s="31"/>
      <c r="F52" s="31"/>
      <c r="H52" s="31"/>
    </row>
    <row r="53" ht="15.75" customHeight="1">
      <c r="A53" s="31"/>
      <c r="B53" s="31"/>
      <c r="C53" s="31"/>
      <c r="D53" s="31"/>
      <c r="E53" s="31"/>
      <c r="F53" s="31"/>
      <c r="H53" s="31"/>
    </row>
    <row r="54" ht="15.75" customHeight="1">
      <c r="A54" s="31"/>
      <c r="B54" s="31"/>
      <c r="C54" s="31"/>
      <c r="D54" s="31"/>
      <c r="E54" s="31"/>
      <c r="F54" s="31"/>
      <c r="H54" s="31"/>
    </row>
    <row r="55" ht="15.75" customHeight="1">
      <c r="A55" s="31"/>
      <c r="B55" s="31"/>
      <c r="C55" s="31"/>
      <c r="D55" s="31"/>
      <c r="E55" s="31"/>
      <c r="F55" s="31"/>
      <c r="H55" s="31"/>
    </row>
    <row r="56" ht="15.75" customHeight="1">
      <c r="A56" s="31"/>
      <c r="B56" s="31"/>
      <c r="C56" s="31"/>
      <c r="D56" s="31"/>
      <c r="E56" s="31"/>
      <c r="F56" s="31"/>
      <c r="H56" s="31"/>
    </row>
    <row r="57" ht="15.75" customHeight="1">
      <c r="A57" s="31"/>
      <c r="B57" s="31"/>
      <c r="C57" s="31"/>
      <c r="D57" s="31"/>
      <c r="E57" s="31"/>
      <c r="F57" s="31"/>
      <c r="H57" s="31"/>
    </row>
    <row r="58" ht="15.75" customHeight="1">
      <c r="A58" s="31"/>
      <c r="B58" s="31"/>
      <c r="C58" s="31"/>
      <c r="D58" s="31"/>
      <c r="E58" s="31"/>
      <c r="F58" s="31"/>
      <c r="H58" s="31"/>
    </row>
    <row r="59" ht="15.75" customHeight="1">
      <c r="A59" s="31"/>
      <c r="B59" s="31"/>
      <c r="C59" s="31"/>
      <c r="D59" s="31"/>
      <c r="E59" s="31"/>
      <c r="F59" s="31"/>
      <c r="H59" s="31"/>
    </row>
    <row r="60" ht="15.75" customHeight="1">
      <c r="A60" s="31"/>
      <c r="B60" s="31"/>
      <c r="C60" s="31"/>
      <c r="D60" s="31"/>
      <c r="E60" s="31"/>
      <c r="F60" s="31"/>
      <c r="H60" s="31"/>
    </row>
    <row r="61" ht="15.75" customHeight="1">
      <c r="A61" s="31"/>
      <c r="B61" s="31"/>
      <c r="C61" s="31"/>
      <c r="D61" s="31"/>
      <c r="E61" s="31"/>
      <c r="F61" s="31"/>
      <c r="H61" s="31"/>
    </row>
    <row r="62" ht="15.75" customHeight="1">
      <c r="A62" s="31"/>
      <c r="B62" s="31"/>
      <c r="C62" s="31"/>
      <c r="D62" s="31"/>
      <c r="E62" s="31"/>
      <c r="F62" s="31"/>
      <c r="H62" s="31"/>
    </row>
    <row r="63" ht="15.75" customHeight="1">
      <c r="A63" s="31"/>
      <c r="B63" s="31"/>
      <c r="C63" s="31"/>
      <c r="D63" s="31"/>
      <c r="E63" s="31"/>
      <c r="F63" s="31"/>
      <c r="H63" s="31"/>
    </row>
    <row r="64" ht="15.75" customHeight="1">
      <c r="A64" s="31"/>
      <c r="B64" s="31"/>
      <c r="C64" s="31"/>
      <c r="D64" s="31"/>
      <c r="E64" s="31"/>
      <c r="F64" s="31"/>
      <c r="H64" s="31"/>
    </row>
    <row r="65" ht="15.75" customHeight="1">
      <c r="A65" s="31"/>
      <c r="B65" s="31"/>
      <c r="C65" s="31"/>
      <c r="D65" s="31"/>
      <c r="E65" s="31"/>
      <c r="F65" s="31"/>
      <c r="H65" s="31"/>
    </row>
    <row r="66" ht="15.75" customHeight="1">
      <c r="A66" s="31"/>
      <c r="B66" s="31"/>
      <c r="C66" s="31"/>
      <c r="D66" s="31"/>
      <c r="E66" s="31"/>
      <c r="F66" s="31"/>
      <c r="H66" s="31"/>
    </row>
    <row r="67" ht="15.75" customHeight="1">
      <c r="A67" s="31"/>
      <c r="B67" s="31"/>
      <c r="C67" s="31"/>
      <c r="D67" s="31"/>
      <c r="E67" s="31"/>
      <c r="F67" s="31"/>
      <c r="H67" s="31"/>
    </row>
    <row r="68" ht="15.75" customHeight="1">
      <c r="A68" s="31"/>
      <c r="B68" s="31"/>
      <c r="C68" s="31"/>
      <c r="D68" s="31"/>
      <c r="E68" s="31"/>
      <c r="F68" s="31"/>
      <c r="H68" s="31"/>
    </row>
    <row r="69" ht="15.75" customHeight="1">
      <c r="A69" s="31"/>
      <c r="B69" s="31"/>
      <c r="C69" s="31"/>
      <c r="D69" s="31"/>
      <c r="E69" s="31"/>
      <c r="F69" s="31"/>
      <c r="H69" s="31"/>
    </row>
    <row r="70" ht="15.75" customHeight="1">
      <c r="A70" s="31"/>
      <c r="B70" s="31"/>
      <c r="C70" s="31"/>
      <c r="D70" s="31"/>
      <c r="E70" s="31"/>
      <c r="F70" s="31"/>
      <c r="H70" s="31"/>
    </row>
    <row r="71" ht="15.75" customHeight="1">
      <c r="A71" s="31"/>
      <c r="B71" s="31"/>
      <c r="C71" s="31"/>
      <c r="D71" s="31"/>
      <c r="E71" s="31"/>
      <c r="F71" s="31"/>
      <c r="H71" s="31"/>
    </row>
    <row r="72" ht="15.75" customHeight="1">
      <c r="A72" s="31"/>
      <c r="B72" s="31"/>
      <c r="C72" s="31"/>
      <c r="D72" s="31"/>
      <c r="E72" s="31"/>
      <c r="F72" s="31"/>
      <c r="H72" s="31"/>
    </row>
    <row r="73" ht="15.75" customHeight="1">
      <c r="A73" s="31"/>
      <c r="B73" s="31"/>
      <c r="C73" s="31"/>
      <c r="D73" s="31"/>
      <c r="E73" s="31"/>
      <c r="F73" s="31"/>
      <c r="H73" s="31"/>
    </row>
    <row r="74" ht="15.75" customHeight="1">
      <c r="A74" s="31"/>
      <c r="B74" s="31"/>
      <c r="C74" s="31"/>
      <c r="D74" s="31"/>
      <c r="E74" s="31"/>
      <c r="F74" s="31"/>
      <c r="H74" s="31"/>
    </row>
    <row r="75" ht="15.75" customHeight="1">
      <c r="A75" s="31"/>
      <c r="B75" s="31"/>
      <c r="C75" s="31"/>
      <c r="D75" s="31"/>
      <c r="E75" s="31"/>
      <c r="F75" s="31"/>
      <c r="H75" s="31"/>
    </row>
    <row r="76" ht="15.75" customHeight="1">
      <c r="A76" s="31"/>
      <c r="B76" s="31"/>
      <c r="C76" s="31"/>
      <c r="D76" s="31"/>
      <c r="E76" s="31"/>
      <c r="F76" s="31"/>
      <c r="H76" s="31"/>
    </row>
    <row r="77" ht="15.75" customHeight="1">
      <c r="A77" s="31"/>
      <c r="B77" s="31"/>
      <c r="C77" s="31"/>
      <c r="D77" s="31"/>
      <c r="E77" s="31"/>
      <c r="F77" s="31"/>
      <c r="H77" s="31"/>
    </row>
    <row r="78" ht="15.75" customHeight="1">
      <c r="A78" s="31"/>
      <c r="B78" s="31"/>
      <c r="C78" s="31"/>
      <c r="D78" s="31"/>
      <c r="E78" s="31"/>
      <c r="F78" s="31"/>
      <c r="H78" s="31"/>
    </row>
    <row r="79" ht="15.75" customHeight="1">
      <c r="A79" s="31"/>
      <c r="B79" s="31"/>
      <c r="C79" s="31"/>
      <c r="D79" s="31"/>
      <c r="E79" s="31"/>
      <c r="F79" s="31"/>
      <c r="H79" s="31"/>
    </row>
    <row r="80" ht="15.75" customHeight="1">
      <c r="A80" s="31"/>
      <c r="B80" s="31"/>
      <c r="C80" s="31"/>
      <c r="D80" s="31"/>
      <c r="E80" s="31"/>
      <c r="F80" s="31"/>
      <c r="H80" s="31"/>
    </row>
    <row r="81" ht="15.75" customHeight="1">
      <c r="A81" s="31"/>
      <c r="B81" s="31"/>
      <c r="C81" s="31"/>
      <c r="D81" s="31"/>
      <c r="E81" s="31"/>
      <c r="F81" s="31"/>
      <c r="H81" s="31"/>
    </row>
    <row r="82" ht="15.75" customHeight="1">
      <c r="A82" s="31"/>
      <c r="B82" s="31"/>
      <c r="C82" s="31"/>
      <c r="D82" s="31"/>
      <c r="E82" s="31"/>
      <c r="F82" s="31"/>
      <c r="H82" s="31"/>
    </row>
    <row r="83" ht="15.75" customHeight="1">
      <c r="A83" s="31"/>
      <c r="B83" s="31"/>
      <c r="C83" s="31"/>
      <c r="D83" s="31"/>
      <c r="E83" s="31"/>
      <c r="F83" s="31"/>
      <c r="H83" s="31"/>
    </row>
    <row r="84" ht="15.75" customHeight="1">
      <c r="A84" s="31"/>
      <c r="B84" s="31"/>
      <c r="C84" s="31"/>
      <c r="D84" s="31"/>
      <c r="E84" s="31"/>
      <c r="F84" s="31"/>
      <c r="H84" s="31"/>
    </row>
    <row r="85" ht="15.75" customHeight="1">
      <c r="A85" s="31"/>
      <c r="B85" s="31"/>
      <c r="C85" s="31"/>
      <c r="D85" s="31"/>
      <c r="E85" s="31"/>
      <c r="F85" s="31"/>
      <c r="H85" s="31"/>
    </row>
    <row r="86" ht="15.75" customHeight="1">
      <c r="A86" s="31"/>
      <c r="B86" s="31"/>
      <c r="C86" s="31"/>
      <c r="D86" s="31"/>
      <c r="E86" s="31"/>
      <c r="F86" s="31"/>
      <c r="H86" s="31"/>
    </row>
    <row r="87" ht="15.75" customHeight="1">
      <c r="A87" s="31"/>
      <c r="B87" s="31"/>
      <c r="C87" s="31"/>
      <c r="D87" s="31"/>
      <c r="E87" s="31"/>
      <c r="F87" s="31"/>
      <c r="H87" s="31"/>
    </row>
    <row r="88" ht="15.75" customHeight="1">
      <c r="A88" s="31"/>
      <c r="B88" s="31"/>
      <c r="C88" s="31"/>
      <c r="D88" s="31"/>
      <c r="E88" s="31"/>
      <c r="F88" s="31"/>
      <c r="H88" s="31"/>
    </row>
    <row r="89" ht="15.75" customHeight="1">
      <c r="A89" s="31"/>
      <c r="B89" s="31"/>
      <c r="C89" s="31"/>
      <c r="D89" s="31"/>
      <c r="E89" s="31"/>
      <c r="F89" s="31"/>
      <c r="H89" s="31"/>
    </row>
    <row r="90" ht="15.75" customHeight="1">
      <c r="A90" s="31"/>
      <c r="B90" s="31"/>
      <c r="C90" s="31"/>
      <c r="D90" s="31"/>
      <c r="E90" s="31"/>
      <c r="F90" s="31"/>
      <c r="H90" s="31"/>
    </row>
    <row r="91" ht="15.75" customHeight="1">
      <c r="A91" s="31"/>
      <c r="B91" s="31"/>
      <c r="C91" s="31"/>
      <c r="D91" s="31"/>
      <c r="E91" s="31"/>
      <c r="F91" s="31"/>
      <c r="H91" s="31"/>
    </row>
    <row r="92" ht="15.75" customHeight="1">
      <c r="A92" s="31"/>
      <c r="B92" s="31"/>
      <c r="C92" s="31"/>
      <c r="D92" s="31"/>
      <c r="E92" s="31"/>
      <c r="F92" s="31"/>
      <c r="H92" s="31"/>
    </row>
    <row r="93" ht="15.75" customHeight="1">
      <c r="A93" s="31"/>
      <c r="B93" s="31"/>
      <c r="C93" s="31"/>
      <c r="D93" s="31"/>
      <c r="E93" s="31"/>
      <c r="F93" s="31"/>
      <c r="H93" s="31"/>
    </row>
    <row r="94" ht="15.75" customHeight="1">
      <c r="A94" s="31"/>
      <c r="B94" s="31"/>
      <c r="C94" s="31"/>
      <c r="D94" s="31"/>
      <c r="E94" s="31"/>
      <c r="F94" s="31"/>
      <c r="H94" s="31"/>
    </row>
    <row r="95" ht="15.75" customHeight="1">
      <c r="A95" s="31"/>
      <c r="B95" s="31"/>
      <c r="C95" s="31"/>
      <c r="D95" s="31"/>
      <c r="E95" s="31"/>
      <c r="F95" s="31"/>
      <c r="H95" s="31"/>
    </row>
    <row r="96" ht="15.75" customHeight="1">
      <c r="A96" s="31"/>
      <c r="B96" s="31"/>
      <c r="C96" s="31"/>
      <c r="D96" s="31"/>
      <c r="E96" s="31"/>
      <c r="F96" s="31"/>
      <c r="H96" s="31"/>
    </row>
    <row r="97" ht="15.75" customHeight="1">
      <c r="A97" s="31"/>
      <c r="B97" s="31"/>
      <c r="C97" s="31"/>
      <c r="D97" s="31"/>
      <c r="E97" s="31"/>
      <c r="F97" s="31"/>
      <c r="H97" s="31"/>
    </row>
    <row r="98" ht="15.75" customHeight="1">
      <c r="A98" s="31"/>
      <c r="B98" s="31"/>
      <c r="C98" s="31"/>
      <c r="D98" s="31"/>
      <c r="E98" s="31"/>
      <c r="F98" s="31"/>
      <c r="H98" s="31"/>
    </row>
    <row r="99" ht="15.75" customHeight="1">
      <c r="A99" s="31"/>
      <c r="B99" s="31"/>
      <c r="C99" s="31"/>
      <c r="D99" s="31"/>
      <c r="E99" s="31"/>
      <c r="F99" s="31"/>
      <c r="H99" s="31"/>
    </row>
    <row r="100" ht="15.75" customHeight="1">
      <c r="A100" s="31"/>
      <c r="B100" s="31"/>
      <c r="C100" s="31"/>
      <c r="D100" s="31"/>
      <c r="E100" s="31"/>
      <c r="F100" s="31"/>
      <c r="H100" s="31"/>
    </row>
    <row r="101" ht="15.75" customHeight="1">
      <c r="A101" s="31"/>
      <c r="B101" s="31"/>
      <c r="C101" s="31"/>
      <c r="D101" s="31"/>
      <c r="E101" s="31"/>
      <c r="F101" s="31"/>
      <c r="H101" s="31"/>
    </row>
    <row r="102" ht="15.75" customHeight="1">
      <c r="A102" s="31"/>
      <c r="B102" s="31"/>
      <c r="C102" s="31"/>
      <c r="D102" s="31"/>
      <c r="E102" s="31"/>
      <c r="F102" s="31"/>
      <c r="H102" s="31"/>
    </row>
    <row r="103" ht="15.75" customHeight="1">
      <c r="A103" s="31"/>
      <c r="B103" s="31"/>
      <c r="C103" s="31"/>
      <c r="D103" s="31"/>
      <c r="E103" s="31"/>
      <c r="F103" s="31"/>
      <c r="H103" s="31"/>
    </row>
    <row r="104" ht="15.75" customHeight="1">
      <c r="A104" s="31"/>
      <c r="B104" s="31"/>
      <c r="C104" s="31"/>
      <c r="D104" s="31"/>
      <c r="E104" s="31"/>
      <c r="F104" s="31"/>
      <c r="H104" s="31"/>
    </row>
    <row r="105" ht="15.75" customHeight="1">
      <c r="A105" s="31"/>
      <c r="B105" s="31"/>
      <c r="C105" s="31"/>
      <c r="D105" s="31"/>
      <c r="E105" s="31"/>
      <c r="F105" s="31"/>
      <c r="H105" s="31"/>
    </row>
    <row r="106" ht="15.75" customHeight="1">
      <c r="A106" s="31"/>
      <c r="B106" s="31"/>
      <c r="C106" s="31"/>
      <c r="D106" s="31"/>
      <c r="E106" s="31"/>
      <c r="F106" s="31"/>
      <c r="H106" s="31"/>
    </row>
    <row r="107" ht="15.75" customHeight="1">
      <c r="A107" s="31"/>
      <c r="B107" s="31"/>
      <c r="C107" s="31"/>
      <c r="D107" s="31"/>
      <c r="E107" s="31"/>
      <c r="F107" s="31"/>
      <c r="H107" s="31"/>
    </row>
    <row r="108" ht="15.75" customHeight="1">
      <c r="A108" s="31"/>
      <c r="B108" s="31"/>
      <c r="C108" s="31"/>
      <c r="D108" s="31"/>
      <c r="E108" s="31"/>
      <c r="F108" s="31"/>
      <c r="H108" s="31"/>
    </row>
    <row r="109" ht="15.75" customHeight="1">
      <c r="A109" s="31"/>
      <c r="B109" s="31"/>
      <c r="C109" s="31"/>
      <c r="D109" s="31"/>
      <c r="E109" s="31"/>
      <c r="F109" s="31"/>
      <c r="H109" s="31"/>
    </row>
    <row r="110" ht="15.75" customHeight="1">
      <c r="A110" s="31"/>
      <c r="B110" s="31"/>
      <c r="C110" s="31"/>
      <c r="D110" s="31"/>
      <c r="E110" s="31"/>
      <c r="F110" s="31"/>
      <c r="H110" s="31"/>
    </row>
    <row r="111" ht="15.75" customHeight="1">
      <c r="A111" s="31"/>
      <c r="B111" s="31"/>
      <c r="C111" s="31"/>
      <c r="D111" s="31"/>
      <c r="E111" s="31"/>
      <c r="F111" s="31"/>
      <c r="H111" s="31"/>
    </row>
    <row r="112" ht="15.75" customHeight="1">
      <c r="A112" s="31"/>
      <c r="B112" s="31"/>
      <c r="C112" s="31"/>
      <c r="D112" s="31"/>
      <c r="E112" s="31"/>
      <c r="F112" s="31"/>
      <c r="H112" s="31"/>
    </row>
    <row r="113" ht="15.75" customHeight="1">
      <c r="A113" s="31"/>
      <c r="B113" s="31"/>
      <c r="C113" s="31"/>
      <c r="D113" s="31"/>
      <c r="E113" s="31"/>
      <c r="F113" s="31"/>
      <c r="H113" s="31"/>
    </row>
    <row r="114" ht="15.75" customHeight="1">
      <c r="A114" s="31"/>
      <c r="B114" s="31"/>
      <c r="C114" s="31"/>
      <c r="D114" s="31"/>
      <c r="E114" s="31"/>
      <c r="F114" s="31"/>
      <c r="H114" s="31"/>
    </row>
    <row r="115" ht="15.75" customHeight="1">
      <c r="A115" s="31"/>
      <c r="B115" s="31"/>
      <c r="C115" s="31"/>
      <c r="D115" s="31"/>
      <c r="E115" s="31"/>
      <c r="F115" s="31"/>
      <c r="H115" s="31"/>
    </row>
    <row r="116" ht="15.75" customHeight="1">
      <c r="A116" s="31"/>
      <c r="B116" s="31"/>
      <c r="C116" s="31"/>
      <c r="D116" s="31"/>
      <c r="E116" s="31"/>
      <c r="F116" s="31"/>
      <c r="H116" s="31"/>
    </row>
    <row r="117" ht="15.75" customHeight="1">
      <c r="A117" s="31"/>
      <c r="B117" s="31"/>
      <c r="C117" s="31"/>
      <c r="D117" s="31"/>
      <c r="E117" s="31"/>
      <c r="F117" s="31"/>
      <c r="H117" s="31"/>
    </row>
    <row r="118" ht="15.75" customHeight="1">
      <c r="A118" s="31"/>
      <c r="B118" s="31"/>
      <c r="C118" s="31"/>
      <c r="D118" s="31"/>
      <c r="E118" s="31"/>
      <c r="F118" s="31"/>
      <c r="H118" s="31"/>
    </row>
    <row r="119" ht="15.75" customHeight="1">
      <c r="A119" s="31"/>
      <c r="B119" s="31"/>
      <c r="C119" s="31"/>
      <c r="D119" s="31"/>
      <c r="E119" s="31"/>
      <c r="F119" s="31"/>
      <c r="H119" s="31"/>
    </row>
    <row r="120" ht="15.75" customHeight="1">
      <c r="A120" s="31"/>
      <c r="B120" s="31"/>
      <c r="C120" s="31"/>
      <c r="D120" s="31"/>
      <c r="E120" s="31"/>
      <c r="F120" s="31"/>
      <c r="H120" s="31"/>
    </row>
    <row r="121" ht="15.75" customHeight="1">
      <c r="A121" s="31"/>
      <c r="B121" s="31"/>
      <c r="C121" s="31"/>
      <c r="D121" s="31"/>
      <c r="E121" s="31"/>
      <c r="F121" s="31"/>
      <c r="H121" s="31"/>
    </row>
    <row r="122" ht="15.75" customHeight="1">
      <c r="A122" s="31"/>
      <c r="B122" s="31"/>
      <c r="C122" s="31"/>
      <c r="D122" s="31"/>
      <c r="E122" s="31"/>
      <c r="F122" s="31"/>
      <c r="H122" s="31"/>
    </row>
    <row r="123" ht="15.75" customHeight="1">
      <c r="A123" s="31"/>
      <c r="B123" s="31"/>
      <c r="C123" s="31"/>
      <c r="D123" s="31"/>
      <c r="E123" s="31"/>
      <c r="F123" s="31"/>
      <c r="H123" s="31"/>
    </row>
    <row r="124" ht="15.75" customHeight="1">
      <c r="A124" s="31"/>
      <c r="B124" s="31"/>
      <c r="C124" s="31"/>
      <c r="D124" s="31"/>
      <c r="E124" s="31"/>
      <c r="F124" s="31"/>
      <c r="H124" s="31"/>
    </row>
    <row r="125" ht="15.75" customHeight="1">
      <c r="A125" s="31"/>
      <c r="B125" s="31"/>
      <c r="C125" s="31"/>
      <c r="D125" s="31"/>
      <c r="E125" s="31"/>
      <c r="F125" s="31"/>
      <c r="H125" s="31"/>
    </row>
    <row r="126" ht="15.75" customHeight="1">
      <c r="A126" s="31"/>
      <c r="B126" s="31"/>
      <c r="C126" s="31"/>
      <c r="D126" s="31"/>
      <c r="E126" s="31"/>
      <c r="F126" s="31"/>
      <c r="H126" s="31"/>
    </row>
    <row r="127" ht="15.75" customHeight="1">
      <c r="A127" s="31"/>
      <c r="B127" s="31"/>
      <c r="C127" s="31"/>
      <c r="D127" s="31"/>
      <c r="E127" s="31"/>
      <c r="F127" s="31"/>
      <c r="H127" s="31"/>
    </row>
    <row r="128" ht="15.75" customHeight="1">
      <c r="A128" s="31"/>
      <c r="B128" s="31"/>
      <c r="C128" s="31"/>
      <c r="D128" s="31"/>
      <c r="E128" s="31"/>
      <c r="F128" s="31"/>
      <c r="H128" s="31"/>
    </row>
    <row r="129" ht="15.75" customHeight="1">
      <c r="A129" s="31"/>
      <c r="B129" s="31"/>
      <c r="C129" s="31"/>
      <c r="D129" s="31"/>
      <c r="E129" s="31"/>
      <c r="F129" s="31"/>
      <c r="H129" s="31"/>
    </row>
    <row r="130" ht="15.75" customHeight="1">
      <c r="A130" s="31"/>
      <c r="B130" s="31"/>
      <c r="C130" s="31"/>
      <c r="D130" s="31"/>
      <c r="E130" s="31"/>
      <c r="F130" s="31"/>
      <c r="H130" s="31"/>
    </row>
    <row r="131" ht="15.75" customHeight="1">
      <c r="A131" s="31"/>
      <c r="B131" s="31"/>
      <c r="C131" s="31"/>
      <c r="D131" s="31"/>
      <c r="E131" s="31"/>
      <c r="F131" s="31"/>
      <c r="H131" s="31"/>
    </row>
    <row r="132" ht="15.75" customHeight="1">
      <c r="A132" s="31"/>
      <c r="B132" s="31"/>
      <c r="C132" s="31"/>
      <c r="D132" s="31"/>
      <c r="E132" s="31"/>
      <c r="F132" s="31"/>
      <c r="H132" s="31"/>
    </row>
    <row r="133" ht="15.75" customHeight="1">
      <c r="A133" s="31"/>
      <c r="B133" s="31"/>
      <c r="C133" s="31"/>
      <c r="D133" s="31"/>
      <c r="E133" s="31"/>
      <c r="F133" s="31"/>
      <c r="H133" s="31"/>
    </row>
    <row r="134" ht="15.75" customHeight="1">
      <c r="A134" s="31"/>
      <c r="B134" s="31"/>
      <c r="C134" s="31"/>
      <c r="D134" s="31"/>
      <c r="E134" s="31"/>
      <c r="F134" s="31"/>
      <c r="H134" s="31"/>
    </row>
    <row r="135" ht="15.75" customHeight="1">
      <c r="A135" s="31"/>
      <c r="B135" s="31"/>
      <c r="C135" s="31"/>
      <c r="D135" s="31"/>
      <c r="E135" s="31"/>
      <c r="F135" s="31"/>
      <c r="H135" s="31"/>
    </row>
    <row r="136" ht="15.75" customHeight="1">
      <c r="A136" s="31"/>
      <c r="B136" s="31"/>
      <c r="C136" s="31"/>
      <c r="D136" s="31"/>
      <c r="E136" s="31"/>
      <c r="F136" s="31"/>
      <c r="H136" s="31"/>
    </row>
    <row r="137" ht="15.75" customHeight="1">
      <c r="A137" s="31"/>
      <c r="B137" s="31"/>
      <c r="C137" s="31"/>
      <c r="D137" s="31"/>
      <c r="E137" s="31"/>
      <c r="F137" s="31"/>
      <c r="H137" s="31"/>
    </row>
    <row r="138" ht="15.75" customHeight="1">
      <c r="A138" s="31"/>
      <c r="B138" s="31"/>
      <c r="C138" s="31"/>
      <c r="D138" s="31"/>
      <c r="E138" s="31"/>
      <c r="F138" s="31"/>
      <c r="H138" s="31"/>
    </row>
    <row r="139" ht="15.75" customHeight="1">
      <c r="A139" s="31"/>
      <c r="B139" s="31"/>
      <c r="C139" s="31"/>
      <c r="D139" s="31"/>
      <c r="E139" s="31"/>
      <c r="F139" s="31"/>
      <c r="H139" s="31"/>
    </row>
    <row r="140" ht="15.75" customHeight="1">
      <c r="A140" s="31"/>
      <c r="B140" s="31"/>
      <c r="C140" s="31"/>
      <c r="D140" s="31"/>
      <c r="E140" s="31"/>
      <c r="F140" s="31"/>
      <c r="H140" s="31"/>
    </row>
    <row r="141" ht="15.75" customHeight="1">
      <c r="A141" s="31"/>
      <c r="B141" s="31"/>
      <c r="C141" s="31"/>
      <c r="D141" s="31"/>
      <c r="E141" s="31"/>
      <c r="F141" s="31"/>
      <c r="H141" s="31"/>
    </row>
    <row r="142" ht="15.75" customHeight="1">
      <c r="A142" s="31"/>
      <c r="B142" s="31"/>
      <c r="C142" s="31"/>
      <c r="D142" s="31"/>
      <c r="E142" s="31"/>
      <c r="F142" s="31"/>
      <c r="H142" s="31"/>
    </row>
    <row r="143" ht="15.75" customHeight="1">
      <c r="A143" s="31"/>
      <c r="B143" s="31"/>
      <c r="C143" s="31"/>
      <c r="D143" s="31"/>
      <c r="E143" s="31"/>
      <c r="F143" s="31"/>
      <c r="H143" s="31"/>
    </row>
    <row r="144" ht="15.75" customHeight="1">
      <c r="A144" s="31"/>
      <c r="B144" s="31"/>
      <c r="C144" s="31"/>
      <c r="D144" s="31"/>
      <c r="E144" s="31"/>
      <c r="F144" s="31"/>
      <c r="H144" s="31"/>
    </row>
    <row r="145" ht="15.75" customHeight="1">
      <c r="A145" s="31"/>
      <c r="B145" s="31"/>
      <c r="C145" s="31"/>
      <c r="D145" s="31"/>
      <c r="E145" s="31"/>
      <c r="F145" s="31"/>
      <c r="H145" s="31"/>
    </row>
    <row r="146" ht="15.75" customHeight="1">
      <c r="A146" s="31"/>
      <c r="B146" s="31"/>
      <c r="C146" s="31"/>
      <c r="D146" s="31"/>
      <c r="E146" s="31"/>
      <c r="F146" s="31"/>
      <c r="H146" s="31"/>
    </row>
    <row r="147" ht="15.75" customHeight="1">
      <c r="A147" s="31"/>
      <c r="B147" s="31"/>
      <c r="C147" s="31"/>
      <c r="D147" s="31"/>
      <c r="E147" s="31"/>
      <c r="F147" s="31"/>
      <c r="H147" s="31"/>
    </row>
    <row r="148" ht="15.75" customHeight="1">
      <c r="A148" s="31"/>
      <c r="B148" s="31"/>
      <c r="C148" s="31"/>
      <c r="D148" s="31"/>
      <c r="E148" s="31"/>
      <c r="F148" s="31"/>
      <c r="H148" s="31"/>
    </row>
    <row r="149" ht="15.75" customHeight="1">
      <c r="A149" s="31"/>
      <c r="B149" s="31"/>
      <c r="C149" s="31"/>
      <c r="D149" s="31"/>
      <c r="E149" s="31"/>
      <c r="F149" s="31"/>
      <c r="H149" s="31"/>
    </row>
    <row r="150" ht="15.75" customHeight="1">
      <c r="A150" s="31"/>
      <c r="B150" s="31"/>
      <c r="C150" s="31"/>
      <c r="D150" s="31"/>
      <c r="E150" s="31"/>
      <c r="F150" s="31"/>
      <c r="H150" s="31"/>
    </row>
    <row r="151" ht="15.75" customHeight="1">
      <c r="A151" s="31"/>
      <c r="B151" s="31"/>
      <c r="C151" s="31"/>
      <c r="D151" s="31"/>
      <c r="E151" s="31"/>
      <c r="F151" s="31"/>
      <c r="H151" s="31"/>
    </row>
    <row r="152" ht="15.75" customHeight="1">
      <c r="A152" s="31"/>
      <c r="B152" s="31"/>
      <c r="C152" s="31"/>
      <c r="D152" s="31"/>
      <c r="E152" s="31"/>
      <c r="F152" s="31"/>
      <c r="H152" s="31"/>
    </row>
    <row r="153" ht="15.75" customHeight="1">
      <c r="A153" s="31"/>
      <c r="B153" s="31"/>
      <c r="C153" s="31"/>
      <c r="D153" s="31"/>
      <c r="E153" s="31"/>
      <c r="F153" s="31"/>
      <c r="H153" s="31"/>
    </row>
    <row r="154" ht="15.75" customHeight="1">
      <c r="A154" s="31"/>
      <c r="B154" s="31"/>
      <c r="C154" s="31"/>
      <c r="D154" s="31"/>
      <c r="E154" s="31"/>
      <c r="F154" s="31"/>
      <c r="H154" s="31"/>
    </row>
    <row r="155" ht="15.75" customHeight="1">
      <c r="A155" s="31"/>
      <c r="B155" s="31"/>
      <c r="C155" s="31"/>
      <c r="D155" s="31"/>
      <c r="E155" s="31"/>
      <c r="F155" s="31"/>
      <c r="H155" s="31"/>
    </row>
    <row r="156" ht="15.75" customHeight="1">
      <c r="A156" s="31"/>
      <c r="B156" s="31"/>
      <c r="C156" s="31"/>
      <c r="D156" s="31"/>
      <c r="E156" s="31"/>
      <c r="F156" s="31"/>
      <c r="H156" s="31"/>
    </row>
    <row r="157" ht="15.75" customHeight="1">
      <c r="A157" s="31"/>
      <c r="B157" s="31"/>
      <c r="C157" s="31"/>
      <c r="D157" s="31"/>
      <c r="E157" s="31"/>
      <c r="F157" s="31"/>
      <c r="H157" s="31"/>
    </row>
    <row r="158" ht="15.75" customHeight="1">
      <c r="A158" s="31"/>
      <c r="B158" s="31"/>
      <c r="C158" s="31"/>
      <c r="D158" s="31"/>
      <c r="E158" s="31"/>
      <c r="F158" s="31"/>
      <c r="H158" s="31"/>
    </row>
    <row r="159" ht="15.75" customHeight="1">
      <c r="A159" s="31"/>
      <c r="B159" s="31"/>
      <c r="C159" s="31"/>
      <c r="D159" s="31"/>
      <c r="E159" s="31"/>
      <c r="F159" s="31"/>
      <c r="H159" s="31"/>
    </row>
    <row r="160" ht="15.75" customHeight="1">
      <c r="A160" s="31"/>
      <c r="B160" s="31"/>
      <c r="C160" s="31"/>
      <c r="D160" s="31"/>
      <c r="E160" s="31"/>
      <c r="F160" s="31"/>
      <c r="H160" s="31"/>
    </row>
    <row r="161" ht="15.75" customHeight="1">
      <c r="A161" s="31"/>
      <c r="B161" s="31"/>
      <c r="C161" s="31"/>
      <c r="D161" s="31"/>
      <c r="E161" s="31"/>
      <c r="F161" s="31"/>
      <c r="H161" s="31"/>
    </row>
    <row r="162" ht="15.75" customHeight="1">
      <c r="A162" s="31"/>
      <c r="B162" s="31"/>
      <c r="C162" s="31"/>
      <c r="D162" s="31"/>
      <c r="E162" s="31"/>
      <c r="F162" s="31"/>
      <c r="H162" s="31"/>
    </row>
    <row r="163" ht="15.75" customHeight="1">
      <c r="A163" s="31"/>
      <c r="B163" s="31"/>
      <c r="C163" s="31"/>
      <c r="D163" s="31"/>
      <c r="E163" s="31"/>
      <c r="F163" s="31"/>
      <c r="H163" s="31"/>
    </row>
    <row r="164" ht="15.75" customHeight="1">
      <c r="A164" s="31"/>
      <c r="B164" s="31"/>
      <c r="C164" s="31"/>
      <c r="D164" s="31"/>
      <c r="E164" s="31"/>
      <c r="F164" s="31"/>
      <c r="H164" s="31"/>
    </row>
    <row r="165" ht="15.75" customHeight="1">
      <c r="A165" s="31"/>
      <c r="B165" s="31"/>
      <c r="C165" s="31"/>
      <c r="D165" s="31"/>
      <c r="E165" s="31"/>
      <c r="F165" s="31"/>
      <c r="H165" s="31"/>
    </row>
    <row r="166" ht="15.75" customHeight="1">
      <c r="A166" s="31"/>
      <c r="B166" s="31"/>
      <c r="C166" s="31"/>
      <c r="D166" s="31"/>
      <c r="E166" s="31"/>
      <c r="F166" s="31"/>
      <c r="H166" s="31"/>
    </row>
    <row r="167" ht="15.75" customHeight="1">
      <c r="A167" s="31"/>
      <c r="B167" s="31"/>
      <c r="C167" s="31"/>
      <c r="D167" s="31"/>
      <c r="E167" s="31"/>
      <c r="F167" s="31"/>
      <c r="H167" s="31"/>
    </row>
    <row r="168" ht="15.75" customHeight="1">
      <c r="A168" s="31"/>
      <c r="B168" s="31"/>
      <c r="C168" s="31"/>
      <c r="D168" s="31"/>
      <c r="E168" s="31"/>
      <c r="F168" s="31"/>
      <c r="H168" s="31"/>
    </row>
    <row r="169" ht="15.75" customHeight="1">
      <c r="A169" s="31"/>
      <c r="B169" s="31"/>
      <c r="C169" s="31"/>
      <c r="D169" s="31"/>
      <c r="E169" s="31"/>
      <c r="F169" s="31"/>
      <c r="H169" s="31"/>
    </row>
    <row r="170" ht="15.75" customHeight="1">
      <c r="A170" s="31"/>
      <c r="B170" s="31"/>
      <c r="C170" s="31"/>
      <c r="D170" s="31"/>
      <c r="E170" s="31"/>
      <c r="F170" s="31"/>
      <c r="H170" s="31"/>
    </row>
    <row r="171" ht="15.75" customHeight="1">
      <c r="A171" s="31"/>
      <c r="B171" s="31"/>
      <c r="C171" s="31"/>
      <c r="D171" s="31"/>
      <c r="E171" s="31"/>
      <c r="F171" s="31"/>
      <c r="H171" s="31"/>
    </row>
    <row r="172" ht="15.75" customHeight="1">
      <c r="A172" s="31"/>
      <c r="B172" s="31"/>
      <c r="C172" s="31"/>
      <c r="D172" s="31"/>
      <c r="E172" s="31"/>
      <c r="F172" s="31"/>
      <c r="H172" s="31"/>
    </row>
    <row r="173" ht="15.75" customHeight="1">
      <c r="A173" s="31"/>
      <c r="B173" s="31"/>
      <c r="C173" s="31"/>
      <c r="D173" s="31"/>
      <c r="E173" s="31"/>
      <c r="F173" s="31"/>
      <c r="H173" s="31"/>
    </row>
    <row r="174" ht="15.75" customHeight="1">
      <c r="A174" s="31"/>
      <c r="B174" s="31"/>
      <c r="C174" s="31"/>
      <c r="D174" s="31"/>
      <c r="E174" s="31"/>
      <c r="F174" s="31"/>
      <c r="H174" s="31"/>
    </row>
    <row r="175" ht="15.75" customHeight="1">
      <c r="A175" s="31"/>
      <c r="B175" s="31"/>
      <c r="C175" s="31"/>
      <c r="D175" s="31"/>
      <c r="E175" s="31"/>
      <c r="F175" s="31"/>
      <c r="H175" s="31"/>
    </row>
    <row r="176" ht="15.75" customHeight="1">
      <c r="A176" s="31"/>
      <c r="B176" s="31"/>
      <c r="C176" s="31"/>
      <c r="D176" s="31"/>
      <c r="E176" s="31"/>
      <c r="F176" s="31"/>
      <c r="H176" s="31"/>
    </row>
    <row r="177" ht="15.75" customHeight="1">
      <c r="A177" s="31"/>
      <c r="B177" s="31"/>
      <c r="C177" s="31"/>
      <c r="D177" s="31"/>
      <c r="E177" s="31"/>
      <c r="F177" s="31"/>
      <c r="H177" s="31"/>
    </row>
    <row r="178" ht="15.75" customHeight="1">
      <c r="A178" s="31"/>
      <c r="B178" s="31"/>
      <c r="C178" s="31"/>
      <c r="D178" s="31"/>
      <c r="E178" s="31"/>
      <c r="F178" s="31"/>
      <c r="H178" s="31"/>
    </row>
    <row r="179" ht="15.75" customHeight="1">
      <c r="A179" s="31"/>
      <c r="B179" s="31"/>
      <c r="C179" s="31"/>
      <c r="D179" s="31"/>
      <c r="E179" s="31"/>
      <c r="F179" s="31"/>
      <c r="H179" s="31"/>
    </row>
    <row r="180" ht="15.75" customHeight="1">
      <c r="A180" s="31"/>
      <c r="B180" s="31"/>
      <c r="C180" s="31"/>
      <c r="D180" s="31"/>
      <c r="E180" s="31"/>
      <c r="F180" s="31"/>
      <c r="H180" s="31"/>
    </row>
    <row r="181" ht="15.75" customHeight="1">
      <c r="A181" s="31"/>
      <c r="B181" s="31"/>
      <c r="C181" s="31"/>
      <c r="D181" s="31"/>
      <c r="E181" s="31"/>
      <c r="F181" s="31"/>
      <c r="H181" s="31"/>
    </row>
    <row r="182" ht="15.75" customHeight="1">
      <c r="A182" s="31"/>
      <c r="B182" s="31"/>
      <c r="C182" s="31"/>
      <c r="D182" s="31"/>
      <c r="E182" s="31"/>
      <c r="F182" s="31"/>
      <c r="H182" s="31"/>
    </row>
    <row r="183" ht="15.75" customHeight="1">
      <c r="A183" s="31"/>
      <c r="B183" s="31"/>
      <c r="C183" s="31"/>
      <c r="D183" s="31"/>
      <c r="E183" s="31"/>
      <c r="F183" s="31"/>
      <c r="H183" s="31"/>
    </row>
    <row r="184" ht="15.75" customHeight="1">
      <c r="A184" s="31"/>
      <c r="B184" s="31"/>
      <c r="C184" s="31"/>
      <c r="D184" s="31"/>
      <c r="E184" s="31"/>
      <c r="F184" s="31"/>
      <c r="H184" s="31"/>
    </row>
    <row r="185" ht="15.75" customHeight="1">
      <c r="A185" s="31"/>
      <c r="B185" s="31"/>
      <c r="C185" s="31"/>
      <c r="D185" s="31"/>
      <c r="E185" s="31"/>
      <c r="F185" s="31"/>
      <c r="H185" s="31"/>
    </row>
    <row r="186" ht="15.75" customHeight="1">
      <c r="A186" s="31"/>
      <c r="B186" s="31"/>
      <c r="C186" s="31"/>
      <c r="D186" s="31"/>
      <c r="E186" s="31"/>
      <c r="F186" s="31"/>
      <c r="H186" s="31"/>
    </row>
    <row r="187" ht="15.75" customHeight="1">
      <c r="A187" s="31"/>
      <c r="B187" s="31"/>
      <c r="C187" s="31"/>
      <c r="D187" s="31"/>
      <c r="E187" s="31"/>
      <c r="F187" s="31"/>
      <c r="H187" s="31"/>
    </row>
    <row r="188" ht="15.75" customHeight="1">
      <c r="A188" s="31"/>
      <c r="B188" s="31"/>
      <c r="C188" s="31"/>
      <c r="D188" s="31"/>
      <c r="E188" s="31"/>
      <c r="F188" s="31"/>
      <c r="H188" s="31"/>
    </row>
    <row r="189" ht="15.75" customHeight="1">
      <c r="A189" s="31"/>
      <c r="B189" s="31"/>
      <c r="C189" s="31"/>
      <c r="D189" s="31"/>
      <c r="E189" s="31"/>
      <c r="F189" s="31"/>
      <c r="H189" s="31"/>
    </row>
    <row r="190" ht="15.75" customHeight="1">
      <c r="A190" s="31"/>
      <c r="B190" s="31"/>
      <c r="C190" s="31"/>
      <c r="D190" s="31"/>
      <c r="E190" s="31"/>
      <c r="F190" s="31"/>
      <c r="H190" s="31"/>
    </row>
    <row r="191" ht="15.75" customHeight="1">
      <c r="A191" s="31"/>
      <c r="B191" s="31"/>
      <c r="C191" s="31"/>
      <c r="D191" s="31"/>
      <c r="E191" s="31"/>
      <c r="F191" s="31"/>
      <c r="H191" s="31"/>
    </row>
    <row r="192" ht="15.75" customHeight="1">
      <c r="A192" s="31"/>
      <c r="B192" s="31"/>
      <c r="C192" s="31"/>
      <c r="D192" s="31"/>
      <c r="E192" s="31"/>
      <c r="F192" s="31"/>
      <c r="H192" s="31"/>
    </row>
    <row r="193" ht="15.75" customHeight="1">
      <c r="A193" s="31"/>
      <c r="B193" s="31"/>
      <c r="C193" s="31"/>
      <c r="D193" s="31"/>
      <c r="E193" s="31"/>
      <c r="F193" s="31"/>
      <c r="H193" s="31"/>
    </row>
    <row r="194" ht="15.75" customHeight="1">
      <c r="A194" s="31"/>
      <c r="B194" s="31"/>
      <c r="C194" s="31"/>
      <c r="D194" s="31"/>
      <c r="E194" s="31"/>
      <c r="F194" s="31"/>
      <c r="H194" s="31"/>
    </row>
    <row r="195" ht="15.75" customHeight="1">
      <c r="A195" s="31"/>
      <c r="B195" s="31"/>
      <c r="C195" s="31"/>
      <c r="D195" s="31"/>
      <c r="E195" s="31"/>
      <c r="F195" s="31"/>
      <c r="H195" s="31"/>
    </row>
    <row r="196" ht="15.75" customHeight="1">
      <c r="A196" s="31"/>
      <c r="B196" s="31"/>
      <c r="C196" s="31"/>
      <c r="D196" s="31"/>
      <c r="E196" s="31"/>
      <c r="F196" s="31"/>
      <c r="H196" s="31"/>
    </row>
    <row r="197" ht="15.75" customHeight="1">
      <c r="A197" s="31"/>
      <c r="B197" s="31"/>
      <c r="C197" s="31"/>
      <c r="D197" s="31"/>
      <c r="E197" s="31"/>
      <c r="F197" s="31"/>
      <c r="H197" s="31"/>
    </row>
    <row r="198" ht="15.75" customHeight="1">
      <c r="A198" s="31"/>
      <c r="B198" s="31"/>
      <c r="C198" s="31"/>
      <c r="D198" s="31"/>
      <c r="E198" s="31"/>
      <c r="F198" s="31"/>
      <c r="H198" s="31"/>
    </row>
    <row r="199" ht="15.75" customHeight="1">
      <c r="A199" s="31"/>
      <c r="B199" s="31"/>
      <c r="C199" s="31"/>
      <c r="D199" s="31"/>
      <c r="E199" s="31"/>
      <c r="F199" s="31"/>
      <c r="H199" s="31"/>
    </row>
    <row r="200" ht="15.75" customHeight="1">
      <c r="A200" s="31"/>
      <c r="B200" s="31"/>
      <c r="C200" s="31"/>
      <c r="D200" s="31"/>
      <c r="E200" s="31"/>
      <c r="F200" s="31"/>
      <c r="H200" s="31"/>
    </row>
    <row r="201" ht="15.75" customHeight="1">
      <c r="A201" s="31"/>
      <c r="B201" s="31"/>
      <c r="C201" s="31"/>
      <c r="D201" s="31"/>
      <c r="E201" s="31"/>
      <c r="F201" s="31"/>
      <c r="H201" s="31"/>
    </row>
    <row r="202" ht="15.75" customHeight="1">
      <c r="A202" s="31"/>
      <c r="B202" s="31"/>
      <c r="C202" s="31"/>
      <c r="D202" s="31"/>
      <c r="E202" s="31"/>
      <c r="F202" s="31"/>
      <c r="H202" s="31"/>
    </row>
    <row r="203" ht="15.75" customHeight="1">
      <c r="A203" s="31"/>
      <c r="B203" s="31"/>
      <c r="C203" s="31"/>
      <c r="D203" s="31"/>
      <c r="E203" s="31"/>
      <c r="F203" s="31"/>
      <c r="H203" s="31"/>
    </row>
    <row r="204" ht="15.75" customHeight="1">
      <c r="A204" s="31"/>
      <c r="B204" s="31"/>
      <c r="C204" s="31"/>
      <c r="D204" s="31"/>
      <c r="E204" s="31"/>
      <c r="F204" s="31"/>
      <c r="H204" s="31"/>
    </row>
    <row r="205" ht="15.75" customHeight="1">
      <c r="A205" s="31"/>
      <c r="B205" s="31"/>
      <c r="C205" s="31"/>
      <c r="D205" s="31"/>
      <c r="E205" s="31"/>
      <c r="F205" s="31"/>
      <c r="H205" s="31"/>
    </row>
    <row r="206" ht="15.75" customHeight="1">
      <c r="A206" s="31"/>
      <c r="B206" s="31"/>
      <c r="C206" s="31"/>
      <c r="D206" s="31"/>
      <c r="E206" s="31"/>
      <c r="F206" s="31"/>
      <c r="H206" s="31"/>
    </row>
    <row r="207" ht="15.75" customHeight="1">
      <c r="A207" s="31"/>
      <c r="B207" s="31"/>
      <c r="C207" s="31"/>
      <c r="D207" s="31"/>
      <c r="E207" s="31"/>
      <c r="F207" s="31"/>
      <c r="H207" s="31"/>
    </row>
    <row r="208" ht="15.75" customHeight="1">
      <c r="A208" s="31"/>
      <c r="B208" s="31"/>
      <c r="C208" s="31"/>
      <c r="D208" s="31"/>
      <c r="E208" s="31"/>
      <c r="F208" s="31"/>
      <c r="H208" s="31"/>
    </row>
    <row r="209" ht="15.75" customHeight="1">
      <c r="A209" s="31"/>
      <c r="B209" s="31"/>
      <c r="C209" s="31"/>
      <c r="D209" s="31"/>
      <c r="E209" s="31"/>
      <c r="F209" s="31"/>
      <c r="H209" s="31"/>
    </row>
    <row r="210" ht="15.75" customHeight="1">
      <c r="A210" s="31"/>
      <c r="B210" s="31"/>
      <c r="C210" s="31"/>
      <c r="D210" s="31"/>
      <c r="E210" s="31"/>
      <c r="F210" s="31"/>
      <c r="H210" s="31"/>
    </row>
    <row r="211" ht="15.75" customHeight="1">
      <c r="A211" s="31"/>
      <c r="B211" s="31"/>
      <c r="C211" s="31"/>
      <c r="D211" s="31"/>
      <c r="E211" s="31"/>
      <c r="F211" s="31"/>
      <c r="H211" s="31"/>
    </row>
    <row r="212" ht="15.75" customHeight="1">
      <c r="A212" s="31"/>
      <c r="B212" s="31"/>
      <c r="C212" s="31"/>
      <c r="D212" s="31"/>
      <c r="E212" s="31"/>
      <c r="F212" s="31"/>
      <c r="H212" s="31"/>
    </row>
    <row r="213" ht="15.75" customHeight="1">
      <c r="A213" s="31"/>
      <c r="B213" s="31"/>
      <c r="C213" s="31"/>
      <c r="D213" s="31"/>
      <c r="E213" s="31"/>
      <c r="F213" s="31"/>
      <c r="H213" s="31"/>
    </row>
    <row r="214" ht="15.75" customHeight="1">
      <c r="A214" s="31"/>
      <c r="B214" s="31"/>
      <c r="C214" s="31"/>
      <c r="D214" s="31"/>
      <c r="E214" s="31"/>
      <c r="F214" s="31"/>
      <c r="H214" s="31"/>
    </row>
    <row r="215" ht="15.75" customHeight="1">
      <c r="A215" s="31"/>
      <c r="B215" s="31"/>
      <c r="C215" s="31"/>
      <c r="D215" s="31"/>
      <c r="E215" s="31"/>
      <c r="F215" s="31"/>
      <c r="H215" s="31"/>
    </row>
    <row r="216" ht="15.75" customHeight="1">
      <c r="A216" s="31"/>
      <c r="B216" s="31"/>
      <c r="C216" s="31"/>
      <c r="D216" s="31"/>
      <c r="E216" s="31"/>
      <c r="F216" s="31"/>
      <c r="H216" s="31"/>
    </row>
    <row r="217" ht="15.75" customHeight="1">
      <c r="A217" s="31"/>
      <c r="B217" s="31"/>
      <c r="C217" s="31"/>
      <c r="D217" s="31"/>
      <c r="E217" s="31"/>
      <c r="F217" s="31"/>
      <c r="H217" s="31"/>
    </row>
    <row r="218" ht="15.75" customHeight="1">
      <c r="A218" s="31"/>
      <c r="B218" s="31"/>
      <c r="C218" s="31"/>
      <c r="D218" s="31"/>
      <c r="E218" s="31"/>
      <c r="F218" s="31"/>
      <c r="H218" s="31"/>
    </row>
    <row r="219" ht="15.75" customHeight="1">
      <c r="A219" s="31"/>
      <c r="B219" s="31"/>
      <c r="C219" s="31"/>
      <c r="D219" s="31"/>
      <c r="E219" s="31"/>
      <c r="F219" s="31"/>
      <c r="H219" s="31"/>
    </row>
    <row r="220" ht="15.75" customHeight="1">
      <c r="A220" s="31"/>
      <c r="B220" s="31"/>
      <c r="C220" s="31"/>
      <c r="D220" s="31"/>
      <c r="E220" s="31"/>
      <c r="F220" s="31"/>
      <c r="H220" s="31"/>
    </row>
    <row r="221" ht="15.75" customHeight="1">
      <c r="A221" s="31"/>
      <c r="B221" s="31"/>
      <c r="C221" s="31"/>
      <c r="D221" s="31"/>
      <c r="E221" s="31"/>
      <c r="F221" s="31"/>
      <c r="H221" s="31"/>
    </row>
    <row r="222" ht="15.75" customHeight="1">
      <c r="A222" s="31"/>
      <c r="B222" s="31"/>
      <c r="C222" s="31"/>
      <c r="D222" s="31"/>
      <c r="E222" s="31"/>
      <c r="F222" s="31"/>
      <c r="H222" s="31"/>
    </row>
    <row r="223" ht="15.75" customHeight="1">
      <c r="A223" s="31"/>
      <c r="B223" s="31"/>
      <c r="C223" s="31"/>
      <c r="D223" s="31"/>
      <c r="E223" s="31"/>
      <c r="F223" s="31"/>
      <c r="H223" s="31"/>
    </row>
    <row r="224" ht="15.75" customHeight="1">
      <c r="A224" s="31"/>
      <c r="B224" s="31"/>
      <c r="C224" s="31"/>
      <c r="D224" s="31"/>
      <c r="E224" s="31"/>
      <c r="F224" s="31"/>
      <c r="H224" s="31"/>
    </row>
    <row r="225" ht="15.75" customHeight="1">
      <c r="A225" s="31"/>
      <c r="B225" s="31"/>
      <c r="C225" s="31"/>
      <c r="D225" s="31"/>
      <c r="E225" s="31"/>
      <c r="F225" s="31"/>
      <c r="H225" s="31"/>
    </row>
    <row r="226" ht="15.75" customHeight="1">
      <c r="A226" s="31"/>
      <c r="B226" s="31"/>
      <c r="C226" s="31"/>
      <c r="D226" s="31"/>
      <c r="E226" s="31"/>
      <c r="F226" s="31"/>
      <c r="H226" s="31"/>
    </row>
    <row r="227" ht="15.75" customHeight="1">
      <c r="A227" s="31"/>
      <c r="B227" s="31"/>
      <c r="C227" s="31"/>
      <c r="D227" s="31"/>
      <c r="E227" s="31"/>
      <c r="F227" s="31"/>
      <c r="H227" s="31"/>
    </row>
    <row r="228" ht="15.75" customHeight="1">
      <c r="A228" s="31"/>
      <c r="B228" s="31"/>
      <c r="C228" s="31"/>
      <c r="D228" s="31"/>
      <c r="E228" s="31"/>
      <c r="F228" s="31"/>
      <c r="H228" s="31"/>
    </row>
    <row r="229" ht="15.75" customHeight="1">
      <c r="A229" s="31"/>
      <c r="B229" s="31"/>
      <c r="C229" s="31"/>
      <c r="D229" s="31"/>
      <c r="E229" s="31"/>
      <c r="F229" s="31"/>
      <c r="H229" s="31"/>
    </row>
    <row r="230" ht="15.75" customHeight="1">
      <c r="A230" s="31"/>
      <c r="B230" s="31"/>
      <c r="C230" s="31"/>
      <c r="D230" s="31"/>
      <c r="E230" s="31"/>
      <c r="F230" s="31"/>
      <c r="H230" s="31"/>
    </row>
    <row r="231" ht="15.75" customHeight="1">
      <c r="A231" s="31"/>
      <c r="B231" s="31"/>
      <c r="C231" s="31"/>
      <c r="D231" s="31"/>
      <c r="E231" s="31"/>
      <c r="F231" s="31"/>
      <c r="H231" s="31"/>
    </row>
    <row r="232" ht="15.75" customHeight="1">
      <c r="A232" s="31"/>
      <c r="B232" s="31"/>
      <c r="C232" s="31"/>
      <c r="D232" s="31"/>
      <c r="E232" s="31"/>
      <c r="F232" s="31"/>
      <c r="H232" s="31"/>
    </row>
    <row r="233" ht="15.75" customHeight="1">
      <c r="A233" s="31"/>
      <c r="B233" s="31"/>
      <c r="C233" s="31"/>
      <c r="D233" s="31"/>
      <c r="E233" s="31"/>
      <c r="F233" s="31"/>
      <c r="H233" s="31"/>
    </row>
    <row r="234" ht="15.75" customHeight="1">
      <c r="A234" s="31"/>
      <c r="B234" s="31"/>
      <c r="C234" s="31"/>
      <c r="D234" s="31"/>
      <c r="E234" s="31"/>
      <c r="F234" s="31"/>
      <c r="H234" s="31"/>
    </row>
    <row r="235" ht="15.75" customHeight="1">
      <c r="A235" s="31"/>
      <c r="B235" s="31"/>
      <c r="C235" s="31"/>
      <c r="D235" s="31"/>
      <c r="E235" s="31"/>
      <c r="F235" s="31"/>
      <c r="H235" s="31"/>
    </row>
    <row r="236" ht="15.75" customHeight="1">
      <c r="A236" s="31"/>
      <c r="B236" s="31"/>
      <c r="C236" s="31"/>
      <c r="D236" s="31"/>
      <c r="E236" s="31"/>
      <c r="F236" s="31"/>
      <c r="H236" s="31"/>
    </row>
    <row r="237" ht="15.75" customHeight="1">
      <c r="A237" s="31"/>
      <c r="B237" s="31"/>
      <c r="C237" s="31"/>
      <c r="D237" s="31"/>
      <c r="E237" s="31"/>
      <c r="F237" s="31"/>
      <c r="H237" s="31"/>
    </row>
    <row r="238" ht="15.75" customHeight="1">
      <c r="A238" s="31"/>
      <c r="B238" s="31"/>
      <c r="C238" s="31"/>
      <c r="D238" s="31"/>
      <c r="E238" s="31"/>
      <c r="F238" s="31"/>
      <c r="H238" s="31"/>
    </row>
    <row r="239" ht="15.75" customHeight="1">
      <c r="A239" s="31"/>
      <c r="B239" s="31"/>
      <c r="C239" s="31"/>
      <c r="D239" s="31"/>
      <c r="E239" s="31"/>
      <c r="F239" s="31"/>
      <c r="H239" s="31"/>
    </row>
    <row r="240" ht="15.75" customHeight="1">
      <c r="A240" s="31"/>
      <c r="B240" s="31"/>
      <c r="C240" s="31"/>
      <c r="D240" s="31"/>
      <c r="E240" s="31"/>
      <c r="F240" s="31"/>
      <c r="H240" s="31"/>
    </row>
    <row r="241" ht="15.75" customHeight="1">
      <c r="A241" s="31"/>
      <c r="B241" s="31"/>
      <c r="C241" s="31"/>
      <c r="D241" s="31"/>
      <c r="E241" s="31"/>
      <c r="F241" s="31"/>
      <c r="H241" s="31"/>
    </row>
    <row r="242" ht="15.75" customHeight="1">
      <c r="A242" s="31"/>
      <c r="B242" s="31"/>
      <c r="C242" s="31"/>
      <c r="D242" s="31"/>
      <c r="E242" s="31"/>
      <c r="F242" s="31"/>
      <c r="H242" s="31"/>
    </row>
    <row r="243" ht="15.75" customHeight="1">
      <c r="A243" s="31"/>
      <c r="B243" s="31"/>
      <c r="C243" s="31"/>
      <c r="D243" s="31"/>
      <c r="E243" s="31"/>
      <c r="F243" s="31"/>
      <c r="H243" s="31"/>
    </row>
    <row r="244" ht="15.75" customHeight="1">
      <c r="A244" s="31"/>
      <c r="B244" s="31"/>
      <c r="C244" s="31"/>
      <c r="D244" s="31"/>
      <c r="E244" s="31"/>
      <c r="F244" s="31"/>
      <c r="H244" s="31"/>
    </row>
    <row r="245" ht="15.75" customHeight="1">
      <c r="A245" s="31"/>
      <c r="B245" s="31"/>
      <c r="C245" s="31"/>
      <c r="D245" s="31"/>
      <c r="E245" s="31"/>
      <c r="F245" s="31"/>
      <c r="H245" s="31"/>
    </row>
    <row r="246" ht="15.75" customHeight="1">
      <c r="A246" s="31"/>
      <c r="B246" s="31"/>
      <c r="C246" s="31"/>
      <c r="D246" s="31"/>
      <c r="E246" s="31"/>
      <c r="F246" s="31"/>
      <c r="H246" s="31"/>
    </row>
    <row r="247" ht="15.75" customHeight="1">
      <c r="A247" s="31"/>
      <c r="B247" s="31"/>
      <c r="C247" s="31"/>
      <c r="D247" s="31"/>
      <c r="E247" s="31"/>
      <c r="F247" s="31"/>
      <c r="H247" s="31"/>
    </row>
    <row r="248" ht="15.75" customHeight="1">
      <c r="A248" s="31"/>
      <c r="B248" s="31"/>
      <c r="C248" s="31"/>
      <c r="D248" s="31"/>
      <c r="E248" s="31"/>
      <c r="F248" s="31"/>
      <c r="H248" s="31"/>
    </row>
    <row r="249" ht="15.75" customHeight="1">
      <c r="A249" s="31"/>
      <c r="B249" s="31"/>
      <c r="C249" s="31"/>
      <c r="D249" s="31"/>
      <c r="E249" s="31"/>
      <c r="F249" s="31"/>
      <c r="H249" s="31"/>
    </row>
    <row r="250" ht="15.75" customHeight="1">
      <c r="A250" s="31"/>
      <c r="B250" s="31"/>
      <c r="C250" s="31"/>
      <c r="D250" s="31"/>
      <c r="E250" s="31"/>
      <c r="F250" s="31"/>
      <c r="H250" s="31"/>
    </row>
    <row r="251" ht="15.75" customHeight="1">
      <c r="A251" s="31"/>
      <c r="B251" s="31"/>
      <c r="C251" s="31"/>
      <c r="D251" s="31"/>
      <c r="E251" s="31"/>
      <c r="F251" s="31"/>
      <c r="H251" s="31"/>
    </row>
    <row r="252" ht="15.75" customHeight="1">
      <c r="A252" s="31"/>
      <c r="B252" s="31"/>
      <c r="C252" s="31"/>
      <c r="D252" s="31"/>
      <c r="E252" s="31"/>
      <c r="F252" s="31"/>
      <c r="H252" s="31"/>
    </row>
    <row r="253" ht="15.75" customHeight="1">
      <c r="A253" s="31"/>
      <c r="B253" s="31"/>
      <c r="C253" s="31"/>
      <c r="D253" s="31"/>
      <c r="E253" s="31"/>
      <c r="F253" s="31"/>
      <c r="H253" s="31"/>
    </row>
    <row r="254" ht="15.75" customHeight="1">
      <c r="A254" s="31"/>
      <c r="B254" s="31"/>
      <c r="C254" s="31"/>
      <c r="D254" s="31"/>
      <c r="E254" s="31"/>
      <c r="F254" s="31"/>
      <c r="H254" s="31"/>
    </row>
    <row r="255" ht="15.75" customHeight="1">
      <c r="A255" s="31"/>
      <c r="B255" s="31"/>
      <c r="C255" s="31"/>
      <c r="D255" s="31"/>
      <c r="E255" s="31"/>
      <c r="F255" s="31"/>
      <c r="H255" s="31"/>
    </row>
    <row r="256" ht="15.75" customHeight="1">
      <c r="A256" s="31"/>
      <c r="B256" s="31"/>
      <c r="C256" s="31"/>
      <c r="D256" s="31"/>
      <c r="E256" s="31"/>
      <c r="F256" s="31"/>
      <c r="H256" s="31"/>
    </row>
    <row r="257" ht="15.75" customHeight="1">
      <c r="A257" s="31"/>
      <c r="B257" s="31"/>
      <c r="C257" s="31"/>
      <c r="D257" s="31"/>
      <c r="E257" s="31"/>
      <c r="F257" s="31"/>
      <c r="H257" s="31"/>
    </row>
    <row r="258" ht="15.75" customHeight="1">
      <c r="A258" s="31"/>
      <c r="B258" s="31"/>
      <c r="C258" s="31"/>
      <c r="D258" s="31"/>
      <c r="E258" s="31"/>
      <c r="F258" s="31"/>
      <c r="H258" s="31"/>
    </row>
    <row r="259" ht="15.75" customHeight="1">
      <c r="A259" s="31"/>
      <c r="B259" s="31"/>
      <c r="C259" s="31"/>
      <c r="D259" s="31"/>
      <c r="E259" s="31"/>
      <c r="F259" s="31"/>
      <c r="H259" s="31"/>
    </row>
    <row r="260" ht="15.75" customHeight="1">
      <c r="A260" s="31"/>
      <c r="B260" s="31"/>
      <c r="C260" s="31"/>
      <c r="D260" s="31"/>
      <c r="E260" s="31"/>
      <c r="F260" s="31"/>
      <c r="H260" s="31"/>
    </row>
    <row r="261" ht="15.75" customHeight="1">
      <c r="A261" s="31"/>
      <c r="B261" s="31"/>
      <c r="C261" s="31"/>
      <c r="D261" s="31"/>
      <c r="E261" s="31"/>
      <c r="F261" s="31"/>
      <c r="H261" s="31"/>
    </row>
    <row r="262" ht="15.75" customHeight="1">
      <c r="A262" s="31"/>
      <c r="B262" s="31"/>
      <c r="C262" s="31"/>
      <c r="D262" s="31"/>
      <c r="E262" s="31"/>
      <c r="F262" s="31"/>
      <c r="H262" s="31"/>
    </row>
    <row r="263" ht="15.75" customHeight="1">
      <c r="A263" s="31"/>
      <c r="B263" s="31"/>
      <c r="C263" s="31"/>
      <c r="D263" s="31"/>
      <c r="E263" s="31"/>
      <c r="F263" s="31"/>
      <c r="H263" s="31"/>
    </row>
    <row r="264" ht="15.75" customHeight="1">
      <c r="A264" s="31"/>
      <c r="B264" s="31"/>
      <c r="C264" s="31"/>
      <c r="D264" s="31"/>
      <c r="E264" s="31"/>
      <c r="F264" s="31"/>
      <c r="H264" s="31"/>
    </row>
    <row r="265" ht="15.75" customHeight="1">
      <c r="A265" s="31"/>
      <c r="B265" s="31"/>
      <c r="C265" s="31"/>
      <c r="D265" s="31"/>
      <c r="E265" s="31"/>
      <c r="F265" s="31"/>
      <c r="H265" s="31"/>
    </row>
    <row r="266" ht="15.75" customHeight="1">
      <c r="A266" s="31"/>
      <c r="B266" s="31"/>
      <c r="C266" s="31"/>
      <c r="D266" s="31"/>
      <c r="E266" s="31"/>
      <c r="F266" s="31"/>
      <c r="H266" s="31"/>
    </row>
    <row r="267" ht="15.75" customHeight="1">
      <c r="A267" s="31"/>
      <c r="B267" s="31"/>
      <c r="C267" s="31"/>
      <c r="D267" s="31"/>
      <c r="E267" s="31"/>
      <c r="F267" s="31"/>
      <c r="H267" s="31"/>
    </row>
    <row r="268" ht="15.75" customHeight="1">
      <c r="A268" s="31"/>
      <c r="B268" s="31"/>
      <c r="C268" s="31"/>
      <c r="D268" s="31"/>
      <c r="E268" s="31"/>
      <c r="F268" s="31"/>
      <c r="H268" s="31"/>
    </row>
    <row r="269" ht="15.75" customHeight="1">
      <c r="A269" s="31"/>
      <c r="B269" s="31"/>
      <c r="C269" s="31"/>
      <c r="D269" s="31"/>
      <c r="E269" s="31"/>
      <c r="F269" s="31"/>
      <c r="H269" s="31"/>
    </row>
    <row r="270" ht="15.75" customHeight="1">
      <c r="A270" s="31"/>
      <c r="B270" s="31"/>
      <c r="C270" s="31"/>
      <c r="D270" s="31"/>
      <c r="E270" s="31"/>
      <c r="F270" s="31"/>
      <c r="H270" s="31"/>
    </row>
    <row r="271" ht="15.75" customHeight="1">
      <c r="A271" s="31"/>
      <c r="B271" s="31"/>
      <c r="C271" s="31"/>
      <c r="D271" s="31"/>
      <c r="E271" s="31"/>
      <c r="F271" s="31"/>
      <c r="H271" s="31"/>
    </row>
    <row r="272" ht="15.75" customHeight="1">
      <c r="A272" s="31"/>
      <c r="B272" s="31"/>
      <c r="C272" s="31"/>
      <c r="D272" s="31"/>
      <c r="E272" s="31"/>
      <c r="F272" s="31"/>
      <c r="H272" s="31"/>
    </row>
    <row r="273" ht="15.75" customHeight="1">
      <c r="A273" s="31"/>
      <c r="B273" s="31"/>
      <c r="C273" s="31"/>
      <c r="D273" s="31"/>
      <c r="E273" s="31"/>
      <c r="F273" s="31"/>
      <c r="H273" s="31"/>
    </row>
    <row r="274" ht="15.75" customHeight="1">
      <c r="A274" s="31"/>
      <c r="B274" s="31"/>
      <c r="C274" s="31"/>
      <c r="D274" s="31"/>
      <c r="E274" s="31"/>
      <c r="F274" s="31"/>
      <c r="H274" s="31"/>
    </row>
    <row r="275" ht="15.75" customHeight="1">
      <c r="A275" s="31"/>
      <c r="B275" s="31"/>
      <c r="C275" s="31"/>
      <c r="D275" s="31"/>
      <c r="E275" s="31"/>
      <c r="F275" s="31"/>
      <c r="H275" s="31"/>
    </row>
    <row r="276" ht="15.75" customHeight="1">
      <c r="A276" s="31"/>
      <c r="B276" s="31"/>
      <c r="C276" s="31"/>
      <c r="D276" s="31"/>
      <c r="E276" s="31"/>
      <c r="F276" s="31"/>
      <c r="H276" s="31"/>
    </row>
    <row r="277" ht="15.75" customHeight="1">
      <c r="A277" s="31"/>
      <c r="B277" s="31"/>
      <c r="C277" s="31"/>
      <c r="D277" s="31"/>
      <c r="E277" s="31"/>
      <c r="F277" s="31"/>
      <c r="H277" s="31"/>
    </row>
    <row r="278" ht="15.75" customHeight="1">
      <c r="A278" s="31"/>
      <c r="B278" s="31"/>
      <c r="C278" s="31"/>
      <c r="D278" s="31"/>
      <c r="E278" s="31"/>
      <c r="F278" s="31"/>
      <c r="H278" s="31"/>
    </row>
    <row r="279" ht="15.75" customHeight="1">
      <c r="A279" s="31"/>
      <c r="B279" s="31"/>
      <c r="C279" s="31"/>
      <c r="D279" s="31"/>
      <c r="E279" s="31"/>
      <c r="F279" s="31"/>
      <c r="H279" s="31"/>
    </row>
    <row r="280" ht="15.75" customHeight="1">
      <c r="A280" s="31"/>
      <c r="B280" s="31"/>
      <c r="C280" s="31"/>
      <c r="D280" s="31"/>
      <c r="E280" s="31"/>
      <c r="F280" s="31"/>
      <c r="H280" s="31"/>
    </row>
    <row r="281" ht="15.75" customHeight="1">
      <c r="A281" s="31"/>
      <c r="B281" s="31"/>
      <c r="C281" s="31"/>
      <c r="D281" s="31"/>
      <c r="E281" s="31"/>
      <c r="F281" s="31"/>
      <c r="H281" s="31"/>
    </row>
    <row r="282" ht="15.75" customHeight="1">
      <c r="A282" s="31"/>
      <c r="B282" s="31"/>
      <c r="C282" s="31"/>
      <c r="D282" s="31"/>
      <c r="E282" s="31"/>
      <c r="F282" s="31"/>
      <c r="H282" s="31"/>
    </row>
    <row r="283" ht="15.75" customHeight="1">
      <c r="A283" s="31"/>
      <c r="B283" s="31"/>
      <c r="C283" s="31"/>
      <c r="D283" s="31"/>
      <c r="E283" s="31"/>
      <c r="F283" s="31"/>
      <c r="H283" s="31"/>
    </row>
    <row r="284" ht="15.75" customHeight="1">
      <c r="A284" s="31"/>
      <c r="B284" s="31"/>
      <c r="C284" s="31"/>
      <c r="D284" s="31"/>
      <c r="E284" s="31"/>
      <c r="F284" s="31"/>
      <c r="H284" s="31"/>
    </row>
    <row r="285" ht="15.75" customHeight="1">
      <c r="A285" s="31"/>
      <c r="B285" s="31"/>
      <c r="C285" s="31"/>
      <c r="D285" s="31"/>
      <c r="E285" s="31"/>
      <c r="F285" s="31"/>
      <c r="H285" s="31"/>
    </row>
    <row r="286" ht="15.75" customHeight="1">
      <c r="A286" s="31"/>
      <c r="B286" s="31"/>
      <c r="C286" s="31"/>
      <c r="D286" s="31"/>
      <c r="E286" s="31"/>
      <c r="F286" s="31"/>
      <c r="H286" s="31"/>
    </row>
    <row r="287" ht="15.75" customHeight="1">
      <c r="A287" s="31"/>
      <c r="B287" s="31"/>
      <c r="C287" s="31"/>
      <c r="D287" s="31"/>
      <c r="E287" s="31"/>
      <c r="F287" s="31"/>
      <c r="H287" s="31"/>
    </row>
    <row r="288" ht="15.75" customHeight="1">
      <c r="A288" s="31"/>
      <c r="B288" s="31"/>
      <c r="C288" s="31"/>
      <c r="D288" s="31"/>
      <c r="E288" s="31"/>
      <c r="F288" s="31"/>
      <c r="H288" s="31"/>
    </row>
    <row r="289" ht="15.75" customHeight="1">
      <c r="A289" s="31"/>
      <c r="B289" s="31"/>
      <c r="C289" s="31"/>
      <c r="D289" s="31"/>
      <c r="E289" s="31"/>
      <c r="F289" s="31"/>
      <c r="H289" s="31"/>
    </row>
    <row r="290" ht="15.75" customHeight="1">
      <c r="A290" s="31"/>
      <c r="B290" s="31"/>
      <c r="C290" s="31"/>
      <c r="D290" s="31"/>
      <c r="E290" s="31"/>
      <c r="F290" s="31"/>
      <c r="H290" s="31"/>
    </row>
    <row r="291" ht="15.75" customHeight="1">
      <c r="A291" s="31"/>
      <c r="B291" s="31"/>
      <c r="C291" s="31"/>
      <c r="D291" s="31"/>
      <c r="E291" s="31"/>
      <c r="F291" s="31"/>
      <c r="H291" s="31"/>
    </row>
    <row r="292" ht="15.75" customHeight="1">
      <c r="A292" s="31"/>
      <c r="B292" s="31"/>
      <c r="C292" s="31"/>
      <c r="D292" s="31"/>
      <c r="E292" s="31"/>
      <c r="F292" s="31"/>
      <c r="H292" s="31"/>
    </row>
    <row r="293" ht="15.75" customHeight="1">
      <c r="A293" s="31"/>
      <c r="B293" s="31"/>
      <c r="C293" s="31"/>
      <c r="D293" s="31"/>
      <c r="E293" s="31"/>
      <c r="F293" s="31"/>
      <c r="H293" s="31"/>
    </row>
    <row r="294" ht="15.75" customHeight="1">
      <c r="A294" s="31"/>
      <c r="B294" s="31"/>
      <c r="C294" s="31"/>
      <c r="D294" s="31"/>
      <c r="E294" s="31"/>
      <c r="F294" s="31"/>
      <c r="H294" s="31"/>
    </row>
    <row r="295" ht="15.75" customHeight="1">
      <c r="A295" s="31"/>
      <c r="B295" s="31"/>
      <c r="C295" s="31"/>
      <c r="D295" s="31"/>
      <c r="E295" s="31"/>
      <c r="F295" s="31"/>
      <c r="H295" s="31"/>
    </row>
    <row r="296" ht="15.75" customHeight="1">
      <c r="A296" s="31"/>
      <c r="B296" s="31"/>
      <c r="C296" s="31"/>
      <c r="D296" s="31"/>
      <c r="E296" s="31"/>
      <c r="F296" s="31"/>
      <c r="H296" s="31"/>
    </row>
    <row r="297" ht="15.75" customHeight="1">
      <c r="A297" s="31"/>
      <c r="B297" s="31"/>
      <c r="C297" s="31"/>
      <c r="D297" s="31"/>
      <c r="E297" s="31"/>
      <c r="F297" s="31"/>
      <c r="H297" s="31"/>
    </row>
    <row r="298" ht="15.75" customHeight="1">
      <c r="A298" s="31"/>
      <c r="B298" s="31"/>
      <c r="C298" s="31"/>
      <c r="D298" s="31"/>
      <c r="E298" s="31"/>
      <c r="F298" s="31"/>
      <c r="H298" s="31"/>
    </row>
    <row r="299" ht="15.75" customHeight="1">
      <c r="A299" s="31"/>
      <c r="B299" s="31"/>
      <c r="C299" s="31"/>
      <c r="D299" s="31"/>
      <c r="E299" s="31"/>
      <c r="F299" s="31"/>
      <c r="H299" s="31"/>
    </row>
    <row r="300" ht="15.75" customHeight="1">
      <c r="A300" s="31"/>
      <c r="B300" s="31"/>
      <c r="C300" s="31"/>
      <c r="D300" s="31"/>
      <c r="E300" s="31"/>
      <c r="F300" s="31"/>
      <c r="H300" s="31"/>
    </row>
    <row r="301" ht="15.75" customHeight="1">
      <c r="A301" s="31"/>
      <c r="B301" s="31"/>
      <c r="C301" s="31"/>
      <c r="D301" s="31"/>
      <c r="E301" s="31"/>
      <c r="F301" s="31"/>
      <c r="H301" s="31"/>
    </row>
    <row r="302" ht="15.75" customHeight="1">
      <c r="A302" s="31"/>
      <c r="B302" s="31"/>
      <c r="C302" s="31"/>
      <c r="D302" s="31"/>
      <c r="E302" s="31"/>
      <c r="F302" s="31"/>
      <c r="H302" s="31"/>
    </row>
    <row r="303" ht="15.75" customHeight="1">
      <c r="A303" s="31"/>
      <c r="B303" s="31"/>
      <c r="C303" s="31"/>
      <c r="D303" s="31"/>
      <c r="E303" s="31"/>
      <c r="F303" s="31"/>
      <c r="H303" s="31"/>
    </row>
    <row r="304" ht="15.75" customHeight="1">
      <c r="A304" s="31"/>
      <c r="B304" s="31"/>
      <c r="C304" s="31"/>
      <c r="D304" s="31"/>
      <c r="E304" s="31"/>
      <c r="F304" s="31"/>
      <c r="H304" s="31"/>
    </row>
    <row r="305" ht="15.75" customHeight="1">
      <c r="A305" s="31"/>
      <c r="B305" s="31"/>
      <c r="C305" s="31"/>
      <c r="D305" s="31"/>
      <c r="E305" s="31"/>
      <c r="F305" s="31"/>
      <c r="H305" s="31"/>
    </row>
    <row r="306" ht="15.75" customHeight="1">
      <c r="A306" s="31"/>
      <c r="B306" s="31"/>
      <c r="C306" s="31"/>
      <c r="D306" s="31"/>
      <c r="E306" s="31"/>
      <c r="F306" s="31"/>
      <c r="H306" s="31"/>
    </row>
    <row r="307" ht="15.75" customHeight="1">
      <c r="A307" s="31"/>
      <c r="B307" s="31"/>
      <c r="C307" s="31"/>
      <c r="D307" s="31"/>
      <c r="E307" s="31"/>
      <c r="F307" s="31"/>
      <c r="H307" s="31"/>
    </row>
    <row r="308" ht="15.75" customHeight="1">
      <c r="A308" s="31"/>
      <c r="B308" s="31"/>
      <c r="C308" s="31"/>
      <c r="D308" s="31"/>
      <c r="E308" s="31"/>
      <c r="F308" s="31"/>
      <c r="H308" s="31"/>
    </row>
    <row r="309" ht="15.75" customHeight="1">
      <c r="A309" s="31"/>
      <c r="B309" s="31"/>
      <c r="C309" s="31"/>
      <c r="D309" s="31"/>
      <c r="E309" s="31"/>
      <c r="F309" s="31"/>
      <c r="H309" s="31"/>
    </row>
    <row r="310" ht="15.75" customHeight="1">
      <c r="A310" s="31"/>
      <c r="B310" s="31"/>
      <c r="C310" s="31"/>
      <c r="D310" s="31"/>
      <c r="E310" s="31"/>
      <c r="F310" s="31"/>
      <c r="H310" s="31"/>
    </row>
    <row r="311" ht="15.75" customHeight="1">
      <c r="A311" s="31"/>
      <c r="B311" s="31"/>
      <c r="C311" s="31"/>
      <c r="D311" s="31"/>
      <c r="E311" s="31"/>
      <c r="F311" s="31"/>
      <c r="H311" s="31"/>
    </row>
    <row r="312" ht="15.75" customHeight="1">
      <c r="A312" s="31"/>
      <c r="B312" s="31"/>
      <c r="C312" s="31"/>
      <c r="D312" s="31"/>
      <c r="E312" s="31"/>
      <c r="F312" s="31"/>
      <c r="H312" s="31"/>
    </row>
    <row r="313" ht="15.75" customHeight="1">
      <c r="A313" s="31"/>
      <c r="B313" s="31"/>
      <c r="C313" s="31"/>
      <c r="D313" s="31"/>
      <c r="E313" s="31"/>
      <c r="F313" s="31"/>
      <c r="H313" s="31"/>
    </row>
    <row r="314" ht="15.75" customHeight="1">
      <c r="A314" s="31"/>
      <c r="B314" s="31"/>
      <c r="C314" s="31"/>
      <c r="D314" s="31"/>
      <c r="E314" s="31"/>
      <c r="F314" s="31"/>
      <c r="H314" s="31"/>
    </row>
    <row r="315" ht="15.75" customHeight="1">
      <c r="A315" s="31"/>
      <c r="B315" s="31"/>
      <c r="C315" s="31"/>
      <c r="D315" s="31"/>
      <c r="E315" s="31"/>
      <c r="F315" s="31"/>
      <c r="H315" s="31"/>
    </row>
    <row r="316" ht="15.75" customHeight="1">
      <c r="A316" s="31"/>
      <c r="B316" s="31"/>
      <c r="C316" s="31"/>
      <c r="D316" s="31"/>
      <c r="E316" s="31"/>
      <c r="F316" s="31"/>
      <c r="H316" s="31"/>
    </row>
    <row r="317" ht="15.75" customHeight="1">
      <c r="A317" s="31"/>
      <c r="B317" s="31"/>
      <c r="C317" s="31"/>
      <c r="D317" s="31"/>
      <c r="E317" s="31"/>
      <c r="F317" s="31"/>
      <c r="H317" s="31"/>
    </row>
    <row r="318" ht="15.75" customHeight="1">
      <c r="A318" s="31"/>
      <c r="B318" s="31"/>
      <c r="C318" s="31"/>
      <c r="D318" s="31"/>
      <c r="E318" s="31"/>
      <c r="F318" s="31"/>
      <c r="H318" s="31"/>
    </row>
    <row r="319" ht="15.75" customHeight="1">
      <c r="A319" s="31"/>
      <c r="B319" s="31"/>
      <c r="C319" s="31"/>
      <c r="D319" s="31"/>
      <c r="E319" s="31"/>
      <c r="F319" s="31"/>
      <c r="H319" s="31"/>
    </row>
    <row r="320" ht="15.75" customHeight="1">
      <c r="A320" s="31"/>
      <c r="B320" s="31"/>
      <c r="C320" s="31"/>
      <c r="D320" s="31"/>
      <c r="E320" s="31"/>
      <c r="F320" s="31"/>
      <c r="H320" s="31"/>
    </row>
    <row r="321" ht="15.75" customHeight="1">
      <c r="A321" s="31"/>
      <c r="B321" s="31"/>
      <c r="C321" s="31"/>
      <c r="D321" s="31"/>
      <c r="E321" s="31"/>
      <c r="F321" s="31"/>
      <c r="H321" s="31"/>
    </row>
    <row r="322" ht="15.75" customHeight="1">
      <c r="A322" s="31"/>
      <c r="B322" s="31"/>
      <c r="C322" s="31"/>
      <c r="D322" s="31"/>
      <c r="E322" s="31"/>
      <c r="F322" s="31"/>
      <c r="H322" s="31"/>
    </row>
    <row r="323" ht="15.75" customHeight="1">
      <c r="A323" s="31"/>
      <c r="B323" s="31"/>
      <c r="C323" s="31"/>
      <c r="D323" s="31"/>
      <c r="E323" s="31"/>
      <c r="F323" s="31"/>
      <c r="H323" s="31"/>
    </row>
    <row r="324" ht="15.75" customHeight="1">
      <c r="A324" s="31"/>
      <c r="B324" s="31"/>
      <c r="C324" s="31"/>
      <c r="D324" s="31"/>
      <c r="E324" s="31"/>
      <c r="F324" s="31"/>
      <c r="H324" s="31"/>
    </row>
    <row r="325" ht="15.75" customHeight="1">
      <c r="A325" s="31"/>
      <c r="B325" s="31"/>
      <c r="C325" s="31"/>
      <c r="D325" s="31"/>
      <c r="E325" s="31"/>
      <c r="F325" s="31"/>
      <c r="H325" s="31"/>
    </row>
    <row r="326" ht="15.75" customHeight="1">
      <c r="A326" s="31"/>
      <c r="B326" s="31"/>
      <c r="C326" s="31"/>
      <c r="D326" s="31"/>
      <c r="E326" s="31"/>
      <c r="F326" s="31"/>
      <c r="H326" s="31"/>
    </row>
    <row r="327" ht="15.75" customHeight="1">
      <c r="A327" s="31"/>
      <c r="B327" s="31"/>
      <c r="C327" s="31"/>
      <c r="D327" s="31"/>
      <c r="E327" s="31"/>
      <c r="F327" s="31"/>
      <c r="H327" s="31"/>
    </row>
    <row r="328" ht="15.75" customHeight="1">
      <c r="A328" s="31"/>
      <c r="B328" s="31"/>
      <c r="C328" s="31"/>
      <c r="D328" s="31"/>
      <c r="E328" s="31"/>
      <c r="F328" s="31"/>
      <c r="H328" s="31"/>
    </row>
    <row r="329" ht="15.75" customHeight="1">
      <c r="A329" s="31"/>
      <c r="B329" s="31"/>
      <c r="C329" s="31"/>
      <c r="D329" s="31"/>
      <c r="E329" s="31"/>
      <c r="F329" s="31"/>
      <c r="H329" s="31"/>
    </row>
    <row r="330" ht="15.75" customHeight="1">
      <c r="A330" s="31"/>
      <c r="B330" s="31"/>
      <c r="C330" s="31"/>
      <c r="D330" s="31"/>
      <c r="E330" s="31"/>
      <c r="F330" s="31"/>
      <c r="H330" s="31"/>
    </row>
    <row r="331" ht="15.75" customHeight="1">
      <c r="A331" s="31"/>
      <c r="B331" s="31"/>
      <c r="C331" s="31"/>
      <c r="D331" s="31"/>
      <c r="E331" s="31"/>
      <c r="F331" s="31"/>
      <c r="H331" s="31"/>
    </row>
    <row r="332" ht="15.75" customHeight="1">
      <c r="A332" s="31"/>
      <c r="B332" s="31"/>
      <c r="C332" s="31"/>
      <c r="D332" s="31"/>
      <c r="E332" s="31"/>
      <c r="F332" s="31"/>
      <c r="H332" s="31"/>
    </row>
    <row r="333" ht="15.75" customHeight="1">
      <c r="A333" s="31"/>
      <c r="B333" s="31"/>
      <c r="C333" s="31"/>
      <c r="D333" s="31"/>
      <c r="E333" s="31"/>
      <c r="F333" s="31"/>
      <c r="H333" s="31"/>
    </row>
    <row r="334" ht="15.75" customHeight="1">
      <c r="A334" s="31"/>
      <c r="B334" s="31"/>
      <c r="C334" s="31"/>
      <c r="D334" s="31"/>
      <c r="E334" s="31"/>
      <c r="F334" s="31"/>
      <c r="H334" s="31"/>
    </row>
    <row r="335" ht="15.75" customHeight="1">
      <c r="A335" s="31"/>
      <c r="B335" s="31"/>
      <c r="C335" s="31"/>
      <c r="D335" s="31"/>
      <c r="E335" s="31"/>
      <c r="F335" s="31"/>
      <c r="H335" s="31"/>
    </row>
    <row r="336" ht="15.75" customHeight="1">
      <c r="A336" s="31"/>
      <c r="B336" s="31"/>
      <c r="C336" s="31"/>
      <c r="D336" s="31"/>
      <c r="E336" s="31"/>
      <c r="F336" s="31"/>
      <c r="H336" s="31"/>
    </row>
    <row r="337" ht="15.75" customHeight="1">
      <c r="A337" s="31"/>
      <c r="B337" s="31"/>
      <c r="C337" s="31"/>
      <c r="D337" s="31"/>
      <c r="E337" s="31"/>
      <c r="F337" s="31"/>
      <c r="H337" s="31"/>
    </row>
    <row r="338" ht="15.75" customHeight="1">
      <c r="A338" s="31"/>
      <c r="B338" s="31"/>
      <c r="C338" s="31"/>
      <c r="D338" s="31"/>
      <c r="E338" s="31"/>
      <c r="F338" s="31"/>
      <c r="H338" s="31"/>
    </row>
    <row r="339" ht="15.75" customHeight="1">
      <c r="A339" s="31"/>
      <c r="B339" s="31"/>
      <c r="C339" s="31"/>
      <c r="D339" s="31"/>
      <c r="E339" s="31"/>
      <c r="F339" s="31"/>
      <c r="H339" s="31"/>
    </row>
    <row r="340" ht="15.75" customHeight="1">
      <c r="A340" s="31"/>
      <c r="B340" s="31"/>
      <c r="C340" s="31"/>
      <c r="D340" s="31"/>
      <c r="E340" s="31"/>
      <c r="F340" s="31"/>
      <c r="H340" s="31"/>
    </row>
    <row r="341" ht="15.75" customHeight="1">
      <c r="A341" s="31"/>
      <c r="B341" s="31"/>
      <c r="C341" s="31"/>
      <c r="D341" s="31"/>
      <c r="E341" s="31"/>
      <c r="F341" s="31"/>
      <c r="H341" s="31"/>
    </row>
    <row r="342" ht="15.75" customHeight="1">
      <c r="A342" s="31"/>
      <c r="B342" s="31"/>
      <c r="C342" s="31"/>
      <c r="D342" s="31"/>
      <c r="E342" s="31"/>
      <c r="F342" s="31"/>
      <c r="H342" s="31"/>
    </row>
    <row r="343" ht="15.75" customHeight="1">
      <c r="A343" s="31"/>
      <c r="B343" s="31"/>
      <c r="C343" s="31"/>
      <c r="D343" s="31"/>
      <c r="E343" s="31"/>
      <c r="F343" s="31"/>
      <c r="H343" s="31"/>
    </row>
    <row r="344" ht="15.75" customHeight="1">
      <c r="A344" s="31"/>
      <c r="B344" s="31"/>
      <c r="C344" s="31"/>
      <c r="D344" s="31"/>
      <c r="E344" s="31"/>
      <c r="F344" s="31"/>
      <c r="H344" s="31"/>
    </row>
    <row r="345" ht="15.75" customHeight="1">
      <c r="A345" s="31"/>
      <c r="B345" s="31"/>
      <c r="C345" s="31"/>
      <c r="D345" s="31"/>
      <c r="E345" s="31"/>
      <c r="F345" s="31"/>
      <c r="H345" s="31"/>
    </row>
    <row r="346" ht="15.75" customHeight="1">
      <c r="A346" s="31"/>
      <c r="B346" s="31"/>
      <c r="C346" s="31"/>
      <c r="D346" s="31"/>
      <c r="E346" s="31"/>
      <c r="F346" s="31"/>
      <c r="H346" s="31"/>
    </row>
    <row r="347" ht="15.75" customHeight="1">
      <c r="A347" s="31"/>
      <c r="B347" s="31"/>
      <c r="C347" s="31"/>
      <c r="D347" s="31"/>
      <c r="E347" s="31"/>
      <c r="F347" s="31"/>
      <c r="H347" s="31"/>
    </row>
    <row r="348" ht="15.75" customHeight="1">
      <c r="A348" s="31"/>
      <c r="B348" s="31"/>
      <c r="C348" s="31"/>
      <c r="D348" s="31"/>
      <c r="E348" s="31"/>
      <c r="F348" s="31"/>
      <c r="H348" s="31"/>
    </row>
    <row r="349" ht="15.75" customHeight="1">
      <c r="A349" s="31"/>
      <c r="B349" s="31"/>
      <c r="C349" s="31"/>
      <c r="D349" s="31"/>
      <c r="E349" s="31"/>
      <c r="F349" s="31"/>
      <c r="H349" s="31"/>
    </row>
    <row r="350" ht="15.75" customHeight="1">
      <c r="A350" s="31"/>
      <c r="B350" s="31"/>
      <c r="C350" s="31"/>
      <c r="D350" s="31"/>
      <c r="E350" s="31"/>
      <c r="F350" s="31"/>
      <c r="H350" s="31"/>
    </row>
    <row r="351" ht="15.75" customHeight="1">
      <c r="A351" s="31"/>
      <c r="B351" s="31"/>
      <c r="C351" s="31"/>
      <c r="D351" s="31"/>
      <c r="E351" s="31"/>
      <c r="F351" s="31"/>
      <c r="H351" s="31"/>
    </row>
    <row r="352" ht="15.75" customHeight="1">
      <c r="A352" s="31"/>
      <c r="B352" s="31"/>
      <c r="C352" s="31"/>
      <c r="D352" s="31"/>
      <c r="E352" s="31"/>
      <c r="F352" s="31"/>
      <c r="H352" s="31"/>
    </row>
    <row r="353" ht="15.75" customHeight="1">
      <c r="A353" s="31"/>
      <c r="B353" s="31"/>
      <c r="C353" s="31"/>
      <c r="D353" s="31"/>
      <c r="E353" s="31"/>
      <c r="F353" s="31"/>
      <c r="H353" s="31"/>
    </row>
    <row r="354" ht="15.75" customHeight="1">
      <c r="A354" s="31"/>
      <c r="B354" s="31"/>
      <c r="C354" s="31"/>
      <c r="D354" s="31"/>
      <c r="E354" s="31"/>
      <c r="F354" s="31"/>
      <c r="H354" s="31"/>
    </row>
    <row r="355" ht="15.75" customHeight="1">
      <c r="A355" s="31"/>
      <c r="B355" s="31"/>
      <c r="C355" s="31"/>
      <c r="D355" s="31"/>
      <c r="E355" s="31"/>
      <c r="F355" s="31"/>
      <c r="H355" s="31"/>
    </row>
    <row r="356" ht="15.75" customHeight="1">
      <c r="A356" s="31"/>
      <c r="B356" s="31"/>
      <c r="C356" s="31"/>
      <c r="D356" s="31"/>
      <c r="E356" s="31"/>
      <c r="F356" s="31"/>
      <c r="H356" s="31"/>
    </row>
    <row r="357" ht="15.75" customHeight="1">
      <c r="A357" s="31"/>
      <c r="B357" s="31"/>
      <c r="C357" s="31"/>
      <c r="D357" s="31"/>
      <c r="E357" s="31"/>
      <c r="F357" s="31"/>
      <c r="H357" s="31"/>
    </row>
    <row r="358" ht="15.75" customHeight="1">
      <c r="A358" s="31"/>
      <c r="B358" s="31"/>
      <c r="C358" s="31"/>
      <c r="D358" s="31"/>
      <c r="E358" s="31"/>
      <c r="F358" s="31"/>
      <c r="H358" s="31"/>
    </row>
    <row r="359" ht="15.75" customHeight="1">
      <c r="A359" s="31"/>
      <c r="B359" s="31"/>
      <c r="C359" s="31"/>
      <c r="D359" s="31"/>
      <c r="E359" s="31"/>
      <c r="F359" s="31"/>
      <c r="H359" s="31"/>
    </row>
    <row r="360" ht="15.75" customHeight="1">
      <c r="A360" s="31"/>
      <c r="B360" s="31"/>
      <c r="C360" s="31"/>
      <c r="D360" s="31"/>
      <c r="E360" s="31"/>
      <c r="F360" s="31"/>
      <c r="H360" s="31"/>
    </row>
    <row r="361" ht="15.75" customHeight="1">
      <c r="A361" s="31"/>
      <c r="B361" s="31"/>
      <c r="C361" s="31"/>
      <c r="D361" s="31"/>
      <c r="E361" s="31"/>
      <c r="F361" s="31"/>
      <c r="H361" s="31"/>
    </row>
    <row r="362" ht="15.75" customHeight="1">
      <c r="A362" s="31"/>
      <c r="B362" s="31"/>
      <c r="C362" s="31"/>
      <c r="D362" s="31"/>
      <c r="E362" s="31"/>
      <c r="F362" s="31"/>
      <c r="H362" s="31"/>
    </row>
    <row r="363" ht="15.75" customHeight="1">
      <c r="A363" s="31"/>
      <c r="B363" s="31"/>
      <c r="C363" s="31"/>
      <c r="D363" s="31"/>
      <c r="E363" s="31"/>
      <c r="F363" s="31"/>
      <c r="H363" s="31"/>
    </row>
    <row r="364" ht="15.75" customHeight="1">
      <c r="A364" s="31"/>
      <c r="B364" s="31"/>
      <c r="C364" s="31"/>
      <c r="D364" s="31"/>
      <c r="E364" s="31"/>
      <c r="F364" s="31"/>
      <c r="H364" s="31"/>
    </row>
    <row r="365" ht="15.75" customHeight="1">
      <c r="A365" s="31"/>
      <c r="B365" s="31"/>
      <c r="C365" s="31"/>
      <c r="D365" s="31"/>
      <c r="E365" s="31"/>
      <c r="F365" s="31"/>
      <c r="H365" s="31"/>
    </row>
    <row r="366" ht="15.75" customHeight="1">
      <c r="A366" s="31"/>
      <c r="B366" s="31"/>
      <c r="C366" s="31"/>
      <c r="D366" s="31"/>
      <c r="E366" s="31"/>
      <c r="F366" s="31"/>
      <c r="H366" s="31"/>
    </row>
    <row r="367" ht="15.75" customHeight="1">
      <c r="A367" s="31"/>
      <c r="B367" s="31"/>
      <c r="C367" s="31"/>
      <c r="D367" s="31"/>
      <c r="E367" s="31"/>
      <c r="F367" s="31"/>
      <c r="H367" s="31"/>
    </row>
    <row r="368" ht="15.75" customHeight="1">
      <c r="A368" s="31"/>
      <c r="B368" s="31"/>
      <c r="C368" s="31"/>
      <c r="D368" s="31"/>
      <c r="E368" s="31"/>
      <c r="F368" s="31"/>
      <c r="H368" s="31"/>
    </row>
    <row r="369" ht="15.75" customHeight="1">
      <c r="A369" s="31"/>
      <c r="B369" s="31"/>
      <c r="C369" s="31"/>
      <c r="D369" s="31"/>
      <c r="E369" s="31"/>
      <c r="F369" s="31"/>
      <c r="H369" s="31"/>
    </row>
    <row r="370" ht="15.75" customHeight="1">
      <c r="A370" s="31"/>
      <c r="B370" s="31"/>
      <c r="C370" s="31"/>
      <c r="D370" s="31"/>
      <c r="E370" s="31"/>
      <c r="F370" s="31"/>
      <c r="H370" s="31"/>
    </row>
    <row r="371" ht="15.75" customHeight="1">
      <c r="A371" s="31"/>
      <c r="B371" s="31"/>
      <c r="C371" s="31"/>
      <c r="D371" s="31"/>
      <c r="E371" s="31"/>
      <c r="F371" s="31"/>
      <c r="H371" s="31"/>
    </row>
    <row r="372" ht="15.75" customHeight="1">
      <c r="A372" s="31"/>
      <c r="B372" s="31"/>
      <c r="C372" s="31"/>
      <c r="D372" s="31"/>
      <c r="E372" s="31"/>
      <c r="F372" s="31"/>
      <c r="H372" s="31"/>
    </row>
    <row r="373" ht="15.75" customHeight="1">
      <c r="A373" s="31"/>
      <c r="B373" s="31"/>
      <c r="C373" s="31"/>
      <c r="D373" s="31"/>
      <c r="E373" s="31"/>
      <c r="F373" s="31"/>
      <c r="H373" s="31"/>
    </row>
    <row r="374" ht="15.75" customHeight="1">
      <c r="A374" s="31"/>
      <c r="B374" s="31"/>
      <c r="C374" s="31"/>
      <c r="D374" s="31"/>
      <c r="E374" s="31"/>
      <c r="F374" s="31"/>
      <c r="H374" s="31"/>
    </row>
    <row r="375" ht="15.75" customHeight="1">
      <c r="A375" s="31"/>
      <c r="B375" s="31"/>
      <c r="C375" s="31"/>
      <c r="D375" s="31"/>
      <c r="E375" s="31"/>
      <c r="F375" s="31"/>
      <c r="H375" s="31"/>
    </row>
    <row r="376" ht="15.75" customHeight="1">
      <c r="A376" s="31"/>
      <c r="B376" s="31"/>
      <c r="C376" s="31"/>
      <c r="D376" s="31"/>
      <c r="E376" s="31"/>
      <c r="F376" s="31"/>
      <c r="H376" s="31"/>
    </row>
    <row r="377" ht="15.75" customHeight="1">
      <c r="A377" s="31"/>
      <c r="B377" s="31"/>
      <c r="C377" s="31"/>
      <c r="D377" s="31"/>
      <c r="E377" s="31"/>
      <c r="F377" s="31"/>
      <c r="H377" s="31"/>
    </row>
    <row r="378" ht="15.75" customHeight="1">
      <c r="A378" s="31"/>
      <c r="B378" s="31"/>
      <c r="C378" s="31"/>
      <c r="D378" s="31"/>
      <c r="E378" s="31"/>
      <c r="F378" s="31"/>
      <c r="H378" s="31"/>
    </row>
    <row r="379" ht="15.75" customHeight="1">
      <c r="A379" s="31"/>
      <c r="B379" s="31"/>
      <c r="C379" s="31"/>
      <c r="D379" s="31"/>
      <c r="E379" s="31"/>
      <c r="F379" s="31"/>
      <c r="H379" s="31"/>
    </row>
    <row r="380" ht="15.75" customHeight="1">
      <c r="A380" s="31"/>
      <c r="B380" s="31"/>
      <c r="C380" s="31"/>
      <c r="D380" s="31"/>
      <c r="E380" s="31"/>
      <c r="F380" s="31"/>
      <c r="H380" s="31"/>
    </row>
    <row r="381" ht="15.75" customHeight="1">
      <c r="A381" s="31"/>
      <c r="B381" s="31"/>
      <c r="C381" s="31"/>
      <c r="D381" s="31"/>
      <c r="E381" s="31"/>
      <c r="F381" s="31"/>
      <c r="H381" s="31"/>
    </row>
    <row r="382" ht="15.75" customHeight="1">
      <c r="A382" s="31"/>
      <c r="B382" s="31"/>
      <c r="C382" s="31"/>
      <c r="D382" s="31"/>
      <c r="E382" s="31"/>
      <c r="F382" s="31"/>
      <c r="H382" s="31"/>
    </row>
    <row r="383" ht="15.75" customHeight="1">
      <c r="A383" s="31"/>
      <c r="B383" s="31"/>
      <c r="C383" s="31"/>
      <c r="D383" s="31"/>
      <c r="E383" s="31"/>
      <c r="F383" s="31"/>
      <c r="H383" s="31"/>
    </row>
    <row r="384" ht="15.75" customHeight="1">
      <c r="A384" s="31"/>
      <c r="B384" s="31"/>
      <c r="C384" s="31"/>
      <c r="D384" s="31"/>
      <c r="E384" s="31"/>
      <c r="F384" s="31"/>
      <c r="H384" s="31"/>
    </row>
    <row r="385" ht="15.75" customHeight="1">
      <c r="A385" s="31"/>
      <c r="B385" s="31"/>
      <c r="C385" s="31"/>
      <c r="D385" s="31"/>
      <c r="E385" s="31"/>
      <c r="F385" s="31"/>
      <c r="H385" s="31"/>
    </row>
    <row r="386" ht="15.75" customHeight="1">
      <c r="A386" s="31"/>
      <c r="B386" s="31"/>
      <c r="C386" s="31"/>
      <c r="D386" s="31"/>
      <c r="E386" s="31"/>
      <c r="F386" s="31"/>
      <c r="H386" s="31"/>
    </row>
    <row r="387" ht="15.75" customHeight="1">
      <c r="A387" s="31"/>
      <c r="B387" s="31"/>
      <c r="C387" s="31"/>
      <c r="D387" s="31"/>
      <c r="E387" s="31"/>
      <c r="F387" s="31"/>
      <c r="H387" s="31"/>
    </row>
    <row r="388" ht="15.75" customHeight="1">
      <c r="A388" s="31"/>
      <c r="B388" s="31"/>
      <c r="C388" s="31"/>
      <c r="D388" s="31"/>
      <c r="E388" s="31"/>
      <c r="F388" s="31"/>
      <c r="H388" s="31"/>
    </row>
    <row r="389" ht="15.75" customHeight="1">
      <c r="A389" s="31"/>
      <c r="B389" s="31"/>
      <c r="C389" s="31"/>
      <c r="D389" s="31"/>
      <c r="E389" s="31"/>
      <c r="F389" s="31"/>
      <c r="H389" s="31"/>
    </row>
    <row r="390" ht="15.75" customHeight="1">
      <c r="A390" s="31"/>
      <c r="B390" s="31"/>
      <c r="C390" s="31"/>
      <c r="D390" s="31"/>
      <c r="E390" s="31"/>
      <c r="F390" s="31"/>
      <c r="H390" s="31"/>
    </row>
    <row r="391" ht="15.75" customHeight="1">
      <c r="A391" s="31"/>
      <c r="B391" s="31"/>
      <c r="C391" s="31"/>
      <c r="D391" s="31"/>
      <c r="E391" s="31"/>
      <c r="F391" s="31"/>
      <c r="H391" s="31"/>
    </row>
    <row r="392" ht="15.75" customHeight="1">
      <c r="A392" s="31"/>
      <c r="B392" s="31"/>
      <c r="C392" s="31"/>
      <c r="D392" s="31"/>
      <c r="E392" s="31"/>
      <c r="F392" s="31"/>
      <c r="H392" s="31"/>
    </row>
    <row r="393" ht="15.75" customHeight="1">
      <c r="A393" s="31"/>
      <c r="B393" s="31"/>
      <c r="C393" s="31"/>
      <c r="D393" s="31"/>
      <c r="E393" s="31"/>
      <c r="F393" s="31"/>
      <c r="H393" s="31"/>
    </row>
    <row r="394" ht="15.75" customHeight="1">
      <c r="A394" s="31"/>
      <c r="B394" s="31"/>
      <c r="C394" s="31"/>
      <c r="D394" s="31"/>
      <c r="E394" s="31"/>
      <c r="F394" s="31"/>
      <c r="H394" s="31"/>
    </row>
    <row r="395" ht="15.75" customHeight="1">
      <c r="A395" s="31"/>
      <c r="B395" s="31"/>
      <c r="C395" s="31"/>
      <c r="D395" s="31"/>
      <c r="E395" s="31"/>
      <c r="F395" s="31"/>
      <c r="H395" s="31"/>
    </row>
    <row r="396" ht="15.75" customHeight="1">
      <c r="A396" s="31"/>
      <c r="B396" s="31"/>
      <c r="C396" s="31"/>
      <c r="D396" s="31"/>
      <c r="E396" s="31"/>
      <c r="F396" s="31"/>
      <c r="H396" s="31"/>
    </row>
    <row r="397" ht="15.75" customHeight="1">
      <c r="A397" s="31"/>
      <c r="B397" s="31"/>
      <c r="C397" s="31"/>
      <c r="D397" s="31"/>
      <c r="E397" s="31"/>
      <c r="F397" s="31"/>
      <c r="H397" s="31"/>
    </row>
    <row r="398" ht="15.75" customHeight="1">
      <c r="A398" s="31"/>
      <c r="B398" s="31"/>
      <c r="C398" s="31"/>
      <c r="D398" s="31"/>
      <c r="E398" s="31"/>
      <c r="F398" s="31"/>
      <c r="H398" s="31"/>
    </row>
    <row r="399" ht="15.75" customHeight="1">
      <c r="A399" s="31"/>
      <c r="B399" s="31"/>
      <c r="C399" s="31"/>
      <c r="D399" s="31"/>
      <c r="E399" s="31"/>
      <c r="F399" s="31"/>
      <c r="H399" s="31"/>
    </row>
    <row r="400" ht="15.75" customHeight="1">
      <c r="A400" s="31"/>
      <c r="B400" s="31"/>
      <c r="C400" s="31"/>
      <c r="D400" s="31"/>
      <c r="E400" s="31"/>
      <c r="F400" s="31"/>
      <c r="H400" s="31"/>
    </row>
    <row r="401" ht="15.75" customHeight="1">
      <c r="A401" s="31"/>
      <c r="B401" s="31"/>
      <c r="C401" s="31"/>
      <c r="D401" s="31"/>
      <c r="E401" s="31"/>
      <c r="F401" s="31"/>
      <c r="H401" s="31"/>
    </row>
    <row r="402" ht="15.75" customHeight="1">
      <c r="A402" s="31"/>
      <c r="B402" s="31"/>
      <c r="C402" s="31"/>
      <c r="D402" s="31"/>
      <c r="E402" s="31"/>
      <c r="F402" s="31"/>
      <c r="H402" s="31"/>
    </row>
    <row r="403" ht="15.75" customHeight="1">
      <c r="A403" s="31"/>
      <c r="B403" s="31"/>
      <c r="C403" s="31"/>
      <c r="D403" s="31"/>
      <c r="E403" s="31"/>
      <c r="F403" s="31"/>
      <c r="H403" s="31"/>
    </row>
    <row r="404" ht="15.75" customHeight="1">
      <c r="A404" s="31"/>
      <c r="B404" s="31"/>
      <c r="C404" s="31"/>
      <c r="D404" s="31"/>
      <c r="E404" s="31"/>
      <c r="F404" s="31"/>
      <c r="H404" s="31"/>
    </row>
    <row r="405" ht="15.75" customHeight="1">
      <c r="A405" s="31"/>
      <c r="B405" s="31"/>
      <c r="C405" s="31"/>
      <c r="D405" s="31"/>
      <c r="E405" s="31"/>
      <c r="F405" s="31"/>
      <c r="H405" s="31"/>
    </row>
    <row r="406" ht="15.75" customHeight="1">
      <c r="A406" s="31"/>
      <c r="B406" s="31"/>
      <c r="C406" s="31"/>
      <c r="D406" s="31"/>
      <c r="E406" s="31"/>
      <c r="F406" s="31"/>
      <c r="H406" s="31"/>
    </row>
    <row r="407" ht="15.75" customHeight="1">
      <c r="A407" s="31"/>
      <c r="B407" s="31"/>
      <c r="C407" s="31"/>
      <c r="D407" s="31"/>
      <c r="E407" s="31"/>
      <c r="F407" s="31"/>
      <c r="H407" s="31"/>
    </row>
    <row r="408" ht="15.75" customHeight="1">
      <c r="A408" s="31"/>
      <c r="B408" s="31"/>
      <c r="C408" s="31"/>
      <c r="D408" s="31"/>
      <c r="E408" s="31"/>
      <c r="F408" s="31"/>
      <c r="H408" s="31"/>
    </row>
    <row r="409" ht="15.75" customHeight="1">
      <c r="A409" s="31"/>
      <c r="B409" s="31"/>
      <c r="C409" s="31"/>
      <c r="D409" s="31"/>
      <c r="E409" s="31"/>
      <c r="F409" s="31"/>
      <c r="H409" s="31"/>
    </row>
    <row r="410" ht="15.75" customHeight="1">
      <c r="A410" s="31"/>
      <c r="B410" s="31"/>
      <c r="C410" s="31"/>
      <c r="D410" s="31"/>
      <c r="E410" s="31"/>
      <c r="F410" s="31"/>
      <c r="H410" s="31"/>
    </row>
    <row r="411" ht="15.75" customHeight="1">
      <c r="A411" s="31"/>
      <c r="B411" s="31"/>
      <c r="C411" s="31"/>
      <c r="D411" s="31"/>
      <c r="E411" s="31"/>
      <c r="F411" s="31"/>
      <c r="H411" s="31"/>
    </row>
    <row r="412" ht="15.75" customHeight="1">
      <c r="A412" s="31"/>
      <c r="B412" s="31"/>
      <c r="C412" s="31"/>
      <c r="D412" s="31"/>
      <c r="E412" s="31"/>
      <c r="F412" s="31"/>
      <c r="H412" s="31"/>
    </row>
    <row r="413" ht="15.75" customHeight="1">
      <c r="A413" s="31"/>
      <c r="B413" s="31"/>
      <c r="C413" s="31"/>
      <c r="D413" s="31"/>
      <c r="E413" s="31"/>
      <c r="F413" s="31"/>
      <c r="H413" s="31"/>
    </row>
    <row r="414" ht="15.75" customHeight="1">
      <c r="A414" s="31"/>
      <c r="B414" s="31"/>
      <c r="C414" s="31"/>
      <c r="D414" s="31"/>
      <c r="E414" s="31"/>
      <c r="F414" s="31"/>
      <c r="H414" s="31"/>
    </row>
    <row r="415" ht="15.75" customHeight="1">
      <c r="A415" s="31"/>
      <c r="B415" s="31"/>
      <c r="C415" s="31"/>
      <c r="D415" s="31"/>
      <c r="E415" s="31"/>
      <c r="F415" s="31"/>
      <c r="H415" s="31"/>
    </row>
    <row r="416" ht="15.75" customHeight="1">
      <c r="A416" s="31"/>
      <c r="B416" s="31"/>
      <c r="C416" s="31"/>
      <c r="D416" s="31"/>
      <c r="E416" s="31"/>
      <c r="F416" s="31"/>
      <c r="H416" s="31"/>
    </row>
    <row r="417" ht="15.75" customHeight="1">
      <c r="A417" s="31"/>
      <c r="B417" s="31"/>
      <c r="C417" s="31"/>
      <c r="D417" s="31"/>
      <c r="E417" s="31"/>
      <c r="F417" s="31"/>
      <c r="H417" s="31"/>
    </row>
    <row r="418" ht="15.75" customHeight="1">
      <c r="A418" s="31"/>
      <c r="B418" s="31"/>
      <c r="C418" s="31"/>
      <c r="D418" s="31"/>
      <c r="E418" s="31"/>
      <c r="F418" s="31"/>
      <c r="H418" s="31"/>
    </row>
    <row r="419" ht="15.75" customHeight="1">
      <c r="A419" s="31"/>
      <c r="B419" s="31"/>
      <c r="C419" s="31"/>
      <c r="D419" s="31"/>
      <c r="E419" s="31"/>
      <c r="F419" s="31"/>
      <c r="H419" s="31"/>
    </row>
    <row r="420" ht="15.75" customHeight="1">
      <c r="A420" s="31"/>
      <c r="B420" s="31"/>
      <c r="C420" s="31"/>
      <c r="D420" s="31"/>
      <c r="E420" s="31"/>
      <c r="F420" s="31"/>
      <c r="H420" s="31"/>
    </row>
    <row r="421" ht="15.75" customHeight="1">
      <c r="A421" s="31"/>
      <c r="B421" s="31"/>
      <c r="C421" s="31"/>
      <c r="D421" s="31"/>
      <c r="E421" s="31"/>
      <c r="F421" s="31"/>
      <c r="H421" s="31"/>
    </row>
    <row r="422" ht="15.75" customHeight="1">
      <c r="A422" s="31"/>
      <c r="B422" s="31"/>
      <c r="C422" s="31"/>
      <c r="D422" s="31"/>
      <c r="E422" s="31"/>
      <c r="F422" s="31"/>
      <c r="H422" s="31"/>
    </row>
    <row r="423" ht="15.75" customHeight="1">
      <c r="A423" s="31"/>
      <c r="B423" s="31"/>
      <c r="C423" s="31"/>
      <c r="D423" s="31"/>
      <c r="E423" s="31"/>
      <c r="F423" s="31"/>
      <c r="H423" s="31"/>
    </row>
    <row r="424" ht="15.75" customHeight="1">
      <c r="A424" s="31"/>
      <c r="B424" s="31"/>
      <c r="C424" s="31"/>
      <c r="D424" s="31"/>
      <c r="E424" s="31"/>
      <c r="F424" s="31"/>
      <c r="H424" s="31"/>
    </row>
    <row r="425" ht="15.75" customHeight="1">
      <c r="A425" s="31"/>
      <c r="B425" s="31"/>
      <c r="C425" s="31"/>
      <c r="D425" s="31"/>
      <c r="E425" s="31"/>
      <c r="F425" s="31"/>
      <c r="H425" s="31"/>
    </row>
    <row r="426" ht="15.75" customHeight="1">
      <c r="A426" s="31"/>
      <c r="B426" s="31"/>
      <c r="C426" s="31"/>
      <c r="D426" s="31"/>
      <c r="E426" s="31"/>
      <c r="F426" s="31"/>
      <c r="H426" s="31"/>
    </row>
    <row r="427" ht="15.75" customHeight="1">
      <c r="A427" s="31"/>
      <c r="B427" s="31"/>
      <c r="C427" s="31"/>
      <c r="D427" s="31"/>
      <c r="E427" s="31"/>
      <c r="F427" s="31"/>
      <c r="H427" s="31"/>
    </row>
    <row r="428" ht="15.75" customHeight="1">
      <c r="A428" s="31"/>
      <c r="B428" s="31"/>
      <c r="C428" s="31"/>
      <c r="D428" s="31"/>
      <c r="E428" s="31"/>
      <c r="F428" s="31"/>
      <c r="H428" s="31"/>
    </row>
    <row r="429" ht="15.75" customHeight="1">
      <c r="A429" s="31"/>
      <c r="B429" s="31"/>
      <c r="C429" s="31"/>
      <c r="D429" s="31"/>
      <c r="E429" s="31"/>
      <c r="F429" s="31"/>
      <c r="H429" s="31"/>
    </row>
    <row r="430" ht="15.75" customHeight="1">
      <c r="A430" s="31"/>
      <c r="B430" s="31"/>
      <c r="C430" s="31"/>
      <c r="D430" s="31"/>
      <c r="E430" s="31"/>
      <c r="F430" s="31"/>
      <c r="H430" s="31"/>
    </row>
    <row r="431" ht="15.75" customHeight="1">
      <c r="A431" s="31"/>
      <c r="B431" s="31"/>
      <c r="C431" s="31"/>
      <c r="D431" s="31"/>
      <c r="E431" s="31"/>
      <c r="F431" s="31"/>
      <c r="H431" s="31"/>
    </row>
    <row r="432" ht="15.75" customHeight="1">
      <c r="A432" s="31"/>
      <c r="B432" s="31"/>
      <c r="C432" s="31"/>
      <c r="D432" s="31"/>
      <c r="E432" s="31"/>
      <c r="F432" s="31"/>
      <c r="H432" s="31"/>
    </row>
    <row r="433" ht="15.75" customHeight="1">
      <c r="A433" s="31"/>
      <c r="B433" s="31"/>
      <c r="C433" s="31"/>
      <c r="D433" s="31"/>
      <c r="E433" s="31"/>
      <c r="F433" s="31"/>
      <c r="H433" s="31"/>
    </row>
    <row r="434" ht="15.75" customHeight="1">
      <c r="A434" s="31"/>
      <c r="B434" s="31"/>
      <c r="C434" s="31"/>
      <c r="D434" s="31"/>
      <c r="E434" s="31"/>
      <c r="F434" s="31"/>
      <c r="H434" s="31"/>
    </row>
    <row r="435" ht="15.75" customHeight="1">
      <c r="A435" s="31"/>
      <c r="B435" s="31"/>
      <c r="C435" s="31"/>
      <c r="D435" s="31"/>
      <c r="E435" s="31"/>
      <c r="F435" s="31"/>
      <c r="H435" s="31"/>
    </row>
    <row r="436" ht="15.75" customHeight="1">
      <c r="A436" s="31"/>
      <c r="B436" s="31"/>
      <c r="C436" s="31"/>
      <c r="D436" s="31"/>
      <c r="E436" s="31"/>
      <c r="F436" s="31"/>
      <c r="H436" s="31"/>
    </row>
    <row r="437" ht="15.75" customHeight="1">
      <c r="A437" s="31"/>
      <c r="B437" s="31"/>
      <c r="C437" s="31"/>
      <c r="D437" s="31"/>
      <c r="E437" s="31"/>
      <c r="F437" s="31"/>
      <c r="H437" s="31"/>
    </row>
    <row r="438" ht="15.75" customHeight="1">
      <c r="A438" s="31"/>
      <c r="B438" s="31"/>
      <c r="C438" s="31"/>
      <c r="D438" s="31"/>
      <c r="E438" s="31"/>
      <c r="F438" s="31"/>
      <c r="H438" s="31"/>
    </row>
    <row r="439" ht="15.75" customHeight="1">
      <c r="A439" s="31"/>
      <c r="B439" s="31"/>
      <c r="C439" s="31"/>
      <c r="D439" s="31"/>
      <c r="E439" s="31"/>
      <c r="F439" s="31"/>
      <c r="H439" s="31"/>
    </row>
    <row r="440" ht="15.75" customHeight="1">
      <c r="A440" s="31"/>
      <c r="B440" s="31"/>
      <c r="C440" s="31"/>
      <c r="D440" s="31"/>
      <c r="E440" s="31"/>
      <c r="F440" s="31"/>
      <c r="H440" s="31"/>
    </row>
    <row r="441" ht="15.75" customHeight="1">
      <c r="A441" s="31"/>
      <c r="B441" s="31"/>
      <c r="C441" s="31"/>
      <c r="D441" s="31"/>
      <c r="E441" s="31"/>
      <c r="F441" s="31"/>
      <c r="H441" s="31"/>
    </row>
    <row r="442" ht="15.75" customHeight="1">
      <c r="A442" s="31"/>
      <c r="B442" s="31"/>
      <c r="C442" s="31"/>
      <c r="D442" s="31"/>
      <c r="E442" s="31"/>
      <c r="F442" s="31"/>
      <c r="H442" s="31"/>
    </row>
    <row r="443" ht="15.75" customHeight="1">
      <c r="A443" s="31"/>
      <c r="B443" s="31"/>
      <c r="C443" s="31"/>
      <c r="D443" s="31"/>
      <c r="E443" s="31"/>
      <c r="F443" s="31"/>
      <c r="H443" s="31"/>
    </row>
    <row r="444" ht="15.75" customHeight="1">
      <c r="A444" s="31"/>
      <c r="B444" s="31"/>
      <c r="C444" s="31"/>
      <c r="D444" s="31"/>
      <c r="E444" s="31"/>
      <c r="F444" s="31"/>
      <c r="H444" s="31"/>
    </row>
    <row r="445" ht="15.75" customHeight="1">
      <c r="A445" s="31"/>
      <c r="B445" s="31"/>
      <c r="C445" s="31"/>
      <c r="D445" s="31"/>
      <c r="E445" s="31"/>
      <c r="F445" s="31"/>
      <c r="H445" s="31"/>
    </row>
    <row r="446" ht="15.75" customHeight="1">
      <c r="A446" s="31"/>
      <c r="B446" s="31"/>
      <c r="C446" s="31"/>
      <c r="D446" s="31"/>
      <c r="E446" s="31"/>
      <c r="F446" s="31"/>
      <c r="H446" s="31"/>
    </row>
    <row r="447" ht="15.75" customHeight="1">
      <c r="A447" s="31"/>
      <c r="B447" s="31"/>
      <c r="C447" s="31"/>
      <c r="D447" s="31"/>
      <c r="E447" s="31"/>
      <c r="F447" s="31"/>
      <c r="H447" s="31"/>
    </row>
    <row r="448" ht="15.75" customHeight="1">
      <c r="A448" s="31"/>
      <c r="B448" s="31"/>
      <c r="C448" s="31"/>
      <c r="D448" s="31"/>
      <c r="E448" s="31"/>
      <c r="F448" s="31"/>
      <c r="H448" s="31"/>
    </row>
    <row r="449" ht="15.75" customHeight="1">
      <c r="A449" s="31"/>
      <c r="B449" s="31"/>
      <c r="C449" s="31"/>
      <c r="D449" s="31"/>
      <c r="E449" s="31"/>
      <c r="F449" s="31"/>
      <c r="H449" s="31"/>
    </row>
    <row r="450" ht="15.75" customHeight="1">
      <c r="A450" s="31"/>
      <c r="B450" s="31"/>
      <c r="C450" s="31"/>
      <c r="D450" s="31"/>
      <c r="E450" s="31"/>
      <c r="F450" s="31"/>
      <c r="H450" s="31"/>
    </row>
    <row r="451" ht="15.75" customHeight="1">
      <c r="A451" s="31"/>
      <c r="B451" s="31"/>
      <c r="C451" s="31"/>
      <c r="D451" s="31"/>
      <c r="E451" s="31"/>
      <c r="F451" s="31"/>
      <c r="H451" s="31"/>
    </row>
    <row r="452" ht="15.75" customHeight="1">
      <c r="A452" s="31"/>
      <c r="B452" s="31"/>
      <c r="C452" s="31"/>
      <c r="D452" s="31"/>
      <c r="E452" s="31"/>
      <c r="F452" s="31"/>
      <c r="H452" s="31"/>
    </row>
    <row r="453" ht="15.75" customHeight="1">
      <c r="A453" s="31"/>
      <c r="B453" s="31"/>
      <c r="C453" s="31"/>
      <c r="D453" s="31"/>
      <c r="E453" s="31"/>
      <c r="F453" s="31"/>
      <c r="H453" s="31"/>
    </row>
    <row r="454" ht="15.75" customHeight="1">
      <c r="A454" s="31"/>
      <c r="B454" s="31"/>
      <c r="C454" s="31"/>
      <c r="D454" s="31"/>
      <c r="E454" s="31"/>
      <c r="F454" s="31"/>
      <c r="H454" s="31"/>
    </row>
    <row r="455" ht="15.75" customHeight="1">
      <c r="A455" s="31"/>
      <c r="B455" s="31"/>
      <c r="C455" s="31"/>
      <c r="D455" s="31"/>
      <c r="E455" s="31"/>
      <c r="F455" s="31"/>
      <c r="H455" s="31"/>
    </row>
    <row r="456" ht="15.75" customHeight="1">
      <c r="A456" s="31"/>
      <c r="B456" s="31"/>
      <c r="C456" s="31"/>
      <c r="D456" s="31"/>
      <c r="E456" s="31"/>
      <c r="F456" s="31"/>
      <c r="H456" s="31"/>
    </row>
    <row r="457" ht="15.75" customHeight="1">
      <c r="A457" s="31"/>
      <c r="B457" s="31"/>
      <c r="C457" s="31"/>
      <c r="D457" s="31"/>
      <c r="E457" s="31"/>
      <c r="F457" s="31"/>
      <c r="H457" s="31"/>
    </row>
    <row r="458" ht="15.75" customHeight="1">
      <c r="A458" s="31"/>
      <c r="B458" s="31"/>
      <c r="C458" s="31"/>
      <c r="D458" s="31"/>
      <c r="E458" s="31"/>
      <c r="F458" s="31"/>
      <c r="H458" s="31"/>
    </row>
    <row r="459" ht="15.75" customHeight="1">
      <c r="A459" s="31"/>
      <c r="B459" s="31"/>
      <c r="C459" s="31"/>
      <c r="D459" s="31"/>
      <c r="E459" s="31"/>
      <c r="F459" s="31"/>
      <c r="H459" s="31"/>
    </row>
    <row r="460" ht="15.75" customHeight="1">
      <c r="A460" s="31"/>
      <c r="B460" s="31"/>
      <c r="C460" s="31"/>
      <c r="D460" s="31"/>
      <c r="E460" s="31"/>
      <c r="F460" s="31"/>
      <c r="H460" s="31"/>
    </row>
    <row r="461" ht="15.75" customHeight="1">
      <c r="A461" s="31"/>
      <c r="B461" s="31"/>
      <c r="C461" s="31"/>
      <c r="D461" s="31"/>
      <c r="E461" s="31"/>
      <c r="F461" s="31"/>
      <c r="H461" s="31"/>
    </row>
    <row r="462" ht="15.75" customHeight="1">
      <c r="A462" s="31"/>
      <c r="B462" s="31"/>
      <c r="C462" s="31"/>
      <c r="D462" s="31"/>
      <c r="E462" s="31"/>
      <c r="F462" s="31"/>
      <c r="H462" s="31"/>
    </row>
    <row r="463" ht="15.75" customHeight="1">
      <c r="A463" s="31"/>
      <c r="B463" s="31"/>
      <c r="C463" s="31"/>
      <c r="D463" s="31"/>
      <c r="E463" s="31"/>
      <c r="F463" s="31"/>
      <c r="H463" s="31"/>
    </row>
    <row r="464" ht="15.75" customHeight="1">
      <c r="A464" s="31"/>
      <c r="B464" s="31"/>
      <c r="C464" s="31"/>
      <c r="D464" s="31"/>
      <c r="E464" s="31"/>
      <c r="F464" s="31"/>
      <c r="H464" s="31"/>
    </row>
    <row r="465" ht="15.75" customHeight="1">
      <c r="A465" s="31"/>
      <c r="B465" s="31"/>
      <c r="C465" s="31"/>
      <c r="D465" s="31"/>
      <c r="E465" s="31"/>
      <c r="F465" s="31"/>
      <c r="H465" s="31"/>
    </row>
    <row r="466" ht="15.75" customHeight="1">
      <c r="A466" s="31"/>
      <c r="B466" s="31"/>
      <c r="C466" s="31"/>
      <c r="D466" s="31"/>
      <c r="E466" s="31"/>
      <c r="F466" s="31"/>
      <c r="H466" s="31"/>
    </row>
    <row r="467" ht="15.75" customHeight="1">
      <c r="A467" s="31"/>
      <c r="B467" s="31"/>
      <c r="C467" s="31"/>
      <c r="D467" s="31"/>
      <c r="E467" s="31"/>
      <c r="F467" s="31"/>
      <c r="H467" s="31"/>
    </row>
    <row r="468" ht="15.75" customHeight="1">
      <c r="A468" s="31"/>
      <c r="B468" s="31"/>
      <c r="C468" s="31"/>
      <c r="D468" s="31"/>
      <c r="E468" s="31"/>
      <c r="F468" s="31"/>
      <c r="H468" s="31"/>
    </row>
    <row r="469" ht="15.75" customHeight="1">
      <c r="A469" s="31"/>
      <c r="B469" s="31"/>
      <c r="C469" s="31"/>
      <c r="D469" s="31"/>
      <c r="E469" s="31"/>
      <c r="F469" s="31"/>
      <c r="H469" s="31"/>
    </row>
    <row r="470" ht="15.75" customHeight="1">
      <c r="A470" s="31"/>
      <c r="B470" s="31"/>
      <c r="C470" s="31"/>
      <c r="D470" s="31"/>
      <c r="E470" s="31"/>
      <c r="F470" s="31"/>
      <c r="H470" s="31"/>
    </row>
    <row r="471" ht="15.75" customHeight="1">
      <c r="A471" s="31"/>
      <c r="B471" s="31"/>
      <c r="C471" s="31"/>
      <c r="D471" s="31"/>
      <c r="E471" s="31"/>
      <c r="F471" s="31"/>
      <c r="H471" s="31"/>
    </row>
    <row r="472" ht="15.75" customHeight="1">
      <c r="A472" s="31"/>
      <c r="B472" s="31"/>
      <c r="C472" s="31"/>
      <c r="D472" s="31"/>
      <c r="E472" s="31"/>
      <c r="F472" s="31"/>
      <c r="H472" s="31"/>
    </row>
    <row r="473" ht="15.75" customHeight="1">
      <c r="A473" s="31"/>
      <c r="B473" s="31"/>
      <c r="C473" s="31"/>
      <c r="D473" s="31"/>
      <c r="E473" s="31"/>
      <c r="F473" s="31"/>
      <c r="H473" s="31"/>
    </row>
    <row r="474" ht="15.75" customHeight="1">
      <c r="A474" s="31"/>
      <c r="B474" s="31"/>
      <c r="C474" s="31"/>
      <c r="D474" s="31"/>
      <c r="E474" s="31"/>
      <c r="F474" s="31"/>
      <c r="H474" s="31"/>
    </row>
    <row r="475" ht="15.75" customHeight="1">
      <c r="A475" s="31"/>
      <c r="B475" s="31"/>
      <c r="C475" s="31"/>
      <c r="D475" s="31"/>
      <c r="E475" s="31"/>
      <c r="F475" s="31"/>
      <c r="H475" s="31"/>
    </row>
    <row r="476" ht="15.75" customHeight="1">
      <c r="A476" s="31"/>
      <c r="B476" s="31"/>
      <c r="C476" s="31"/>
      <c r="D476" s="31"/>
      <c r="E476" s="31"/>
      <c r="F476" s="31"/>
      <c r="H476" s="31"/>
    </row>
    <row r="477" ht="15.75" customHeight="1">
      <c r="A477" s="31"/>
      <c r="B477" s="31"/>
      <c r="C477" s="31"/>
      <c r="D477" s="31"/>
      <c r="E477" s="31"/>
      <c r="F477" s="31"/>
      <c r="H477" s="31"/>
    </row>
    <row r="478" ht="15.75" customHeight="1">
      <c r="A478" s="31"/>
      <c r="B478" s="31"/>
      <c r="C478" s="31"/>
      <c r="D478" s="31"/>
      <c r="E478" s="31"/>
      <c r="F478" s="31"/>
      <c r="H478" s="31"/>
    </row>
    <row r="479" ht="15.75" customHeight="1">
      <c r="A479" s="31"/>
      <c r="B479" s="31"/>
      <c r="C479" s="31"/>
      <c r="D479" s="31"/>
      <c r="E479" s="31"/>
      <c r="F479" s="31"/>
      <c r="H479" s="31"/>
    </row>
    <row r="480" ht="15.75" customHeight="1">
      <c r="A480" s="31"/>
      <c r="B480" s="31"/>
      <c r="C480" s="31"/>
      <c r="D480" s="31"/>
      <c r="E480" s="31"/>
      <c r="F480" s="31"/>
      <c r="H480" s="31"/>
    </row>
    <row r="481" ht="15.75" customHeight="1">
      <c r="A481" s="31"/>
      <c r="B481" s="31"/>
      <c r="C481" s="31"/>
      <c r="D481" s="31"/>
      <c r="E481" s="31"/>
      <c r="F481" s="31"/>
      <c r="H481" s="31"/>
    </row>
    <row r="482" ht="15.75" customHeight="1">
      <c r="A482" s="31"/>
      <c r="B482" s="31"/>
      <c r="C482" s="31"/>
      <c r="D482" s="31"/>
      <c r="E482" s="31"/>
      <c r="F482" s="31"/>
      <c r="H482" s="31"/>
    </row>
    <row r="483" ht="15.75" customHeight="1">
      <c r="A483" s="31"/>
      <c r="B483" s="31"/>
      <c r="C483" s="31"/>
      <c r="D483" s="31"/>
      <c r="E483" s="31"/>
      <c r="F483" s="31"/>
      <c r="H483" s="31"/>
    </row>
    <row r="484" ht="15.75" customHeight="1">
      <c r="A484" s="31"/>
      <c r="B484" s="31"/>
      <c r="C484" s="31"/>
      <c r="D484" s="31"/>
      <c r="E484" s="31"/>
      <c r="F484" s="31"/>
      <c r="H484" s="31"/>
    </row>
    <row r="485" ht="15.75" customHeight="1">
      <c r="A485" s="31"/>
      <c r="B485" s="31"/>
      <c r="C485" s="31"/>
      <c r="D485" s="31"/>
      <c r="E485" s="31"/>
      <c r="F485" s="31"/>
      <c r="H485" s="31"/>
    </row>
    <row r="486" ht="15.75" customHeight="1">
      <c r="A486" s="31"/>
      <c r="B486" s="31"/>
      <c r="C486" s="31"/>
      <c r="D486" s="31"/>
      <c r="E486" s="31"/>
      <c r="F486" s="31"/>
      <c r="H486" s="31"/>
    </row>
    <row r="487" ht="15.75" customHeight="1">
      <c r="A487" s="31"/>
      <c r="B487" s="31"/>
      <c r="C487" s="31"/>
      <c r="D487" s="31"/>
      <c r="E487" s="31"/>
      <c r="F487" s="31"/>
      <c r="H487" s="31"/>
    </row>
    <row r="488" ht="15.75" customHeight="1">
      <c r="A488" s="31"/>
      <c r="B488" s="31"/>
      <c r="C488" s="31"/>
      <c r="D488" s="31"/>
      <c r="E488" s="31"/>
      <c r="F488" s="31"/>
      <c r="H488" s="31"/>
    </row>
    <row r="489" ht="15.75" customHeight="1">
      <c r="A489" s="31"/>
      <c r="B489" s="31"/>
      <c r="C489" s="31"/>
      <c r="D489" s="31"/>
      <c r="E489" s="31"/>
      <c r="F489" s="31"/>
      <c r="H489" s="31"/>
    </row>
    <row r="490" ht="15.75" customHeight="1">
      <c r="A490" s="31"/>
      <c r="B490" s="31"/>
      <c r="C490" s="31"/>
      <c r="D490" s="31"/>
      <c r="E490" s="31"/>
      <c r="F490" s="31"/>
      <c r="H490" s="31"/>
    </row>
    <row r="491" ht="15.75" customHeight="1">
      <c r="A491" s="31"/>
      <c r="B491" s="31"/>
      <c r="C491" s="31"/>
      <c r="D491" s="31"/>
      <c r="E491" s="31"/>
      <c r="F491" s="31"/>
      <c r="H491" s="31"/>
    </row>
    <row r="492" ht="15.75" customHeight="1">
      <c r="A492" s="31"/>
      <c r="B492" s="31"/>
      <c r="C492" s="31"/>
      <c r="D492" s="31"/>
      <c r="E492" s="31"/>
      <c r="F492" s="31"/>
      <c r="H492" s="31"/>
    </row>
    <row r="493" ht="15.75" customHeight="1">
      <c r="A493" s="31"/>
      <c r="B493" s="31"/>
      <c r="C493" s="31"/>
      <c r="D493" s="31"/>
      <c r="E493" s="31"/>
      <c r="F493" s="31"/>
      <c r="H493" s="31"/>
    </row>
    <row r="494" ht="15.75" customHeight="1">
      <c r="A494" s="31"/>
      <c r="B494" s="31"/>
      <c r="C494" s="31"/>
      <c r="D494" s="31"/>
      <c r="E494" s="31"/>
      <c r="F494" s="31"/>
      <c r="H494" s="31"/>
    </row>
    <row r="495" ht="15.75" customHeight="1">
      <c r="A495" s="31"/>
      <c r="B495" s="31"/>
      <c r="C495" s="31"/>
      <c r="D495" s="31"/>
      <c r="E495" s="31"/>
      <c r="F495" s="31"/>
      <c r="H495" s="31"/>
    </row>
    <row r="496" ht="15.75" customHeight="1">
      <c r="A496" s="31"/>
      <c r="B496" s="31"/>
      <c r="C496" s="31"/>
      <c r="D496" s="31"/>
      <c r="E496" s="31"/>
      <c r="F496" s="31"/>
      <c r="H496" s="31"/>
    </row>
    <row r="497" ht="15.75" customHeight="1">
      <c r="A497" s="31"/>
      <c r="B497" s="31"/>
      <c r="C497" s="31"/>
      <c r="D497" s="31"/>
      <c r="E497" s="31"/>
      <c r="F497" s="31"/>
      <c r="H497" s="31"/>
    </row>
    <row r="498" ht="15.75" customHeight="1">
      <c r="A498" s="31"/>
      <c r="B498" s="31"/>
      <c r="C498" s="31"/>
      <c r="D498" s="31"/>
      <c r="E498" s="31"/>
      <c r="F498" s="31"/>
      <c r="H498" s="31"/>
    </row>
    <row r="499" ht="15.75" customHeight="1">
      <c r="A499" s="31"/>
      <c r="B499" s="31"/>
      <c r="C499" s="31"/>
      <c r="D499" s="31"/>
      <c r="E499" s="31"/>
      <c r="F499" s="31"/>
      <c r="H499" s="31"/>
    </row>
    <row r="500" ht="15.75" customHeight="1">
      <c r="A500" s="31"/>
      <c r="B500" s="31"/>
      <c r="C500" s="31"/>
      <c r="D500" s="31"/>
      <c r="E500" s="31"/>
      <c r="F500" s="31"/>
      <c r="H500" s="31"/>
    </row>
    <row r="501" ht="15.75" customHeight="1">
      <c r="A501" s="31"/>
      <c r="B501" s="31"/>
      <c r="C501" s="31"/>
      <c r="D501" s="31"/>
      <c r="E501" s="31"/>
      <c r="F501" s="31"/>
      <c r="H501" s="31"/>
    </row>
    <row r="502" ht="15.75" customHeight="1">
      <c r="A502" s="31"/>
      <c r="B502" s="31"/>
      <c r="C502" s="31"/>
      <c r="D502" s="31"/>
      <c r="E502" s="31"/>
      <c r="F502" s="31"/>
      <c r="H502" s="31"/>
    </row>
    <row r="503" ht="15.75" customHeight="1">
      <c r="A503" s="31"/>
      <c r="B503" s="31"/>
      <c r="C503" s="31"/>
      <c r="D503" s="31"/>
      <c r="E503" s="31"/>
      <c r="F503" s="31"/>
      <c r="H503" s="31"/>
    </row>
    <row r="504" ht="15.75" customHeight="1">
      <c r="A504" s="31"/>
      <c r="B504" s="31"/>
      <c r="C504" s="31"/>
      <c r="D504" s="31"/>
      <c r="E504" s="31"/>
      <c r="F504" s="31"/>
      <c r="H504" s="31"/>
    </row>
    <row r="505" ht="15.75" customHeight="1">
      <c r="A505" s="31"/>
      <c r="B505" s="31"/>
      <c r="C505" s="31"/>
      <c r="D505" s="31"/>
      <c r="E505" s="31"/>
      <c r="F505" s="31"/>
      <c r="H505" s="31"/>
    </row>
    <row r="506" ht="15.75" customHeight="1">
      <c r="A506" s="31"/>
      <c r="B506" s="31"/>
      <c r="C506" s="31"/>
      <c r="D506" s="31"/>
      <c r="E506" s="31"/>
      <c r="F506" s="31"/>
      <c r="H506" s="31"/>
    </row>
    <row r="507" ht="15.75" customHeight="1">
      <c r="A507" s="31"/>
      <c r="B507" s="31"/>
      <c r="C507" s="31"/>
      <c r="D507" s="31"/>
      <c r="E507" s="31"/>
      <c r="F507" s="31"/>
      <c r="H507" s="31"/>
    </row>
    <row r="508" ht="15.75" customHeight="1">
      <c r="A508" s="31"/>
      <c r="B508" s="31"/>
      <c r="C508" s="31"/>
      <c r="D508" s="31"/>
      <c r="E508" s="31"/>
      <c r="F508" s="31"/>
      <c r="H508" s="31"/>
    </row>
    <row r="509" ht="15.75" customHeight="1">
      <c r="A509" s="31"/>
      <c r="B509" s="31"/>
      <c r="C509" s="31"/>
      <c r="D509" s="31"/>
      <c r="E509" s="31"/>
      <c r="F509" s="31"/>
      <c r="H509" s="31"/>
    </row>
    <row r="510" ht="15.75" customHeight="1">
      <c r="A510" s="31"/>
      <c r="B510" s="31"/>
      <c r="C510" s="31"/>
      <c r="D510" s="31"/>
      <c r="E510" s="31"/>
      <c r="F510" s="31"/>
      <c r="H510" s="31"/>
    </row>
    <row r="511" ht="15.75" customHeight="1">
      <c r="A511" s="31"/>
      <c r="B511" s="31"/>
      <c r="C511" s="31"/>
      <c r="D511" s="31"/>
      <c r="E511" s="31"/>
      <c r="F511" s="31"/>
      <c r="H511" s="31"/>
    </row>
    <row r="512" ht="15.75" customHeight="1">
      <c r="A512" s="31"/>
      <c r="B512" s="31"/>
      <c r="C512" s="31"/>
      <c r="D512" s="31"/>
      <c r="E512" s="31"/>
      <c r="F512" s="31"/>
      <c r="H512" s="31"/>
    </row>
    <row r="513" ht="15.75" customHeight="1">
      <c r="A513" s="31"/>
      <c r="B513" s="31"/>
      <c r="C513" s="31"/>
      <c r="D513" s="31"/>
      <c r="E513" s="31"/>
      <c r="F513" s="31"/>
      <c r="H513" s="31"/>
    </row>
    <row r="514" ht="15.75" customHeight="1">
      <c r="A514" s="31"/>
      <c r="B514" s="31"/>
      <c r="C514" s="31"/>
      <c r="D514" s="31"/>
      <c r="E514" s="31"/>
      <c r="F514" s="31"/>
      <c r="H514" s="31"/>
    </row>
    <row r="515" ht="15.75" customHeight="1">
      <c r="A515" s="31"/>
      <c r="B515" s="31"/>
      <c r="C515" s="31"/>
      <c r="D515" s="31"/>
      <c r="E515" s="31"/>
      <c r="F515" s="31"/>
      <c r="H515" s="31"/>
    </row>
    <row r="516" ht="15.75" customHeight="1">
      <c r="A516" s="31"/>
      <c r="B516" s="31"/>
      <c r="C516" s="31"/>
      <c r="D516" s="31"/>
      <c r="E516" s="31"/>
      <c r="F516" s="31"/>
      <c r="H516" s="31"/>
    </row>
    <row r="517" ht="15.75" customHeight="1">
      <c r="A517" s="31"/>
      <c r="B517" s="31"/>
      <c r="C517" s="31"/>
      <c r="D517" s="31"/>
      <c r="E517" s="31"/>
      <c r="F517" s="31"/>
      <c r="H517" s="31"/>
    </row>
    <row r="518" ht="15.75" customHeight="1">
      <c r="A518" s="31"/>
      <c r="B518" s="31"/>
      <c r="C518" s="31"/>
      <c r="D518" s="31"/>
      <c r="E518" s="31"/>
      <c r="F518" s="31"/>
      <c r="H518" s="31"/>
    </row>
    <row r="519" ht="15.75" customHeight="1">
      <c r="A519" s="31"/>
      <c r="B519" s="31"/>
      <c r="C519" s="31"/>
      <c r="D519" s="31"/>
      <c r="E519" s="31"/>
      <c r="F519" s="31"/>
      <c r="H519" s="31"/>
    </row>
    <row r="520" ht="15.75" customHeight="1">
      <c r="A520" s="31"/>
      <c r="B520" s="31"/>
      <c r="C520" s="31"/>
      <c r="D520" s="31"/>
      <c r="E520" s="31"/>
      <c r="F520" s="31"/>
      <c r="H520" s="31"/>
    </row>
    <row r="521" ht="15.75" customHeight="1">
      <c r="A521" s="31"/>
      <c r="B521" s="31"/>
      <c r="C521" s="31"/>
      <c r="D521" s="31"/>
      <c r="E521" s="31"/>
      <c r="F521" s="31"/>
      <c r="H521" s="31"/>
    </row>
    <row r="522" ht="15.75" customHeight="1">
      <c r="A522" s="31"/>
      <c r="B522" s="31"/>
      <c r="C522" s="31"/>
      <c r="D522" s="31"/>
      <c r="E522" s="31"/>
      <c r="F522" s="31"/>
      <c r="H522" s="31"/>
    </row>
    <row r="523" ht="15.75" customHeight="1">
      <c r="A523" s="31"/>
      <c r="B523" s="31"/>
      <c r="C523" s="31"/>
      <c r="D523" s="31"/>
      <c r="E523" s="31"/>
      <c r="F523" s="31"/>
      <c r="H523" s="31"/>
    </row>
    <row r="524" ht="15.75" customHeight="1">
      <c r="A524" s="31"/>
      <c r="B524" s="31"/>
      <c r="C524" s="31"/>
      <c r="D524" s="31"/>
      <c r="E524" s="31"/>
      <c r="F524" s="31"/>
      <c r="H524" s="31"/>
    </row>
    <row r="525" ht="15.75" customHeight="1">
      <c r="A525" s="31"/>
      <c r="B525" s="31"/>
      <c r="C525" s="31"/>
      <c r="D525" s="31"/>
      <c r="E525" s="31"/>
      <c r="F525" s="31"/>
      <c r="H525" s="31"/>
    </row>
    <row r="526" ht="15.75" customHeight="1">
      <c r="A526" s="31"/>
      <c r="B526" s="31"/>
      <c r="C526" s="31"/>
      <c r="D526" s="31"/>
      <c r="E526" s="31"/>
      <c r="F526" s="31"/>
      <c r="H526" s="31"/>
    </row>
    <row r="527" ht="15.75" customHeight="1">
      <c r="A527" s="31"/>
      <c r="B527" s="31"/>
      <c r="C527" s="31"/>
      <c r="D527" s="31"/>
      <c r="E527" s="31"/>
      <c r="F527" s="31"/>
      <c r="H527" s="31"/>
    </row>
    <row r="528" ht="15.75" customHeight="1">
      <c r="A528" s="31"/>
      <c r="B528" s="31"/>
      <c r="C528" s="31"/>
      <c r="D528" s="31"/>
      <c r="E528" s="31"/>
      <c r="F528" s="31"/>
      <c r="H528" s="31"/>
    </row>
    <row r="529" ht="15.75" customHeight="1">
      <c r="A529" s="31"/>
      <c r="B529" s="31"/>
      <c r="C529" s="31"/>
      <c r="D529" s="31"/>
      <c r="E529" s="31"/>
      <c r="F529" s="31"/>
      <c r="H529" s="31"/>
    </row>
    <row r="530" ht="15.75" customHeight="1">
      <c r="A530" s="31"/>
      <c r="B530" s="31"/>
      <c r="C530" s="31"/>
      <c r="D530" s="31"/>
      <c r="E530" s="31"/>
      <c r="F530" s="31"/>
      <c r="H530" s="31"/>
    </row>
    <row r="531" ht="15.75" customHeight="1">
      <c r="A531" s="31"/>
      <c r="B531" s="31"/>
      <c r="C531" s="31"/>
      <c r="D531" s="31"/>
      <c r="E531" s="31"/>
      <c r="F531" s="31"/>
      <c r="H531" s="31"/>
    </row>
    <row r="532" ht="15.75" customHeight="1">
      <c r="A532" s="31"/>
      <c r="B532" s="31"/>
      <c r="C532" s="31"/>
      <c r="D532" s="31"/>
      <c r="E532" s="31"/>
      <c r="F532" s="31"/>
      <c r="H532" s="31"/>
    </row>
    <row r="533" ht="15.75" customHeight="1">
      <c r="A533" s="31"/>
      <c r="B533" s="31"/>
      <c r="C533" s="31"/>
      <c r="D533" s="31"/>
      <c r="E533" s="31"/>
      <c r="F533" s="31"/>
      <c r="H533" s="31"/>
    </row>
    <row r="534" ht="15.75" customHeight="1">
      <c r="A534" s="31"/>
      <c r="B534" s="31"/>
      <c r="C534" s="31"/>
      <c r="D534" s="31"/>
      <c r="E534" s="31"/>
      <c r="F534" s="31"/>
      <c r="H534" s="31"/>
    </row>
    <row r="535" ht="15.75" customHeight="1">
      <c r="A535" s="31"/>
      <c r="B535" s="31"/>
      <c r="C535" s="31"/>
      <c r="D535" s="31"/>
      <c r="E535" s="31"/>
      <c r="F535" s="31"/>
      <c r="H535" s="31"/>
    </row>
    <row r="536" ht="15.75" customHeight="1">
      <c r="A536" s="31"/>
      <c r="B536" s="31"/>
      <c r="C536" s="31"/>
      <c r="D536" s="31"/>
      <c r="E536" s="31"/>
      <c r="F536" s="31"/>
      <c r="H536" s="31"/>
    </row>
    <row r="537" ht="15.75" customHeight="1">
      <c r="A537" s="31"/>
      <c r="B537" s="31"/>
      <c r="C537" s="31"/>
      <c r="D537" s="31"/>
      <c r="E537" s="31"/>
      <c r="F537" s="31"/>
      <c r="H537" s="31"/>
    </row>
    <row r="538" ht="15.75" customHeight="1">
      <c r="A538" s="31"/>
      <c r="B538" s="31"/>
      <c r="C538" s="31"/>
      <c r="D538" s="31"/>
      <c r="E538" s="31"/>
      <c r="F538" s="31"/>
      <c r="H538" s="31"/>
    </row>
    <row r="539" ht="15.75" customHeight="1">
      <c r="A539" s="31"/>
      <c r="B539" s="31"/>
      <c r="C539" s="31"/>
      <c r="D539" s="31"/>
      <c r="E539" s="31"/>
      <c r="F539" s="31"/>
      <c r="H539" s="31"/>
    </row>
    <row r="540" ht="15.75" customHeight="1">
      <c r="A540" s="31"/>
      <c r="B540" s="31"/>
      <c r="C540" s="31"/>
      <c r="D540" s="31"/>
      <c r="E540" s="31"/>
      <c r="F540" s="31"/>
      <c r="H540" s="31"/>
    </row>
    <row r="541" ht="15.75" customHeight="1">
      <c r="A541" s="31"/>
      <c r="B541" s="31"/>
      <c r="C541" s="31"/>
      <c r="D541" s="31"/>
      <c r="E541" s="31"/>
      <c r="F541" s="31"/>
      <c r="H541" s="31"/>
    </row>
    <row r="542" ht="15.75" customHeight="1">
      <c r="A542" s="31"/>
      <c r="B542" s="31"/>
      <c r="C542" s="31"/>
      <c r="D542" s="31"/>
      <c r="E542" s="31"/>
      <c r="F542" s="31"/>
      <c r="H542" s="31"/>
    </row>
    <row r="543" ht="15.75" customHeight="1">
      <c r="A543" s="31"/>
      <c r="B543" s="31"/>
      <c r="C543" s="31"/>
      <c r="D543" s="31"/>
      <c r="E543" s="31"/>
      <c r="F543" s="31"/>
      <c r="H543" s="31"/>
    </row>
    <row r="544" ht="15.75" customHeight="1">
      <c r="A544" s="31"/>
      <c r="B544" s="31"/>
      <c r="C544" s="31"/>
      <c r="D544" s="31"/>
      <c r="E544" s="31"/>
      <c r="F544" s="31"/>
      <c r="H544" s="31"/>
    </row>
    <row r="545" ht="15.75" customHeight="1">
      <c r="A545" s="31"/>
      <c r="B545" s="31"/>
      <c r="C545" s="31"/>
      <c r="D545" s="31"/>
      <c r="E545" s="31"/>
      <c r="F545" s="31"/>
      <c r="H545" s="31"/>
    </row>
    <row r="546" ht="15.75" customHeight="1">
      <c r="A546" s="31"/>
      <c r="B546" s="31"/>
      <c r="C546" s="31"/>
      <c r="D546" s="31"/>
      <c r="E546" s="31"/>
      <c r="F546" s="31"/>
      <c r="H546" s="31"/>
    </row>
    <row r="547" ht="15.75" customHeight="1">
      <c r="A547" s="31"/>
      <c r="B547" s="31"/>
      <c r="C547" s="31"/>
      <c r="D547" s="31"/>
      <c r="E547" s="31"/>
      <c r="F547" s="31"/>
      <c r="H547" s="31"/>
    </row>
    <row r="548" ht="15.75" customHeight="1">
      <c r="A548" s="31"/>
      <c r="B548" s="31"/>
      <c r="C548" s="31"/>
      <c r="D548" s="31"/>
      <c r="E548" s="31"/>
      <c r="F548" s="31"/>
      <c r="H548" s="31"/>
    </row>
    <row r="549" ht="15.75" customHeight="1">
      <c r="A549" s="31"/>
      <c r="B549" s="31"/>
      <c r="C549" s="31"/>
      <c r="D549" s="31"/>
      <c r="E549" s="31"/>
      <c r="F549" s="31"/>
      <c r="H549" s="31"/>
    </row>
    <row r="550" ht="15.75" customHeight="1">
      <c r="A550" s="31"/>
      <c r="B550" s="31"/>
      <c r="C550" s="31"/>
      <c r="D550" s="31"/>
      <c r="E550" s="31"/>
      <c r="F550" s="31"/>
      <c r="H550" s="31"/>
    </row>
    <row r="551" ht="15.75" customHeight="1">
      <c r="A551" s="31"/>
      <c r="B551" s="31"/>
      <c r="C551" s="31"/>
      <c r="D551" s="31"/>
      <c r="E551" s="31"/>
      <c r="F551" s="31"/>
      <c r="H551" s="31"/>
    </row>
    <row r="552" ht="15.75" customHeight="1">
      <c r="A552" s="31"/>
      <c r="B552" s="31"/>
      <c r="C552" s="31"/>
      <c r="D552" s="31"/>
      <c r="E552" s="31"/>
      <c r="F552" s="31"/>
      <c r="H552" s="31"/>
    </row>
    <row r="553" ht="15.75" customHeight="1">
      <c r="A553" s="31"/>
      <c r="B553" s="31"/>
      <c r="C553" s="31"/>
      <c r="D553" s="31"/>
      <c r="E553" s="31"/>
      <c r="F553" s="31"/>
      <c r="H553" s="31"/>
    </row>
    <row r="554" ht="15.75" customHeight="1">
      <c r="A554" s="31"/>
      <c r="B554" s="31"/>
      <c r="C554" s="31"/>
      <c r="D554" s="31"/>
      <c r="E554" s="31"/>
      <c r="F554" s="31"/>
      <c r="H554" s="31"/>
    </row>
    <row r="555" ht="15.75" customHeight="1">
      <c r="A555" s="31"/>
      <c r="B555" s="31"/>
      <c r="C555" s="31"/>
      <c r="D555" s="31"/>
      <c r="E555" s="31"/>
      <c r="F555" s="31"/>
      <c r="H555" s="31"/>
    </row>
    <row r="556" ht="15.75" customHeight="1">
      <c r="A556" s="31"/>
      <c r="B556" s="31"/>
      <c r="C556" s="31"/>
      <c r="D556" s="31"/>
      <c r="E556" s="31"/>
      <c r="F556" s="31"/>
      <c r="H556" s="31"/>
    </row>
    <row r="557" ht="15.75" customHeight="1">
      <c r="A557" s="31"/>
      <c r="B557" s="31"/>
      <c r="C557" s="31"/>
      <c r="D557" s="31"/>
      <c r="E557" s="31"/>
      <c r="F557" s="31"/>
      <c r="H557" s="31"/>
    </row>
    <row r="558" ht="15.75" customHeight="1">
      <c r="A558" s="31"/>
      <c r="B558" s="31"/>
      <c r="C558" s="31"/>
      <c r="D558" s="31"/>
      <c r="E558" s="31"/>
      <c r="F558" s="31"/>
      <c r="H558" s="31"/>
    </row>
    <row r="559" ht="15.75" customHeight="1">
      <c r="A559" s="31"/>
      <c r="B559" s="31"/>
      <c r="C559" s="31"/>
      <c r="D559" s="31"/>
      <c r="E559" s="31"/>
      <c r="F559" s="31"/>
      <c r="H559" s="31"/>
    </row>
    <row r="560" ht="15.75" customHeight="1">
      <c r="A560" s="31"/>
      <c r="B560" s="31"/>
      <c r="C560" s="31"/>
      <c r="D560" s="31"/>
      <c r="E560" s="31"/>
      <c r="F560" s="31"/>
      <c r="H560" s="31"/>
    </row>
    <row r="561" ht="15.75" customHeight="1">
      <c r="A561" s="31"/>
      <c r="B561" s="31"/>
      <c r="C561" s="31"/>
      <c r="D561" s="31"/>
      <c r="E561" s="31"/>
      <c r="F561" s="31"/>
      <c r="H561" s="31"/>
    </row>
    <row r="562" ht="15.75" customHeight="1">
      <c r="A562" s="31"/>
      <c r="B562" s="31"/>
      <c r="C562" s="31"/>
      <c r="D562" s="31"/>
      <c r="E562" s="31"/>
      <c r="F562" s="31"/>
      <c r="H562" s="31"/>
    </row>
    <row r="563" ht="15.75" customHeight="1">
      <c r="A563" s="31"/>
      <c r="B563" s="31"/>
      <c r="C563" s="31"/>
      <c r="D563" s="31"/>
      <c r="E563" s="31"/>
      <c r="F563" s="31"/>
      <c r="H563" s="31"/>
    </row>
    <row r="564" ht="15.75" customHeight="1">
      <c r="A564" s="31"/>
      <c r="B564" s="31"/>
      <c r="C564" s="31"/>
      <c r="D564" s="31"/>
      <c r="E564" s="31"/>
      <c r="F564" s="31"/>
      <c r="H564" s="31"/>
    </row>
    <row r="565" ht="15.75" customHeight="1">
      <c r="A565" s="31"/>
      <c r="B565" s="31"/>
      <c r="C565" s="31"/>
      <c r="D565" s="31"/>
      <c r="E565" s="31"/>
      <c r="F565" s="31"/>
      <c r="H565" s="31"/>
    </row>
    <row r="566" ht="15.75" customHeight="1">
      <c r="A566" s="31"/>
      <c r="B566" s="31"/>
      <c r="C566" s="31"/>
      <c r="D566" s="31"/>
      <c r="E566" s="31"/>
      <c r="F566" s="31"/>
      <c r="H566" s="31"/>
    </row>
    <row r="567" ht="15.75" customHeight="1">
      <c r="A567" s="31"/>
      <c r="B567" s="31"/>
      <c r="C567" s="31"/>
      <c r="D567" s="31"/>
      <c r="E567" s="31"/>
      <c r="F567" s="31"/>
      <c r="H567" s="31"/>
    </row>
    <row r="568" ht="15.75" customHeight="1">
      <c r="A568" s="31"/>
      <c r="B568" s="31"/>
      <c r="C568" s="31"/>
      <c r="D568" s="31"/>
      <c r="E568" s="31"/>
      <c r="F568" s="31"/>
      <c r="H568" s="31"/>
    </row>
    <row r="569" ht="15.75" customHeight="1">
      <c r="A569" s="31"/>
      <c r="B569" s="31"/>
      <c r="C569" s="31"/>
      <c r="D569" s="31"/>
      <c r="E569" s="31"/>
      <c r="F569" s="31"/>
      <c r="H569" s="31"/>
    </row>
    <row r="570" ht="15.75" customHeight="1">
      <c r="A570" s="31"/>
      <c r="B570" s="31"/>
      <c r="C570" s="31"/>
      <c r="D570" s="31"/>
      <c r="E570" s="31"/>
      <c r="F570" s="31"/>
      <c r="H570" s="31"/>
    </row>
    <row r="571" ht="15.75" customHeight="1">
      <c r="A571" s="31"/>
      <c r="B571" s="31"/>
      <c r="C571" s="31"/>
      <c r="D571" s="31"/>
      <c r="E571" s="31"/>
      <c r="F571" s="31"/>
      <c r="H571" s="31"/>
    </row>
    <row r="572" ht="15.75" customHeight="1">
      <c r="A572" s="31"/>
      <c r="B572" s="31"/>
      <c r="C572" s="31"/>
      <c r="D572" s="31"/>
      <c r="E572" s="31"/>
      <c r="F572" s="31"/>
      <c r="H572" s="31"/>
    </row>
    <row r="573" ht="15.75" customHeight="1">
      <c r="A573" s="31"/>
      <c r="B573" s="31"/>
      <c r="C573" s="31"/>
      <c r="D573" s="31"/>
      <c r="E573" s="31"/>
      <c r="F573" s="31"/>
      <c r="H573" s="31"/>
    </row>
    <row r="574" ht="15.75" customHeight="1">
      <c r="A574" s="31"/>
      <c r="B574" s="31"/>
      <c r="C574" s="31"/>
      <c r="D574" s="31"/>
      <c r="E574" s="31"/>
      <c r="F574" s="31"/>
      <c r="H574" s="31"/>
    </row>
    <row r="575" ht="15.75" customHeight="1">
      <c r="A575" s="31"/>
      <c r="B575" s="31"/>
      <c r="C575" s="31"/>
      <c r="D575" s="31"/>
      <c r="E575" s="31"/>
      <c r="F575" s="31"/>
      <c r="H575" s="31"/>
    </row>
    <row r="576" ht="15.75" customHeight="1">
      <c r="A576" s="31"/>
      <c r="B576" s="31"/>
      <c r="C576" s="31"/>
      <c r="D576" s="31"/>
      <c r="E576" s="31"/>
      <c r="F576" s="31"/>
      <c r="H576" s="31"/>
    </row>
    <row r="577" ht="15.75" customHeight="1">
      <c r="A577" s="31"/>
      <c r="B577" s="31"/>
      <c r="C577" s="31"/>
      <c r="D577" s="31"/>
      <c r="E577" s="31"/>
      <c r="F577" s="31"/>
      <c r="H577" s="31"/>
    </row>
    <row r="578" ht="15.75" customHeight="1">
      <c r="A578" s="31"/>
      <c r="B578" s="31"/>
      <c r="C578" s="31"/>
      <c r="D578" s="31"/>
      <c r="E578" s="31"/>
      <c r="F578" s="31"/>
      <c r="H578" s="31"/>
    </row>
    <row r="579" ht="15.75" customHeight="1">
      <c r="A579" s="31"/>
      <c r="B579" s="31"/>
      <c r="C579" s="31"/>
      <c r="D579" s="31"/>
      <c r="E579" s="31"/>
      <c r="F579" s="31"/>
      <c r="H579" s="31"/>
    </row>
    <row r="580" ht="15.75" customHeight="1">
      <c r="A580" s="31"/>
      <c r="B580" s="31"/>
      <c r="C580" s="31"/>
      <c r="D580" s="31"/>
      <c r="E580" s="31"/>
      <c r="F580" s="31"/>
      <c r="H580" s="31"/>
    </row>
    <row r="581" ht="15.75" customHeight="1">
      <c r="A581" s="31"/>
      <c r="B581" s="31"/>
      <c r="C581" s="31"/>
      <c r="D581" s="31"/>
      <c r="E581" s="31"/>
      <c r="F581" s="31"/>
      <c r="H581" s="31"/>
    </row>
    <row r="582" ht="15.75" customHeight="1">
      <c r="A582" s="31"/>
      <c r="B582" s="31"/>
      <c r="C582" s="31"/>
      <c r="D582" s="31"/>
      <c r="E582" s="31"/>
      <c r="F582" s="31"/>
      <c r="H582" s="31"/>
    </row>
    <row r="583" ht="15.75" customHeight="1">
      <c r="A583" s="31"/>
      <c r="B583" s="31"/>
      <c r="C583" s="31"/>
      <c r="D583" s="31"/>
      <c r="E583" s="31"/>
      <c r="F583" s="31"/>
      <c r="H583" s="31"/>
    </row>
    <row r="584" ht="15.75" customHeight="1">
      <c r="A584" s="31"/>
      <c r="B584" s="31"/>
      <c r="C584" s="31"/>
      <c r="D584" s="31"/>
      <c r="E584" s="31"/>
      <c r="F584" s="31"/>
      <c r="H584" s="31"/>
    </row>
    <row r="585" ht="15.75" customHeight="1">
      <c r="A585" s="31"/>
      <c r="B585" s="31"/>
      <c r="C585" s="31"/>
      <c r="D585" s="31"/>
      <c r="E585" s="31"/>
      <c r="F585" s="31"/>
      <c r="H585" s="31"/>
    </row>
    <row r="586" ht="15.75" customHeight="1">
      <c r="A586" s="31"/>
      <c r="B586" s="31"/>
      <c r="C586" s="31"/>
      <c r="D586" s="31"/>
      <c r="E586" s="31"/>
      <c r="F586" s="31"/>
      <c r="H586" s="31"/>
    </row>
    <row r="587" ht="15.75" customHeight="1">
      <c r="A587" s="31"/>
      <c r="B587" s="31"/>
      <c r="C587" s="31"/>
      <c r="D587" s="31"/>
      <c r="E587" s="31"/>
      <c r="F587" s="31"/>
      <c r="H587" s="31"/>
    </row>
    <row r="588" ht="15.75" customHeight="1">
      <c r="A588" s="31"/>
      <c r="B588" s="31"/>
      <c r="C588" s="31"/>
      <c r="D588" s="31"/>
      <c r="E588" s="31"/>
      <c r="F588" s="31"/>
      <c r="H588" s="31"/>
    </row>
    <row r="589" ht="15.75" customHeight="1">
      <c r="A589" s="31"/>
      <c r="B589" s="31"/>
      <c r="C589" s="31"/>
      <c r="D589" s="31"/>
      <c r="E589" s="31"/>
      <c r="F589" s="31"/>
      <c r="H589" s="31"/>
    </row>
    <row r="590" ht="15.75" customHeight="1">
      <c r="A590" s="31"/>
      <c r="B590" s="31"/>
      <c r="C590" s="31"/>
      <c r="D590" s="31"/>
      <c r="E590" s="31"/>
      <c r="F590" s="31"/>
      <c r="H590" s="31"/>
    </row>
    <row r="591" ht="15.75" customHeight="1">
      <c r="A591" s="31"/>
      <c r="B591" s="31"/>
      <c r="C591" s="31"/>
      <c r="D591" s="31"/>
      <c r="E591" s="31"/>
      <c r="F591" s="31"/>
      <c r="H591" s="31"/>
    </row>
    <row r="592" ht="15.75" customHeight="1">
      <c r="A592" s="31"/>
      <c r="B592" s="31"/>
      <c r="C592" s="31"/>
      <c r="D592" s="31"/>
      <c r="E592" s="31"/>
      <c r="F592" s="31"/>
      <c r="H592" s="31"/>
    </row>
    <row r="593" ht="15.75" customHeight="1">
      <c r="A593" s="31"/>
      <c r="B593" s="31"/>
      <c r="C593" s="31"/>
      <c r="D593" s="31"/>
      <c r="E593" s="31"/>
      <c r="F593" s="31"/>
      <c r="H593" s="31"/>
    </row>
    <row r="594" ht="15.75" customHeight="1">
      <c r="A594" s="31"/>
      <c r="B594" s="31"/>
      <c r="C594" s="31"/>
      <c r="D594" s="31"/>
      <c r="E594" s="31"/>
      <c r="F594" s="31"/>
      <c r="H594" s="31"/>
    </row>
    <row r="595" ht="15.75" customHeight="1">
      <c r="A595" s="31"/>
      <c r="B595" s="31"/>
      <c r="C595" s="31"/>
      <c r="D595" s="31"/>
      <c r="E595" s="31"/>
      <c r="F595" s="31"/>
      <c r="H595" s="31"/>
    </row>
    <row r="596" ht="15.75" customHeight="1">
      <c r="A596" s="31"/>
      <c r="B596" s="31"/>
      <c r="C596" s="31"/>
      <c r="D596" s="31"/>
      <c r="E596" s="31"/>
      <c r="F596" s="31"/>
      <c r="H596" s="31"/>
    </row>
    <row r="597" ht="15.75" customHeight="1">
      <c r="A597" s="31"/>
      <c r="B597" s="31"/>
      <c r="C597" s="31"/>
      <c r="D597" s="31"/>
      <c r="E597" s="31"/>
      <c r="F597" s="31"/>
      <c r="H597" s="31"/>
    </row>
    <row r="598" ht="15.75" customHeight="1">
      <c r="A598" s="31"/>
      <c r="B598" s="31"/>
      <c r="C598" s="31"/>
      <c r="D598" s="31"/>
      <c r="E598" s="31"/>
      <c r="F598" s="31"/>
      <c r="H598" s="31"/>
    </row>
    <row r="599" ht="15.75" customHeight="1">
      <c r="A599" s="31"/>
      <c r="B599" s="31"/>
      <c r="C599" s="31"/>
      <c r="D599" s="31"/>
      <c r="E599" s="31"/>
      <c r="F599" s="31"/>
      <c r="H599" s="31"/>
    </row>
    <row r="600" ht="15.75" customHeight="1">
      <c r="A600" s="31"/>
      <c r="B600" s="31"/>
      <c r="C600" s="31"/>
      <c r="D600" s="31"/>
      <c r="E600" s="31"/>
      <c r="F600" s="31"/>
      <c r="H600" s="31"/>
    </row>
    <row r="601" ht="15.75" customHeight="1">
      <c r="A601" s="31"/>
      <c r="B601" s="31"/>
      <c r="C601" s="31"/>
      <c r="D601" s="31"/>
      <c r="E601" s="31"/>
      <c r="F601" s="31"/>
      <c r="H601" s="31"/>
    </row>
    <row r="602" ht="15.75" customHeight="1">
      <c r="A602" s="31"/>
      <c r="B602" s="31"/>
      <c r="C602" s="31"/>
      <c r="D602" s="31"/>
      <c r="E602" s="31"/>
      <c r="F602" s="31"/>
      <c r="H602" s="31"/>
    </row>
    <row r="603" ht="15.75" customHeight="1">
      <c r="A603" s="31"/>
      <c r="B603" s="31"/>
      <c r="C603" s="31"/>
      <c r="D603" s="31"/>
      <c r="E603" s="31"/>
      <c r="F603" s="31"/>
      <c r="H603" s="31"/>
    </row>
    <row r="604" ht="15.75" customHeight="1">
      <c r="A604" s="31"/>
      <c r="B604" s="31"/>
      <c r="C604" s="31"/>
      <c r="D604" s="31"/>
      <c r="E604" s="31"/>
      <c r="F604" s="31"/>
      <c r="H604" s="31"/>
    </row>
    <row r="605" ht="15.75" customHeight="1">
      <c r="A605" s="31"/>
      <c r="B605" s="31"/>
      <c r="C605" s="31"/>
      <c r="D605" s="31"/>
      <c r="E605" s="31"/>
      <c r="F605" s="31"/>
      <c r="H605" s="31"/>
    </row>
    <row r="606" ht="15.75" customHeight="1">
      <c r="A606" s="31"/>
      <c r="B606" s="31"/>
      <c r="C606" s="31"/>
      <c r="D606" s="31"/>
      <c r="E606" s="31"/>
      <c r="F606" s="31"/>
      <c r="H606" s="31"/>
    </row>
    <row r="607" ht="15.75" customHeight="1">
      <c r="A607" s="31"/>
      <c r="B607" s="31"/>
      <c r="C607" s="31"/>
      <c r="D607" s="31"/>
      <c r="E607" s="31"/>
      <c r="F607" s="31"/>
      <c r="H607" s="31"/>
    </row>
    <row r="608" ht="15.75" customHeight="1">
      <c r="A608" s="31"/>
      <c r="B608" s="31"/>
      <c r="C608" s="31"/>
      <c r="D608" s="31"/>
      <c r="E608" s="31"/>
      <c r="F608" s="31"/>
      <c r="H608" s="31"/>
    </row>
    <row r="609" ht="15.75" customHeight="1">
      <c r="A609" s="31"/>
      <c r="B609" s="31"/>
      <c r="C609" s="31"/>
      <c r="D609" s="31"/>
      <c r="E609" s="31"/>
      <c r="F609" s="31"/>
      <c r="H609" s="31"/>
    </row>
    <row r="610" ht="15.75" customHeight="1">
      <c r="A610" s="31"/>
      <c r="B610" s="31"/>
      <c r="C610" s="31"/>
      <c r="D610" s="31"/>
      <c r="E610" s="31"/>
      <c r="F610" s="31"/>
      <c r="H610" s="31"/>
    </row>
    <row r="611" ht="15.75" customHeight="1">
      <c r="A611" s="31"/>
      <c r="B611" s="31"/>
      <c r="C611" s="31"/>
      <c r="D611" s="31"/>
      <c r="E611" s="31"/>
      <c r="F611" s="31"/>
      <c r="H611" s="31"/>
    </row>
    <row r="612" ht="15.75" customHeight="1">
      <c r="A612" s="31"/>
      <c r="B612" s="31"/>
      <c r="C612" s="31"/>
      <c r="D612" s="31"/>
      <c r="E612" s="31"/>
      <c r="F612" s="31"/>
      <c r="H612" s="31"/>
    </row>
    <row r="613" ht="15.75" customHeight="1">
      <c r="A613" s="31"/>
      <c r="B613" s="31"/>
      <c r="C613" s="31"/>
      <c r="D613" s="31"/>
      <c r="E613" s="31"/>
      <c r="F613" s="31"/>
      <c r="H613" s="31"/>
    </row>
    <row r="614" ht="15.75" customHeight="1">
      <c r="A614" s="31"/>
      <c r="B614" s="31"/>
      <c r="C614" s="31"/>
      <c r="D614" s="31"/>
      <c r="E614" s="31"/>
      <c r="F614" s="31"/>
      <c r="H614" s="31"/>
    </row>
    <row r="615" ht="15.75" customHeight="1">
      <c r="A615" s="31"/>
      <c r="B615" s="31"/>
      <c r="C615" s="31"/>
      <c r="D615" s="31"/>
      <c r="E615" s="31"/>
      <c r="F615" s="31"/>
      <c r="H615" s="31"/>
    </row>
    <row r="616" ht="15.75" customHeight="1">
      <c r="A616" s="31"/>
      <c r="B616" s="31"/>
      <c r="C616" s="31"/>
      <c r="D616" s="31"/>
      <c r="E616" s="31"/>
      <c r="F616" s="31"/>
      <c r="H616" s="31"/>
    </row>
    <row r="617" ht="15.75" customHeight="1">
      <c r="A617" s="31"/>
      <c r="B617" s="31"/>
      <c r="C617" s="31"/>
      <c r="D617" s="31"/>
      <c r="E617" s="31"/>
      <c r="F617" s="31"/>
      <c r="H617" s="31"/>
    </row>
    <row r="618" ht="15.75" customHeight="1">
      <c r="A618" s="31"/>
      <c r="B618" s="31"/>
      <c r="C618" s="31"/>
      <c r="D618" s="31"/>
      <c r="E618" s="31"/>
      <c r="F618" s="31"/>
      <c r="H618" s="31"/>
    </row>
    <row r="619" ht="15.75" customHeight="1">
      <c r="A619" s="31"/>
      <c r="B619" s="31"/>
      <c r="C619" s="31"/>
      <c r="D619" s="31"/>
      <c r="E619" s="31"/>
      <c r="F619" s="31"/>
      <c r="H619" s="31"/>
    </row>
    <row r="620" ht="15.75" customHeight="1">
      <c r="A620" s="31"/>
      <c r="B620" s="31"/>
      <c r="C620" s="31"/>
      <c r="D620" s="31"/>
      <c r="E620" s="31"/>
      <c r="F620" s="31"/>
      <c r="H620" s="31"/>
    </row>
    <row r="621" ht="15.75" customHeight="1">
      <c r="A621" s="31"/>
      <c r="B621" s="31"/>
      <c r="C621" s="31"/>
      <c r="D621" s="31"/>
      <c r="E621" s="31"/>
      <c r="F621" s="31"/>
      <c r="H621" s="31"/>
    </row>
    <row r="622" ht="15.75" customHeight="1">
      <c r="A622" s="31"/>
      <c r="B622" s="31"/>
      <c r="C622" s="31"/>
      <c r="D622" s="31"/>
      <c r="E622" s="31"/>
      <c r="F622" s="31"/>
      <c r="H622" s="31"/>
    </row>
    <row r="623" ht="15.75" customHeight="1">
      <c r="A623" s="31"/>
      <c r="B623" s="31"/>
      <c r="C623" s="31"/>
      <c r="D623" s="31"/>
      <c r="E623" s="31"/>
      <c r="F623" s="31"/>
      <c r="H623" s="31"/>
    </row>
    <row r="624" ht="15.75" customHeight="1">
      <c r="A624" s="31"/>
      <c r="B624" s="31"/>
      <c r="C624" s="31"/>
      <c r="D624" s="31"/>
      <c r="E624" s="31"/>
      <c r="F624" s="31"/>
      <c r="H624" s="31"/>
    </row>
    <row r="625" ht="15.75" customHeight="1">
      <c r="A625" s="31"/>
      <c r="B625" s="31"/>
      <c r="C625" s="31"/>
      <c r="D625" s="31"/>
      <c r="E625" s="31"/>
      <c r="F625" s="31"/>
      <c r="H625" s="31"/>
    </row>
    <row r="626" ht="15.75" customHeight="1">
      <c r="A626" s="31"/>
      <c r="B626" s="31"/>
      <c r="C626" s="31"/>
      <c r="D626" s="31"/>
      <c r="E626" s="31"/>
      <c r="F626" s="31"/>
      <c r="H626" s="31"/>
    </row>
    <row r="627" ht="15.75" customHeight="1">
      <c r="A627" s="31"/>
      <c r="B627" s="31"/>
      <c r="C627" s="31"/>
      <c r="D627" s="31"/>
      <c r="E627" s="31"/>
      <c r="F627" s="31"/>
      <c r="H627" s="31"/>
    </row>
    <row r="628" ht="15.75" customHeight="1">
      <c r="A628" s="31"/>
      <c r="B628" s="31"/>
      <c r="C628" s="31"/>
      <c r="D628" s="31"/>
      <c r="E628" s="31"/>
      <c r="F628" s="31"/>
      <c r="H628" s="31"/>
    </row>
    <row r="629" ht="15.75" customHeight="1">
      <c r="A629" s="31"/>
      <c r="B629" s="31"/>
      <c r="C629" s="31"/>
      <c r="D629" s="31"/>
      <c r="E629" s="31"/>
      <c r="F629" s="31"/>
      <c r="H629" s="31"/>
    </row>
    <row r="630" ht="15.75" customHeight="1">
      <c r="A630" s="31"/>
      <c r="B630" s="31"/>
      <c r="C630" s="31"/>
      <c r="D630" s="31"/>
      <c r="E630" s="31"/>
      <c r="F630" s="31"/>
      <c r="H630" s="31"/>
    </row>
    <row r="631" ht="15.75" customHeight="1">
      <c r="A631" s="31"/>
      <c r="B631" s="31"/>
      <c r="C631" s="31"/>
      <c r="D631" s="31"/>
      <c r="E631" s="31"/>
      <c r="F631" s="31"/>
      <c r="H631" s="31"/>
    </row>
    <row r="632" ht="15.75" customHeight="1">
      <c r="A632" s="31"/>
      <c r="B632" s="31"/>
      <c r="C632" s="31"/>
      <c r="D632" s="31"/>
      <c r="E632" s="31"/>
      <c r="F632" s="31"/>
      <c r="H632" s="31"/>
    </row>
    <row r="633" ht="15.75" customHeight="1">
      <c r="A633" s="31"/>
      <c r="B633" s="31"/>
      <c r="C633" s="31"/>
      <c r="D633" s="31"/>
      <c r="E633" s="31"/>
      <c r="F633" s="31"/>
      <c r="H633" s="31"/>
    </row>
    <row r="634" ht="15.75" customHeight="1">
      <c r="A634" s="31"/>
      <c r="B634" s="31"/>
      <c r="C634" s="31"/>
      <c r="D634" s="31"/>
      <c r="E634" s="31"/>
      <c r="F634" s="31"/>
      <c r="H634" s="31"/>
    </row>
    <row r="635" ht="15.75" customHeight="1">
      <c r="A635" s="31"/>
      <c r="B635" s="31"/>
      <c r="C635" s="31"/>
      <c r="D635" s="31"/>
      <c r="E635" s="31"/>
      <c r="F635" s="31"/>
      <c r="H635" s="31"/>
    </row>
    <row r="636" ht="15.75" customHeight="1">
      <c r="A636" s="31"/>
      <c r="B636" s="31"/>
      <c r="C636" s="31"/>
      <c r="D636" s="31"/>
      <c r="E636" s="31"/>
      <c r="F636" s="31"/>
      <c r="H636" s="31"/>
    </row>
    <row r="637" ht="15.75" customHeight="1">
      <c r="A637" s="31"/>
      <c r="B637" s="31"/>
      <c r="C637" s="31"/>
      <c r="D637" s="31"/>
      <c r="E637" s="31"/>
      <c r="F637" s="31"/>
      <c r="H637" s="31"/>
    </row>
    <row r="638" ht="15.75" customHeight="1">
      <c r="A638" s="31"/>
      <c r="B638" s="31"/>
      <c r="C638" s="31"/>
      <c r="D638" s="31"/>
      <c r="E638" s="31"/>
      <c r="F638" s="31"/>
      <c r="H638" s="31"/>
    </row>
    <row r="639" ht="15.75" customHeight="1">
      <c r="A639" s="31"/>
      <c r="B639" s="31"/>
      <c r="C639" s="31"/>
      <c r="D639" s="31"/>
      <c r="E639" s="31"/>
      <c r="F639" s="31"/>
      <c r="H639" s="31"/>
    </row>
    <row r="640" ht="15.75" customHeight="1">
      <c r="A640" s="31"/>
      <c r="B640" s="31"/>
      <c r="C640" s="31"/>
      <c r="D640" s="31"/>
      <c r="E640" s="31"/>
      <c r="F640" s="31"/>
      <c r="H640" s="31"/>
    </row>
    <row r="641" ht="15.75" customHeight="1">
      <c r="A641" s="31"/>
      <c r="B641" s="31"/>
      <c r="C641" s="31"/>
      <c r="D641" s="31"/>
      <c r="E641" s="31"/>
      <c r="F641" s="31"/>
      <c r="H641" s="31"/>
    </row>
    <row r="642" ht="15.75" customHeight="1">
      <c r="A642" s="31"/>
      <c r="B642" s="31"/>
      <c r="C642" s="31"/>
      <c r="D642" s="31"/>
      <c r="E642" s="31"/>
      <c r="F642" s="31"/>
      <c r="H642" s="31"/>
    </row>
    <row r="643" ht="15.75" customHeight="1">
      <c r="A643" s="31"/>
      <c r="B643" s="31"/>
      <c r="C643" s="31"/>
      <c r="D643" s="31"/>
      <c r="E643" s="31"/>
      <c r="F643" s="31"/>
      <c r="H643" s="31"/>
    </row>
    <row r="644" ht="15.75" customHeight="1">
      <c r="A644" s="31"/>
      <c r="B644" s="31"/>
      <c r="C644" s="31"/>
      <c r="D644" s="31"/>
      <c r="E644" s="31"/>
      <c r="F644" s="31"/>
      <c r="H644" s="31"/>
    </row>
    <row r="645" ht="15.75" customHeight="1">
      <c r="A645" s="31"/>
      <c r="B645" s="31"/>
      <c r="C645" s="31"/>
      <c r="D645" s="31"/>
      <c r="E645" s="31"/>
      <c r="F645" s="31"/>
      <c r="H645" s="31"/>
    </row>
    <row r="646" ht="15.75" customHeight="1">
      <c r="A646" s="31"/>
      <c r="B646" s="31"/>
      <c r="C646" s="31"/>
      <c r="D646" s="31"/>
      <c r="E646" s="31"/>
      <c r="F646" s="31"/>
      <c r="H646" s="31"/>
    </row>
    <row r="647" ht="15.75" customHeight="1">
      <c r="A647" s="31"/>
      <c r="B647" s="31"/>
      <c r="C647" s="31"/>
      <c r="D647" s="31"/>
      <c r="E647" s="31"/>
      <c r="F647" s="31"/>
      <c r="H647" s="31"/>
    </row>
    <row r="648" ht="15.75" customHeight="1">
      <c r="A648" s="31"/>
      <c r="B648" s="31"/>
      <c r="C648" s="31"/>
      <c r="D648" s="31"/>
      <c r="E648" s="31"/>
      <c r="F648" s="31"/>
      <c r="H648" s="31"/>
    </row>
    <row r="649" ht="15.75" customHeight="1">
      <c r="A649" s="31"/>
      <c r="B649" s="31"/>
      <c r="C649" s="31"/>
      <c r="D649" s="31"/>
      <c r="E649" s="31"/>
      <c r="F649" s="31"/>
      <c r="H649" s="31"/>
    </row>
    <row r="650" ht="15.75" customHeight="1">
      <c r="A650" s="31"/>
      <c r="B650" s="31"/>
      <c r="C650" s="31"/>
      <c r="D650" s="31"/>
      <c r="E650" s="31"/>
      <c r="F650" s="31"/>
      <c r="H650" s="31"/>
    </row>
    <row r="651" ht="15.75" customHeight="1">
      <c r="A651" s="31"/>
      <c r="B651" s="31"/>
      <c r="C651" s="31"/>
      <c r="D651" s="31"/>
      <c r="E651" s="31"/>
      <c r="F651" s="31"/>
      <c r="H651" s="31"/>
    </row>
    <row r="652" ht="15.75" customHeight="1">
      <c r="A652" s="31"/>
      <c r="B652" s="31"/>
      <c r="C652" s="31"/>
      <c r="D652" s="31"/>
      <c r="E652" s="31"/>
      <c r="F652" s="31"/>
      <c r="H652" s="31"/>
    </row>
    <row r="653" ht="15.75" customHeight="1">
      <c r="A653" s="31"/>
      <c r="B653" s="31"/>
      <c r="C653" s="31"/>
      <c r="D653" s="31"/>
      <c r="E653" s="31"/>
      <c r="F653" s="31"/>
      <c r="H653" s="31"/>
    </row>
    <row r="654" ht="15.75" customHeight="1">
      <c r="A654" s="31"/>
      <c r="B654" s="31"/>
      <c r="C654" s="31"/>
      <c r="D654" s="31"/>
      <c r="E654" s="31"/>
      <c r="F654" s="31"/>
      <c r="H654" s="31"/>
    </row>
    <row r="655" ht="15.75" customHeight="1">
      <c r="A655" s="31"/>
      <c r="B655" s="31"/>
      <c r="C655" s="31"/>
      <c r="D655" s="31"/>
      <c r="E655" s="31"/>
      <c r="F655" s="31"/>
      <c r="H655" s="31"/>
    </row>
    <row r="656" ht="15.75" customHeight="1">
      <c r="A656" s="31"/>
      <c r="B656" s="31"/>
      <c r="C656" s="31"/>
      <c r="D656" s="31"/>
      <c r="E656" s="31"/>
      <c r="F656" s="31"/>
      <c r="H656" s="31"/>
    </row>
    <row r="657" ht="15.75" customHeight="1">
      <c r="A657" s="31"/>
      <c r="B657" s="31"/>
      <c r="C657" s="31"/>
      <c r="D657" s="31"/>
      <c r="E657" s="31"/>
      <c r="F657" s="31"/>
      <c r="H657" s="31"/>
    </row>
    <row r="658" ht="15.75" customHeight="1">
      <c r="A658" s="31"/>
      <c r="B658" s="31"/>
      <c r="C658" s="31"/>
      <c r="D658" s="31"/>
      <c r="E658" s="31"/>
      <c r="F658" s="31"/>
      <c r="H658" s="31"/>
    </row>
    <row r="659" ht="15.75" customHeight="1">
      <c r="A659" s="31"/>
      <c r="B659" s="31"/>
      <c r="C659" s="31"/>
      <c r="D659" s="31"/>
      <c r="E659" s="31"/>
      <c r="F659" s="31"/>
      <c r="H659" s="31"/>
    </row>
    <row r="660" ht="15.75" customHeight="1">
      <c r="A660" s="31"/>
      <c r="B660" s="31"/>
      <c r="C660" s="31"/>
      <c r="D660" s="31"/>
      <c r="E660" s="31"/>
      <c r="F660" s="31"/>
      <c r="H660" s="31"/>
    </row>
    <row r="661" ht="15.75" customHeight="1">
      <c r="A661" s="31"/>
      <c r="B661" s="31"/>
      <c r="C661" s="31"/>
      <c r="D661" s="31"/>
      <c r="E661" s="31"/>
      <c r="F661" s="31"/>
      <c r="H661" s="31"/>
    </row>
    <row r="662" ht="15.75" customHeight="1">
      <c r="A662" s="31"/>
      <c r="B662" s="31"/>
      <c r="C662" s="31"/>
      <c r="D662" s="31"/>
      <c r="E662" s="31"/>
      <c r="F662" s="31"/>
      <c r="H662" s="31"/>
    </row>
    <row r="663" ht="15.75" customHeight="1">
      <c r="A663" s="31"/>
      <c r="B663" s="31"/>
      <c r="C663" s="31"/>
      <c r="D663" s="31"/>
      <c r="E663" s="31"/>
      <c r="F663" s="31"/>
      <c r="H663" s="31"/>
    </row>
    <row r="664" ht="15.75" customHeight="1">
      <c r="A664" s="31"/>
      <c r="B664" s="31"/>
      <c r="C664" s="31"/>
      <c r="D664" s="31"/>
      <c r="E664" s="31"/>
      <c r="F664" s="31"/>
      <c r="H664" s="31"/>
    </row>
    <row r="665" ht="15.75" customHeight="1">
      <c r="A665" s="31"/>
      <c r="B665" s="31"/>
      <c r="C665" s="31"/>
      <c r="D665" s="31"/>
      <c r="E665" s="31"/>
      <c r="F665" s="31"/>
      <c r="H665" s="31"/>
    </row>
    <row r="666" ht="15.75" customHeight="1">
      <c r="A666" s="31"/>
      <c r="B666" s="31"/>
      <c r="C666" s="31"/>
      <c r="D666" s="31"/>
      <c r="E666" s="31"/>
      <c r="F666" s="31"/>
      <c r="H666" s="31"/>
    </row>
    <row r="667" ht="15.75" customHeight="1">
      <c r="A667" s="31"/>
      <c r="B667" s="31"/>
      <c r="C667" s="31"/>
      <c r="D667" s="31"/>
      <c r="E667" s="31"/>
      <c r="F667" s="31"/>
      <c r="H667" s="31"/>
    </row>
    <row r="668" ht="15.75" customHeight="1">
      <c r="A668" s="31"/>
      <c r="B668" s="31"/>
      <c r="C668" s="31"/>
      <c r="D668" s="31"/>
      <c r="E668" s="31"/>
      <c r="F668" s="31"/>
      <c r="H668" s="31"/>
    </row>
    <row r="669" ht="15.75" customHeight="1">
      <c r="A669" s="31"/>
      <c r="B669" s="31"/>
      <c r="C669" s="31"/>
      <c r="D669" s="31"/>
      <c r="E669" s="31"/>
      <c r="F669" s="31"/>
      <c r="H669" s="31"/>
    </row>
    <row r="670" ht="15.75" customHeight="1">
      <c r="A670" s="31"/>
      <c r="B670" s="31"/>
      <c r="C670" s="31"/>
      <c r="D670" s="31"/>
      <c r="E670" s="31"/>
      <c r="F670" s="31"/>
      <c r="H670" s="31"/>
    </row>
    <row r="671" ht="15.75" customHeight="1">
      <c r="A671" s="31"/>
      <c r="B671" s="31"/>
      <c r="C671" s="31"/>
      <c r="D671" s="31"/>
      <c r="E671" s="31"/>
      <c r="F671" s="31"/>
      <c r="H671" s="31"/>
    </row>
    <row r="672" ht="15.75" customHeight="1">
      <c r="A672" s="31"/>
      <c r="B672" s="31"/>
      <c r="C672" s="31"/>
      <c r="D672" s="31"/>
      <c r="E672" s="31"/>
      <c r="F672" s="31"/>
      <c r="H672" s="31"/>
    </row>
    <row r="673" ht="15.75" customHeight="1">
      <c r="A673" s="31"/>
      <c r="B673" s="31"/>
      <c r="C673" s="31"/>
      <c r="D673" s="31"/>
      <c r="E673" s="31"/>
      <c r="F673" s="31"/>
      <c r="H673" s="31"/>
    </row>
    <row r="674" ht="15.75" customHeight="1">
      <c r="A674" s="31"/>
      <c r="B674" s="31"/>
      <c r="C674" s="31"/>
      <c r="D674" s="31"/>
      <c r="E674" s="31"/>
      <c r="F674" s="31"/>
      <c r="H674" s="31"/>
    </row>
    <row r="675" ht="15.75" customHeight="1">
      <c r="A675" s="31"/>
      <c r="B675" s="31"/>
      <c r="C675" s="31"/>
      <c r="D675" s="31"/>
      <c r="E675" s="31"/>
      <c r="F675" s="31"/>
      <c r="H675" s="31"/>
    </row>
    <row r="676" ht="15.75" customHeight="1">
      <c r="A676" s="31"/>
      <c r="B676" s="31"/>
      <c r="C676" s="31"/>
      <c r="D676" s="31"/>
      <c r="E676" s="31"/>
      <c r="F676" s="31"/>
      <c r="H676" s="31"/>
    </row>
    <row r="677" ht="15.75" customHeight="1">
      <c r="A677" s="31"/>
      <c r="B677" s="31"/>
      <c r="C677" s="31"/>
      <c r="D677" s="31"/>
      <c r="E677" s="31"/>
      <c r="F677" s="31"/>
      <c r="H677" s="31"/>
    </row>
    <row r="678" ht="15.75" customHeight="1">
      <c r="A678" s="31"/>
      <c r="B678" s="31"/>
      <c r="C678" s="31"/>
      <c r="D678" s="31"/>
      <c r="E678" s="31"/>
      <c r="F678" s="31"/>
      <c r="H678" s="31"/>
    </row>
    <row r="679" ht="15.75" customHeight="1">
      <c r="A679" s="31"/>
      <c r="B679" s="31"/>
      <c r="C679" s="31"/>
      <c r="D679" s="31"/>
      <c r="E679" s="31"/>
      <c r="F679" s="31"/>
      <c r="H679" s="31"/>
    </row>
    <row r="680" ht="15.75" customHeight="1">
      <c r="A680" s="31"/>
      <c r="B680" s="31"/>
      <c r="C680" s="31"/>
      <c r="D680" s="31"/>
      <c r="E680" s="31"/>
      <c r="F680" s="31"/>
      <c r="H680" s="31"/>
    </row>
    <row r="681" ht="15.75" customHeight="1">
      <c r="A681" s="31"/>
      <c r="B681" s="31"/>
      <c r="C681" s="31"/>
      <c r="D681" s="31"/>
      <c r="E681" s="31"/>
      <c r="F681" s="31"/>
      <c r="H681" s="31"/>
    </row>
    <row r="682" ht="15.75" customHeight="1">
      <c r="A682" s="31"/>
      <c r="B682" s="31"/>
      <c r="C682" s="31"/>
      <c r="D682" s="31"/>
      <c r="E682" s="31"/>
      <c r="F682" s="31"/>
      <c r="H682" s="31"/>
    </row>
    <row r="683" ht="15.75" customHeight="1">
      <c r="A683" s="31"/>
      <c r="B683" s="31"/>
      <c r="C683" s="31"/>
      <c r="D683" s="31"/>
      <c r="E683" s="31"/>
      <c r="F683" s="31"/>
      <c r="H683" s="31"/>
    </row>
    <row r="684" ht="15.75" customHeight="1">
      <c r="A684" s="31"/>
      <c r="B684" s="31"/>
      <c r="C684" s="31"/>
      <c r="D684" s="31"/>
      <c r="E684" s="31"/>
      <c r="F684" s="31"/>
      <c r="H684" s="31"/>
    </row>
    <row r="685" ht="15.75" customHeight="1">
      <c r="A685" s="31"/>
      <c r="B685" s="31"/>
      <c r="C685" s="31"/>
      <c r="D685" s="31"/>
      <c r="E685" s="31"/>
      <c r="F685" s="31"/>
      <c r="H685" s="31"/>
    </row>
    <row r="686" ht="15.75" customHeight="1">
      <c r="A686" s="31"/>
      <c r="B686" s="31"/>
      <c r="C686" s="31"/>
      <c r="D686" s="31"/>
      <c r="E686" s="31"/>
      <c r="F686" s="31"/>
      <c r="H686" s="31"/>
    </row>
    <row r="687" ht="15.75" customHeight="1">
      <c r="A687" s="31"/>
      <c r="B687" s="31"/>
      <c r="C687" s="31"/>
      <c r="D687" s="31"/>
      <c r="E687" s="31"/>
      <c r="F687" s="31"/>
      <c r="H687" s="31"/>
    </row>
    <row r="688" ht="15.75" customHeight="1">
      <c r="A688" s="31"/>
      <c r="B688" s="31"/>
      <c r="C688" s="31"/>
      <c r="D688" s="31"/>
      <c r="E688" s="31"/>
      <c r="F688" s="31"/>
      <c r="H688" s="31"/>
    </row>
    <row r="689" ht="15.75" customHeight="1">
      <c r="A689" s="31"/>
      <c r="B689" s="31"/>
      <c r="C689" s="31"/>
      <c r="D689" s="31"/>
      <c r="E689" s="31"/>
      <c r="F689" s="31"/>
      <c r="H689" s="31"/>
    </row>
    <row r="690" ht="15.75" customHeight="1">
      <c r="A690" s="31"/>
      <c r="B690" s="31"/>
      <c r="C690" s="31"/>
      <c r="D690" s="31"/>
      <c r="E690" s="31"/>
      <c r="F690" s="31"/>
      <c r="H690" s="31"/>
    </row>
    <row r="691" ht="15.75" customHeight="1">
      <c r="A691" s="31"/>
      <c r="B691" s="31"/>
      <c r="C691" s="31"/>
      <c r="D691" s="31"/>
      <c r="E691" s="31"/>
      <c r="F691" s="31"/>
      <c r="H691" s="31"/>
    </row>
    <row r="692" ht="15.75" customHeight="1">
      <c r="A692" s="31"/>
      <c r="B692" s="31"/>
      <c r="C692" s="31"/>
      <c r="D692" s="31"/>
      <c r="E692" s="31"/>
      <c r="F692" s="31"/>
      <c r="H692" s="31"/>
    </row>
    <row r="693" ht="15.75" customHeight="1">
      <c r="A693" s="31"/>
      <c r="B693" s="31"/>
      <c r="C693" s="31"/>
      <c r="D693" s="31"/>
      <c r="E693" s="31"/>
      <c r="F693" s="31"/>
      <c r="H693" s="31"/>
    </row>
    <row r="694" ht="15.75" customHeight="1">
      <c r="A694" s="31"/>
      <c r="B694" s="31"/>
      <c r="C694" s="31"/>
      <c r="D694" s="31"/>
      <c r="E694" s="31"/>
      <c r="F694" s="31"/>
      <c r="H694" s="31"/>
    </row>
    <row r="695" ht="15.75" customHeight="1">
      <c r="A695" s="31"/>
      <c r="B695" s="31"/>
      <c r="C695" s="31"/>
      <c r="D695" s="31"/>
      <c r="E695" s="31"/>
      <c r="F695" s="31"/>
      <c r="H695" s="31"/>
    </row>
    <row r="696" ht="15.75" customHeight="1">
      <c r="A696" s="31"/>
      <c r="B696" s="31"/>
      <c r="C696" s="31"/>
      <c r="D696" s="31"/>
      <c r="E696" s="31"/>
      <c r="F696" s="31"/>
      <c r="H696" s="31"/>
    </row>
    <row r="697" ht="15.75" customHeight="1">
      <c r="A697" s="31"/>
      <c r="B697" s="31"/>
      <c r="C697" s="31"/>
      <c r="D697" s="31"/>
      <c r="E697" s="31"/>
      <c r="F697" s="31"/>
      <c r="H697" s="31"/>
    </row>
    <row r="698" ht="15.75" customHeight="1">
      <c r="A698" s="31"/>
      <c r="B698" s="31"/>
      <c r="C698" s="31"/>
      <c r="D698" s="31"/>
      <c r="E698" s="31"/>
      <c r="F698" s="31"/>
      <c r="H698" s="31"/>
    </row>
    <row r="699" ht="15.75" customHeight="1">
      <c r="A699" s="31"/>
      <c r="B699" s="31"/>
      <c r="C699" s="31"/>
      <c r="D699" s="31"/>
      <c r="E699" s="31"/>
      <c r="F699" s="31"/>
      <c r="H699" s="31"/>
    </row>
    <row r="700" ht="15.75" customHeight="1">
      <c r="A700" s="31"/>
      <c r="B700" s="31"/>
      <c r="C700" s="31"/>
      <c r="D700" s="31"/>
      <c r="E700" s="31"/>
      <c r="F700" s="31"/>
      <c r="H700" s="31"/>
    </row>
    <row r="701" ht="15.75" customHeight="1">
      <c r="A701" s="31"/>
      <c r="B701" s="31"/>
      <c r="C701" s="31"/>
      <c r="D701" s="31"/>
      <c r="E701" s="31"/>
      <c r="F701" s="31"/>
      <c r="H701" s="31"/>
    </row>
    <row r="702" ht="15.75" customHeight="1">
      <c r="A702" s="31"/>
      <c r="B702" s="31"/>
      <c r="C702" s="31"/>
      <c r="D702" s="31"/>
      <c r="E702" s="31"/>
      <c r="F702" s="31"/>
      <c r="H702" s="31"/>
    </row>
    <row r="703" ht="15.75" customHeight="1">
      <c r="A703" s="31"/>
      <c r="B703" s="31"/>
      <c r="C703" s="31"/>
      <c r="D703" s="31"/>
      <c r="E703" s="31"/>
      <c r="F703" s="31"/>
      <c r="H703" s="31"/>
    </row>
    <row r="704" ht="15.75" customHeight="1">
      <c r="A704" s="31"/>
      <c r="B704" s="31"/>
      <c r="C704" s="31"/>
      <c r="D704" s="31"/>
      <c r="E704" s="31"/>
      <c r="F704" s="31"/>
      <c r="H704" s="31"/>
    </row>
    <row r="705" ht="15.75" customHeight="1">
      <c r="A705" s="31"/>
      <c r="B705" s="31"/>
      <c r="C705" s="31"/>
      <c r="D705" s="31"/>
      <c r="E705" s="31"/>
      <c r="F705" s="31"/>
      <c r="H705" s="31"/>
    </row>
    <row r="706" ht="15.75" customHeight="1">
      <c r="A706" s="31"/>
      <c r="B706" s="31"/>
      <c r="C706" s="31"/>
      <c r="D706" s="31"/>
      <c r="E706" s="31"/>
      <c r="F706" s="31"/>
      <c r="H706" s="31"/>
    </row>
    <row r="707" ht="15.75" customHeight="1">
      <c r="A707" s="31"/>
      <c r="B707" s="31"/>
      <c r="C707" s="31"/>
      <c r="D707" s="31"/>
      <c r="E707" s="31"/>
      <c r="F707" s="31"/>
      <c r="H707" s="31"/>
    </row>
    <row r="708" ht="15.75" customHeight="1">
      <c r="A708" s="31"/>
      <c r="B708" s="31"/>
      <c r="C708" s="31"/>
      <c r="D708" s="31"/>
      <c r="E708" s="31"/>
      <c r="F708" s="31"/>
      <c r="H708" s="31"/>
    </row>
    <row r="709" ht="15.75" customHeight="1">
      <c r="A709" s="31"/>
      <c r="B709" s="31"/>
      <c r="C709" s="31"/>
      <c r="D709" s="31"/>
      <c r="E709" s="31"/>
      <c r="F709" s="31"/>
      <c r="H709" s="31"/>
    </row>
    <row r="710" ht="15.75" customHeight="1">
      <c r="A710" s="31"/>
      <c r="B710" s="31"/>
      <c r="C710" s="31"/>
      <c r="D710" s="31"/>
      <c r="E710" s="31"/>
      <c r="F710" s="31"/>
      <c r="H710" s="31"/>
    </row>
    <row r="711" ht="15.75" customHeight="1">
      <c r="A711" s="31"/>
      <c r="B711" s="31"/>
      <c r="C711" s="31"/>
      <c r="D711" s="31"/>
      <c r="E711" s="31"/>
      <c r="F711" s="31"/>
      <c r="H711" s="31"/>
    </row>
    <row r="712" ht="15.75" customHeight="1">
      <c r="A712" s="31"/>
      <c r="B712" s="31"/>
      <c r="C712" s="31"/>
      <c r="D712" s="31"/>
      <c r="E712" s="31"/>
      <c r="F712" s="31"/>
      <c r="H712" s="31"/>
    </row>
    <row r="713" ht="15.75" customHeight="1">
      <c r="A713" s="31"/>
      <c r="B713" s="31"/>
      <c r="C713" s="31"/>
      <c r="D713" s="31"/>
      <c r="E713" s="31"/>
      <c r="F713" s="31"/>
      <c r="H713" s="31"/>
    </row>
    <row r="714" ht="15.75" customHeight="1">
      <c r="A714" s="31"/>
      <c r="B714" s="31"/>
      <c r="C714" s="31"/>
      <c r="D714" s="31"/>
      <c r="E714" s="31"/>
      <c r="F714" s="31"/>
      <c r="H714" s="31"/>
    </row>
    <row r="715" ht="15.75" customHeight="1">
      <c r="A715" s="31"/>
      <c r="B715" s="31"/>
      <c r="C715" s="31"/>
      <c r="D715" s="31"/>
      <c r="E715" s="31"/>
      <c r="F715" s="31"/>
      <c r="H715" s="31"/>
    </row>
    <row r="716" ht="15.75" customHeight="1">
      <c r="A716" s="31"/>
      <c r="B716" s="31"/>
      <c r="C716" s="31"/>
      <c r="D716" s="31"/>
      <c r="E716" s="31"/>
      <c r="F716" s="31"/>
      <c r="H716" s="31"/>
    </row>
    <row r="717" ht="15.75" customHeight="1">
      <c r="A717" s="31"/>
      <c r="B717" s="31"/>
      <c r="C717" s="31"/>
      <c r="D717" s="31"/>
      <c r="E717" s="31"/>
      <c r="F717" s="31"/>
      <c r="H717" s="31"/>
    </row>
    <row r="718" ht="15.75" customHeight="1">
      <c r="A718" s="31"/>
      <c r="B718" s="31"/>
      <c r="C718" s="31"/>
      <c r="D718" s="31"/>
      <c r="E718" s="31"/>
      <c r="F718" s="31"/>
      <c r="H718" s="31"/>
    </row>
    <row r="719" ht="15.75" customHeight="1">
      <c r="A719" s="31"/>
      <c r="B719" s="31"/>
      <c r="C719" s="31"/>
      <c r="D719" s="31"/>
      <c r="E719" s="31"/>
      <c r="F719" s="31"/>
      <c r="H719" s="31"/>
    </row>
    <row r="720" ht="15.75" customHeight="1">
      <c r="A720" s="31"/>
      <c r="B720" s="31"/>
      <c r="C720" s="31"/>
      <c r="D720" s="31"/>
      <c r="E720" s="31"/>
      <c r="F720" s="31"/>
      <c r="H720" s="31"/>
    </row>
    <row r="721" ht="15.75" customHeight="1">
      <c r="A721" s="31"/>
      <c r="B721" s="31"/>
      <c r="C721" s="31"/>
      <c r="D721" s="31"/>
      <c r="E721" s="31"/>
      <c r="F721" s="31"/>
      <c r="H721" s="31"/>
    </row>
    <row r="722" ht="15.75" customHeight="1">
      <c r="A722" s="31"/>
      <c r="B722" s="31"/>
      <c r="C722" s="31"/>
      <c r="D722" s="31"/>
      <c r="E722" s="31"/>
      <c r="F722" s="31"/>
      <c r="H722" s="31"/>
    </row>
    <row r="723" ht="15.75" customHeight="1">
      <c r="A723" s="31"/>
      <c r="B723" s="31"/>
      <c r="C723" s="31"/>
      <c r="D723" s="31"/>
      <c r="E723" s="31"/>
      <c r="F723" s="31"/>
      <c r="H723" s="31"/>
    </row>
    <row r="724" ht="15.75" customHeight="1">
      <c r="A724" s="31"/>
      <c r="B724" s="31"/>
      <c r="C724" s="31"/>
      <c r="D724" s="31"/>
      <c r="E724" s="31"/>
      <c r="F724" s="31"/>
      <c r="H724" s="31"/>
    </row>
    <row r="725" ht="15.75" customHeight="1">
      <c r="A725" s="31"/>
      <c r="B725" s="31"/>
      <c r="C725" s="31"/>
      <c r="D725" s="31"/>
      <c r="E725" s="31"/>
      <c r="F725" s="31"/>
      <c r="H725" s="31"/>
    </row>
    <row r="726" ht="15.75" customHeight="1">
      <c r="A726" s="31"/>
      <c r="B726" s="31"/>
      <c r="C726" s="31"/>
      <c r="D726" s="31"/>
      <c r="E726" s="31"/>
      <c r="F726" s="31"/>
      <c r="H726" s="31"/>
    </row>
    <row r="727" ht="15.75" customHeight="1">
      <c r="A727" s="31"/>
      <c r="B727" s="31"/>
      <c r="C727" s="31"/>
      <c r="D727" s="31"/>
      <c r="E727" s="31"/>
      <c r="F727" s="31"/>
      <c r="H727" s="31"/>
    </row>
    <row r="728" ht="15.75" customHeight="1">
      <c r="A728" s="31"/>
      <c r="B728" s="31"/>
      <c r="C728" s="31"/>
      <c r="D728" s="31"/>
      <c r="E728" s="31"/>
      <c r="F728" s="31"/>
      <c r="H728" s="31"/>
    </row>
    <row r="729" ht="15.75" customHeight="1">
      <c r="A729" s="31"/>
      <c r="B729" s="31"/>
      <c r="C729" s="31"/>
      <c r="D729" s="31"/>
      <c r="E729" s="31"/>
      <c r="F729" s="31"/>
      <c r="H729" s="31"/>
    </row>
    <row r="730" ht="15.75" customHeight="1">
      <c r="A730" s="31"/>
      <c r="B730" s="31"/>
      <c r="C730" s="31"/>
      <c r="D730" s="31"/>
      <c r="E730" s="31"/>
      <c r="F730" s="31"/>
      <c r="H730" s="31"/>
    </row>
    <row r="731" ht="15.75" customHeight="1">
      <c r="A731" s="31"/>
      <c r="B731" s="31"/>
      <c r="C731" s="31"/>
      <c r="D731" s="31"/>
      <c r="E731" s="31"/>
      <c r="F731" s="31"/>
      <c r="H731" s="31"/>
    </row>
    <row r="732" ht="15.75" customHeight="1">
      <c r="A732" s="31"/>
      <c r="B732" s="31"/>
      <c r="C732" s="31"/>
      <c r="D732" s="31"/>
      <c r="E732" s="31"/>
      <c r="F732" s="31"/>
      <c r="H732" s="31"/>
    </row>
    <row r="733" ht="15.75" customHeight="1">
      <c r="A733" s="31"/>
      <c r="B733" s="31"/>
      <c r="C733" s="31"/>
      <c r="D733" s="31"/>
      <c r="E733" s="31"/>
      <c r="F733" s="31"/>
      <c r="H733" s="31"/>
    </row>
    <row r="734" ht="15.75" customHeight="1">
      <c r="A734" s="31"/>
      <c r="B734" s="31"/>
      <c r="C734" s="31"/>
      <c r="D734" s="31"/>
      <c r="E734" s="31"/>
      <c r="F734" s="31"/>
      <c r="H734" s="31"/>
    </row>
    <row r="735" ht="15.75" customHeight="1">
      <c r="A735" s="31"/>
      <c r="B735" s="31"/>
      <c r="C735" s="31"/>
      <c r="D735" s="31"/>
      <c r="E735" s="31"/>
      <c r="F735" s="31"/>
      <c r="H735" s="31"/>
    </row>
    <row r="736" ht="15.75" customHeight="1">
      <c r="A736" s="31"/>
      <c r="B736" s="31"/>
      <c r="C736" s="31"/>
      <c r="D736" s="31"/>
      <c r="E736" s="31"/>
      <c r="F736" s="31"/>
      <c r="H736" s="31"/>
    </row>
    <row r="737" ht="15.75" customHeight="1">
      <c r="A737" s="31"/>
      <c r="B737" s="31"/>
      <c r="C737" s="31"/>
      <c r="D737" s="31"/>
      <c r="E737" s="31"/>
      <c r="F737" s="31"/>
      <c r="H737" s="31"/>
    </row>
    <row r="738" ht="15.75" customHeight="1">
      <c r="A738" s="31"/>
      <c r="B738" s="31"/>
      <c r="C738" s="31"/>
      <c r="D738" s="31"/>
      <c r="E738" s="31"/>
      <c r="F738" s="31"/>
      <c r="H738" s="31"/>
    </row>
    <row r="739" ht="15.75" customHeight="1">
      <c r="A739" s="31"/>
      <c r="B739" s="31"/>
      <c r="C739" s="31"/>
      <c r="D739" s="31"/>
      <c r="E739" s="31"/>
      <c r="F739" s="31"/>
      <c r="H739" s="31"/>
    </row>
    <row r="740" ht="15.75" customHeight="1">
      <c r="A740" s="31"/>
      <c r="B740" s="31"/>
      <c r="C740" s="31"/>
      <c r="D740" s="31"/>
      <c r="E740" s="31"/>
      <c r="F740" s="31"/>
      <c r="H740" s="31"/>
    </row>
    <row r="741" ht="15.75" customHeight="1">
      <c r="A741" s="31"/>
      <c r="B741" s="31"/>
      <c r="C741" s="31"/>
      <c r="D741" s="31"/>
      <c r="E741" s="31"/>
      <c r="F741" s="31"/>
      <c r="H741" s="31"/>
    </row>
    <row r="742" ht="15.75" customHeight="1">
      <c r="A742" s="31"/>
      <c r="B742" s="31"/>
      <c r="C742" s="31"/>
      <c r="D742" s="31"/>
      <c r="E742" s="31"/>
      <c r="F742" s="31"/>
      <c r="H742" s="31"/>
    </row>
    <row r="743" ht="15.75" customHeight="1">
      <c r="A743" s="31"/>
      <c r="B743" s="31"/>
      <c r="C743" s="31"/>
      <c r="D743" s="31"/>
      <c r="E743" s="31"/>
      <c r="F743" s="31"/>
      <c r="H743" s="31"/>
    </row>
    <row r="744" ht="15.75" customHeight="1">
      <c r="A744" s="31"/>
      <c r="B744" s="31"/>
      <c r="C744" s="31"/>
      <c r="D744" s="31"/>
      <c r="E744" s="31"/>
      <c r="F744" s="31"/>
      <c r="H744" s="31"/>
    </row>
    <row r="745" ht="15.75" customHeight="1">
      <c r="A745" s="31"/>
      <c r="B745" s="31"/>
      <c r="C745" s="31"/>
      <c r="D745" s="31"/>
      <c r="E745" s="31"/>
      <c r="F745" s="31"/>
      <c r="H745" s="31"/>
    </row>
    <row r="746" ht="15.75" customHeight="1">
      <c r="A746" s="31"/>
      <c r="B746" s="31"/>
      <c r="C746" s="31"/>
      <c r="D746" s="31"/>
      <c r="E746" s="31"/>
      <c r="F746" s="31"/>
      <c r="H746" s="31"/>
    </row>
    <row r="747" ht="15.75" customHeight="1">
      <c r="A747" s="31"/>
      <c r="B747" s="31"/>
      <c r="C747" s="31"/>
      <c r="D747" s="31"/>
      <c r="E747" s="31"/>
      <c r="F747" s="31"/>
      <c r="H747" s="31"/>
    </row>
    <row r="748" ht="15.75" customHeight="1">
      <c r="A748" s="31"/>
      <c r="B748" s="31"/>
      <c r="C748" s="31"/>
      <c r="D748" s="31"/>
      <c r="E748" s="31"/>
      <c r="F748" s="31"/>
      <c r="H748" s="31"/>
    </row>
    <row r="749" ht="15.75" customHeight="1">
      <c r="A749" s="31"/>
      <c r="B749" s="31"/>
      <c r="C749" s="31"/>
      <c r="D749" s="31"/>
      <c r="E749" s="31"/>
      <c r="F749" s="31"/>
      <c r="H749" s="31"/>
    </row>
    <row r="750" ht="15.75" customHeight="1">
      <c r="A750" s="31"/>
      <c r="B750" s="31"/>
      <c r="C750" s="31"/>
      <c r="D750" s="31"/>
      <c r="E750" s="31"/>
      <c r="F750" s="31"/>
      <c r="H750" s="31"/>
    </row>
    <row r="751" ht="15.75" customHeight="1">
      <c r="A751" s="31"/>
      <c r="B751" s="31"/>
      <c r="C751" s="31"/>
      <c r="D751" s="31"/>
      <c r="E751" s="31"/>
      <c r="F751" s="31"/>
      <c r="H751" s="31"/>
    </row>
    <row r="752" ht="15.75" customHeight="1">
      <c r="A752" s="31"/>
      <c r="B752" s="31"/>
      <c r="C752" s="31"/>
      <c r="D752" s="31"/>
      <c r="E752" s="31"/>
      <c r="F752" s="31"/>
      <c r="H752" s="31"/>
    </row>
    <row r="753" ht="15.75" customHeight="1">
      <c r="A753" s="31"/>
      <c r="B753" s="31"/>
      <c r="C753" s="31"/>
      <c r="D753" s="31"/>
      <c r="E753" s="31"/>
      <c r="F753" s="31"/>
      <c r="H753" s="31"/>
    </row>
    <row r="754" ht="15.75" customHeight="1">
      <c r="A754" s="31"/>
      <c r="B754" s="31"/>
      <c r="C754" s="31"/>
      <c r="D754" s="31"/>
      <c r="E754" s="31"/>
      <c r="F754" s="31"/>
      <c r="H754" s="31"/>
    </row>
    <row r="755" ht="15.75" customHeight="1">
      <c r="A755" s="31"/>
      <c r="B755" s="31"/>
      <c r="C755" s="31"/>
      <c r="D755" s="31"/>
      <c r="E755" s="31"/>
      <c r="F755" s="31"/>
      <c r="H755" s="31"/>
    </row>
    <row r="756" ht="15.75" customHeight="1">
      <c r="A756" s="31"/>
      <c r="B756" s="31"/>
      <c r="C756" s="31"/>
      <c r="D756" s="31"/>
      <c r="E756" s="31"/>
      <c r="F756" s="31"/>
      <c r="H756" s="31"/>
    </row>
    <row r="757" ht="15.75" customHeight="1">
      <c r="A757" s="31"/>
      <c r="B757" s="31"/>
      <c r="C757" s="31"/>
      <c r="D757" s="31"/>
      <c r="E757" s="31"/>
      <c r="F757" s="31"/>
      <c r="H757" s="31"/>
    </row>
    <row r="758" ht="15.75" customHeight="1">
      <c r="A758" s="31"/>
      <c r="B758" s="31"/>
      <c r="C758" s="31"/>
      <c r="D758" s="31"/>
      <c r="E758" s="31"/>
      <c r="F758" s="31"/>
      <c r="H758" s="31"/>
    </row>
    <row r="759" ht="15.75" customHeight="1">
      <c r="A759" s="31"/>
      <c r="B759" s="31"/>
      <c r="C759" s="31"/>
      <c r="D759" s="31"/>
      <c r="E759" s="31"/>
      <c r="F759" s="31"/>
      <c r="H759" s="31"/>
    </row>
    <row r="760" ht="15.75" customHeight="1">
      <c r="A760" s="31"/>
      <c r="B760" s="31"/>
      <c r="C760" s="31"/>
      <c r="D760" s="31"/>
      <c r="E760" s="31"/>
      <c r="F760" s="31"/>
      <c r="H760" s="31"/>
    </row>
    <row r="761" ht="15.75" customHeight="1">
      <c r="A761" s="31"/>
      <c r="B761" s="31"/>
      <c r="C761" s="31"/>
      <c r="D761" s="31"/>
      <c r="E761" s="31"/>
      <c r="F761" s="31"/>
      <c r="H761" s="31"/>
    </row>
    <row r="762" ht="15.75" customHeight="1">
      <c r="A762" s="31"/>
      <c r="B762" s="31"/>
      <c r="C762" s="31"/>
      <c r="D762" s="31"/>
      <c r="E762" s="31"/>
      <c r="F762" s="31"/>
      <c r="H762" s="31"/>
    </row>
    <row r="763" ht="15.75" customHeight="1">
      <c r="A763" s="31"/>
      <c r="B763" s="31"/>
      <c r="C763" s="31"/>
      <c r="D763" s="31"/>
      <c r="E763" s="31"/>
      <c r="F763" s="31"/>
      <c r="H763" s="31"/>
    </row>
    <row r="764" ht="15.75" customHeight="1">
      <c r="A764" s="31"/>
      <c r="B764" s="31"/>
      <c r="C764" s="31"/>
      <c r="D764" s="31"/>
      <c r="E764" s="31"/>
      <c r="F764" s="31"/>
      <c r="H764" s="31"/>
    </row>
    <row r="765" ht="15.75" customHeight="1">
      <c r="A765" s="31"/>
      <c r="B765" s="31"/>
      <c r="C765" s="31"/>
      <c r="D765" s="31"/>
      <c r="E765" s="31"/>
      <c r="F765" s="31"/>
      <c r="H765" s="31"/>
    </row>
    <row r="766" ht="15.75" customHeight="1">
      <c r="A766" s="31"/>
      <c r="B766" s="31"/>
      <c r="C766" s="31"/>
      <c r="D766" s="31"/>
      <c r="E766" s="31"/>
      <c r="F766" s="31"/>
      <c r="H766" s="31"/>
    </row>
    <row r="767" ht="15.75" customHeight="1">
      <c r="A767" s="31"/>
      <c r="B767" s="31"/>
      <c r="C767" s="31"/>
      <c r="D767" s="31"/>
      <c r="E767" s="31"/>
      <c r="F767" s="31"/>
      <c r="H767" s="31"/>
    </row>
    <row r="768" ht="15.75" customHeight="1">
      <c r="A768" s="31"/>
      <c r="B768" s="31"/>
      <c r="C768" s="31"/>
      <c r="D768" s="31"/>
      <c r="E768" s="31"/>
      <c r="F768" s="31"/>
      <c r="H768" s="31"/>
    </row>
    <row r="769" ht="15.75" customHeight="1">
      <c r="A769" s="31"/>
      <c r="B769" s="31"/>
      <c r="C769" s="31"/>
      <c r="D769" s="31"/>
      <c r="E769" s="31"/>
      <c r="F769" s="31"/>
      <c r="H769" s="31"/>
    </row>
    <row r="770" ht="15.75" customHeight="1">
      <c r="A770" s="31"/>
      <c r="B770" s="31"/>
      <c r="C770" s="31"/>
      <c r="D770" s="31"/>
      <c r="E770" s="31"/>
      <c r="F770" s="31"/>
      <c r="H770" s="31"/>
    </row>
    <row r="771" ht="15.75" customHeight="1">
      <c r="A771" s="31"/>
      <c r="B771" s="31"/>
      <c r="C771" s="31"/>
      <c r="D771" s="31"/>
      <c r="E771" s="31"/>
      <c r="F771" s="31"/>
      <c r="H771" s="31"/>
    </row>
    <row r="772" ht="15.75" customHeight="1">
      <c r="A772" s="31"/>
      <c r="B772" s="31"/>
      <c r="C772" s="31"/>
      <c r="D772" s="31"/>
      <c r="E772" s="31"/>
      <c r="F772" s="31"/>
      <c r="H772" s="31"/>
    </row>
    <row r="773" ht="15.75" customHeight="1">
      <c r="A773" s="31"/>
      <c r="B773" s="31"/>
      <c r="C773" s="31"/>
      <c r="D773" s="31"/>
      <c r="E773" s="31"/>
      <c r="F773" s="31"/>
      <c r="H773" s="31"/>
    </row>
    <row r="774" ht="15.75" customHeight="1">
      <c r="A774" s="31"/>
      <c r="B774" s="31"/>
      <c r="C774" s="31"/>
      <c r="D774" s="31"/>
      <c r="E774" s="31"/>
      <c r="F774" s="31"/>
      <c r="H774" s="31"/>
    </row>
    <row r="775" ht="15.75" customHeight="1">
      <c r="A775" s="31"/>
      <c r="B775" s="31"/>
      <c r="C775" s="31"/>
      <c r="D775" s="31"/>
      <c r="E775" s="31"/>
      <c r="F775" s="31"/>
      <c r="H775" s="31"/>
    </row>
    <row r="776" ht="15.75" customHeight="1">
      <c r="A776" s="31"/>
      <c r="B776" s="31"/>
      <c r="C776" s="31"/>
      <c r="D776" s="31"/>
      <c r="E776" s="31"/>
      <c r="F776" s="31"/>
      <c r="H776" s="31"/>
    </row>
    <row r="777" ht="15.75" customHeight="1">
      <c r="A777" s="31"/>
      <c r="B777" s="31"/>
      <c r="C777" s="31"/>
      <c r="D777" s="31"/>
      <c r="E777" s="31"/>
      <c r="F777" s="31"/>
      <c r="H777" s="31"/>
    </row>
    <row r="778" ht="15.75" customHeight="1">
      <c r="A778" s="31"/>
      <c r="B778" s="31"/>
      <c r="C778" s="31"/>
      <c r="D778" s="31"/>
      <c r="E778" s="31"/>
      <c r="F778" s="31"/>
      <c r="H778" s="31"/>
    </row>
    <row r="779" ht="15.75" customHeight="1">
      <c r="A779" s="31"/>
      <c r="B779" s="31"/>
      <c r="C779" s="31"/>
      <c r="D779" s="31"/>
      <c r="E779" s="31"/>
      <c r="F779" s="31"/>
      <c r="H779" s="31"/>
    </row>
    <row r="780" ht="15.75" customHeight="1">
      <c r="A780" s="31"/>
      <c r="B780" s="31"/>
      <c r="C780" s="31"/>
      <c r="D780" s="31"/>
      <c r="E780" s="31"/>
      <c r="F780" s="31"/>
      <c r="H780" s="31"/>
    </row>
    <row r="781" ht="15.75" customHeight="1">
      <c r="A781" s="31"/>
      <c r="B781" s="31"/>
      <c r="C781" s="31"/>
      <c r="D781" s="31"/>
      <c r="E781" s="31"/>
      <c r="F781" s="31"/>
      <c r="H781" s="31"/>
    </row>
    <row r="782" ht="15.75" customHeight="1">
      <c r="A782" s="31"/>
      <c r="B782" s="31"/>
      <c r="C782" s="31"/>
      <c r="D782" s="31"/>
      <c r="E782" s="31"/>
      <c r="F782" s="31"/>
      <c r="H782" s="31"/>
    </row>
    <row r="783" ht="15.75" customHeight="1">
      <c r="A783" s="31"/>
      <c r="B783" s="31"/>
      <c r="C783" s="31"/>
      <c r="D783" s="31"/>
      <c r="E783" s="31"/>
      <c r="F783" s="31"/>
      <c r="H783" s="31"/>
    </row>
    <row r="784" ht="15.75" customHeight="1">
      <c r="A784" s="31"/>
      <c r="B784" s="31"/>
      <c r="C784" s="31"/>
      <c r="D784" s="31"/>
      <c r="E784" s="31"/>
      <c r="F784" s="31"/>
      <c r="H784" s="31"/>
    </row>
    <row r="785" ht="15.75" customHeight="1">
      <c r="A785" s="31"/>
      <c r="B785" s="31"/>
      <c r="C785" s="31"/>
      <c r="D785" s="31"/>
      <c r="E785" s="31"/>
      <c r="F785" s="31"/>
      <c r="H785" s="31"/>
    </row>
    <row r="786" ht="15.75" customHeight="1">
      <c r="A786" s="31"/>
      <c r="B786" s="31"/>
      <c r="C786" s="31"/>
      <c r="D786" s="31"/>
      <c r="E786" s="31"/>
      <c r="F786" s="31"/>
      <c r="H786" s="31"/>
    </row>
    <row r="787" ht="15.75" customHeight="1">
      <c r="A787" s="31"/>
      <c r="B787" s="31"/>
      <c r="C787" s="31"/>
      <c r="D787" s="31"/>
      <c r="E787" s="31"/>
      <c r="F787" s="31"/>
      <c r="H787" s="31"/>
    </row>
    <row r="788" ht="15.75" customHeight="1">
      <c r="A788" s="31"/>
      <c r="B788" s="31"/>
      <c r="C788" s="31"/>
      <c r="D788" s="31"/>
      <c r="E788" s="31"/>
      <c r="F788" s="31"/>
      <c r="H788" s="31"/>
    </row>
    <row r="789" ht="15.75" customHeight="1">
      <c r="A789" s="31"/>
      <c r="B789" s="31"/>
      <c r="C789" s="31"/>
      <c r="D789" s="31"/>
      <c r="E789" s="31"/>
      <c r="F789" s="31"/>
      <c r="H789" s="31"/>
    </row>
    <row r="790" ht="15.75" customHeight="1">
      <c r="A790" s="31"/>
      <c r="B790" s="31"/>
      <c r="C790" s="31"/>
      <c r="D790" s="31"/>
      <c r="E790" s="31"/>
      <c r="F790" s="31"/>
      <c r="H790" s="31"/>
    </row>
    <row r="791" ht="15.75" customHeight="1">
      <c r="A791" s="31"/>
      <c r="B791" s="31"/>
      <c r="C791" s="31"/>
      <c r="D791" s="31"/>
      <c r="E791" s="31"/>
      <c r="F791" s="31"/>
      <c r="H791" s="31"/>
    </row>
    <row r="792" ht="15.75" customHeight="1">
      <c r="A792" s="31"/>
      <c r="B792" s="31"/>
      <c r="C792" s="31"/>
      <c r="D792" s="31"/>
      <c r="E792" s="31"/>
      <c r="F792" s="31"/>
      <c r="H792" s="31"/>
    </row>
    <row r="793" ht="15.75" customHeight="1">
      <c r="A793" s="31"/>
      <c r="B793" s="31"/>
      <c r="C793" s="31"/>
      <c r="D793" s="31"/>
      <c r="E793" s="31"/>
      <c r="F793" s="31"/>
      <c r="H793" s="31"/>
    </row>
    <row r="794" ht="15.75" customHeight="1">
      <c r="A794" s="31"/>
      <c r="B794" s="31"/>
      <c r="C794" s="31"/>
      <c r="D794" s="31"/>
      <c r="E794" s="31"/>
      <c r="F794" s="31"/>
      <c r="H794" s="31"/>
    </row>
    <row r="795" ht="15.75" customHeight="1">
      <c r="A795" s="31"/>
      <c r="B795" s="31"/>
      <c r="C795" s="31"/>
      <c r="D795" s="31"/>
      <c r="E795" s="31"/>
      <c r="F795" s="31"/>
      <c r="H795" s="31"/>
    </row>
    <row r="796" ht="15.75" customHeight="1">
      <c r="A796" s="31"/>
      <c r="B796" s="31"/>
      <c r="C796" s="31"/>
      <c r="D796" s="31"/>
      <c r="E796" s="31"/>
      <c r="F796" s="31"/>
      <c r="H796" s="31"/>
    </row>
    <row r="797" ht="15.75" customHeight="1">
      <c r="A797" s="31"/>
      <c r="B797" s="31"/>
      <c r="C797" s="31"/>
      <c r="D797" s="31"/>
      <c r="E797" s="31"/>
      <c r="F797" s="31"/>
      <c r="H797" s="31"/>
    </row>
    <row r="798" ht="15.75" customHeight="1">
      <c r="A798" s="31"/>
      <c r="B798" s="31"/>
      <c r="C798" s="31"/>
      <c r="D798" s="31"/>
      <c r="E798" s="31"/>
      <c r="F798" s="31"/>
      <c r="H798" s="31"/>
    </row>
    <row r="799" ht="15.75" customHeight="1">
      <c r="A799" s="31"/>
      <c r="B799" s="31"/>
      <c r="C799" s="31"/>
      <c r="D799" s="31"/>
      <c r="E799" s="31"/>
      <c r="F799" s="31"/>
      <c r="H799" s="31"/>
    </row>
    <row r="800" ht="15.75" customHeight="1">
      <c r="A800" s="31"/>
      <c r="B800" s="31"/>
      <c r="C800" s="31"/>
      <c r="D800" s="31"/>
      <c r="E800" s="31"/>
      <c r="F800" s="31"/>
      <c r="H800" s="31"/>
    </row>
    <row r="801" ht="15.75" customHeight="1">
      <c r="A801" s="31"/>
      <c r="B801" s="31"/>
      <c r="C801" s="31"/>
      <c r="D801" s="31"/>
      <c r="E801" s="31"/>
      <c r="F801" s="31"/>
      <c r="H801" s="31"/>
    </row>
    <row r="802" ht="15.75" customHeight="1">
      <c r="A802" s="31"/>
      <c r="B802" s="31"/>
      <c r="C802" s="31"/>
      <c r="D802" s="31"/>
      <c r="E802" s="31"/>
      <c r="F802" s="31"/>
      <c r="H802" s="31"/>
    </row>
    <row r="803" ht="15.75" customHeight="1">
      <c r="A803" s="31"/>
      <c r="B803" s="31"/>
      <c r="C803" s="31"/>
      <c r="D803" s="31"/>
      <c r="E803" s="31"/>
      <c r="F803" s="31"/>
      <c r="H803" s="31"/>
    </row>
    <row r="804" ht="15.75" customHeight="1">
      <c r="A804" s="31"/>
      <c r="B804" s="31"/>
      <c r="C804" s="31"/>
      <c r="D804" s="31"/>
      <c r="E804" s="31"/>
      <c r="F804" s="31"/>
      <c r="H804" s="31"/>
    </row>
    <row r="805" ht="15.75" customHeight="1">
      <c r="A805" s="31"/>
      <c r="B805" s="31"/>
      <c r="C805" s="31"/>
      <c r="D805" s="31"/>
      <c r="E805" s="31"/>
      <c r="F805" s="31"/>
      <c r="H805" s="31"/>
    </row>
    <row r="806" ht="15.75" customHeight="1">
      <c r="A806" s="31"/>
      <c r="B806" s="31"/>
      <c r="C806" s="31"/>
      <c r="D806" s="31"/>
      <c r="E806" s="31"/>
      <c r="F806" s="31"/>
      <c r="H806" s="31"/>
    </row>
    <row r="807" ht="15.75" customHeight="1">
      <c r="A807" s="31"/>
      <c r="B807" s="31"/>
      <c r="C807" s="31"/>
      <c r="D807" s="31"/>
      <c r="E807" s="31"/>
      <c r="F807" s="31"/>
      <c r="H807" s="31"/>
    </row>
    <row r="808" ht="15.75" customHeight="1">
      <c r="A808" s="31"/>
      <c r="B808" s="31"/>
      <c r="C808" s="31"/>
      <c r="D808" s="31"/>
      <c r="E808" s="31"/>
      <c r="F808" s="31"/>
      <c r="H808" s="31"/>
    </row>
    <row r="809" ht="15.75" customHeight="1">
      <c r="A809" s="31"/>
      <c r="B809" s="31"/>
      <c r="C809" s="31"/>
      <c r="D809" s="31"/>
      <c r="E809" s="31"/>
      <c r="F809" s="31"/>
      <c r="H809" s="31"/>
    </row>
    <row r="810" ht="15.75" customHeight="1">
      <c r="A810" s="31"/>
      <c r="B810" s="31"/>
      <c r="C810" s="31"/>
      <c r="D810" s="31"/>
      <c r="E810" s="31"/>
      <c r="F810" s="31"/>
      <c r="H810" s="31"/>
    </row>
    <row r="811" ht="15.75" customHeight="1">
      <c r="A811" s="31"/>
      <c r="B811" s="31"/>
      <c r="C811" s="31"/>
      <c r="D811" s="31"/>
      <c r="E811" s="31"/>
      <c r="F811" s="31"/>
      <c r="H811" s="31"/>
    </row>
    <row r="812" ht="15.75" customHeight="1">
      <c r="A812" s="31"/>
      <c r="B812" s="31"/>
      <c r="C812" s="31"/>
      <c r="D812" s="31"/>
      <c r="E812" s="31"/>
      <c r="F812" s="31"/>
      <c r="H812" s="31"/>
    </row>
    <row r="813" ht="15.75" customHeight="1">
      <c r="A813" s="31"/>
      <c r="B813" s="31"/>
      <c r="C813" s="31"/>
      <c r="D813" s="31"/>
      <c r="E813" s="31"/>
      <c r="F813" s="31"/>
      <c r="H813" s="31"/>
    </row>
    <row r="814" ht="15.75" customHeight="1">
      <c r="A814" s="31"/>
      <c r="B814" s="31"/>
      <c r="C814" s="31"/>
      <c r="D814" s="31"/>
      <c r="E814" s="31"/>
      <c r="F814" s="31"/>
      <c r="H814" s="31"/>
    </row>
    <row r="815" ht="15.75" customHeight="1">
      <c r="A815" s="31"/>
      <c r="B815" s="31"/>
      <c r="C815" s="31"/>
      <c r="D815" s="31"/>
      <c r="E815" s="31"/>
      <c r="F815" s="31"/>
      <c r="H815" s="31"/>
    </row>
    <row r="816" ht="15.75" customHeight="1">
      <c r="A816" s="31"/>
      <c r="B816" s="31"/>
      <c r="C816" s="31"/>
      <c r="D816" s="31"/>
      <c r="E816" s="31"/>
      <c r="F816" s="31"/>
      <c r="H816" s="31"/>
    </row>
    <row r="817" ht="15.75" customHeight="1">
      <c r="A817" s="31"/>
      <c r="B817" s="31"/>
      <c r="C817" s="31"/>
      <c r="D817" s="31"/>
      <c r="E817" s="31"/>
      <c r="F817" s="31"/>
      <c r="H817" s="31"/>
    </row>
    <row r="818" ht="15.75" customHeight="1">
      <c r="A818" s="31"/>
      <c r="B818" s="31"/>
      <c r="C818" s="31"/>
      <c r="D818" s="31"/>
      <c r="E818" s="31"/>
      <c r="F818" s="31"/>
      <c r="H818" s="31"/>
    </row>
    <row r="819" ht="15.75" customHeight="1">
      <c r="A819" s="31"/>
      <c r="B819" s="31"/>
      <c r="C819" s="31"/>
      <c r="D819" s="31"/>
      <c r="E819" s="31"/>
      <c r="F819" s="31"/>
      <c r="H819" s="31"/>
    </row>
    <row r="820" ht="15.75" customHeight="1">
      <c r="A820" s="31"/>
      <c r="B820" s="31"/>
      <c r="C820" s="31"/>
      <c r="D820" s="31"/>
      <c r="E820" s="31"/>
      <c r="F820" s="31"/>
      <c r="H820" s="31"/>
    </row>
    <row r="821" ht="15.75" customHeight="1">
      <c r="A821" s="31"/>
      <c r="B821" s="31"/>
      <c r="C821" s="31"/>
      <c r="D821" s="31"/>
      <c r="E821" s="31"/>
      <c r="F821" s="31"/>
      <c r="H821" s="31"/>
    </row>
    <row r="822" ht="15.75" customHeight="1">
      <c r="A822" s="31"/>
      <c r="B822" s="31"/>
      <c r="C822" s="31"/>
      <c r="D822" s="31"/>
      <c r="E822" s="31"/>
      <c r="F822" s="31"/>
      <c r="H822" s="31"/>
    </row>
    <row r="823" ht="15.75" customHeight="1">
      <c r="A823" s="31"/>
      <c r="B823" s="31"/>
      <c r="C823" s="31"/>
      <c r="D823" s="31"/>
      <c r="E823" s="31"/>
      <c r="F823" s="31"/>
      <c r="H823" s="31"/>
    </row>
    <row r="824" ht="15.75" customHeight="1">
      <c r="A824" s="31"/>
      <c r="B824" s="31"/>
      <c r="C824" s="31"/>
      <c r="D824" s="31"/>
      <c r="E824" s="31"/>
      <c r="F824" s="31"/>
      <c r="H824" s="31"/>
    </row>
    <row r="825" ht="15.75" customHeight="1">
      <c r="A825" s="31"/>
      <c r="B825" s="31"/>
      <c r="C825" s="31"/>
      <c r="D825" s="31"/>
      <c r="E825" s="31"/>
      <c r="F825" s="31"/>
      <c r="H825" s="31"/>
    </row>
    <row r="826" ht="15.75" customHeight="1">
      <c r="A826" s="31"/>
      <c r="B826" s="31"/>
      <c r="C826" s="31"/>
      <c r="D826" s="31"/>
      <c r="E826" s="31"/>
      <c r="F826" s="31"/>
      <c r="H826" s="31"/>
    </row>
    <row r="827" ht="15.75" customHeight="1">
      <c r="A827" s="31"/>
      <c r="B827" s="31"/>
      <c r="C827" s="31"/>
      <c r="D827" s="31"/>
      <c r="E827" s="31"/>
      <c r="F827" s="31"/>
      <c r="H827" s="31"/>
    </row>
    <row r="828" ht="15.75" customHeight="1">
      <c r="A828" s="31"/>
      <c r="B828" s="31"/>
      <c r="C828" s="31"/>
      <c r="D828" s="31"/>
      <c r="E828" s="31"/>
      <c r="F828" s="31"/>
      <c r="H828" s="31"/>
    </row>
    <row r="829" ht="15.75" customHeight="1">
      <c r="A829" s="31"/>
      <c r="B829" s="31"/>
      <c r="C829" s="31"/>
      <c r="D829" s="31"/>
      <c r="E829" s="31"/>
      <c r="F829" s="31"/>
      <c r="H829" s="31"/>
    </row>
    <row r="830" ht="15.75" customHeight="1">
      <c r="A830" s="31"/>
      <c r="B830" s="31"/>
      <c r="C830" s="31"/>
      <c r="D830" s="31"/>
      <c r="E830" s="31"/>
      <c r="F830" s="31"/>
      <c r="H830" s="31"/>
    </row>
    <row r="831" ht="15.75" customHeight="1">
      <c r="A831" s="31"/>
      <c r="B831" s="31"/>
      <c r="C831" s="31"/>
      <c r="D831" s="31"/>
      <c r="E831" s="31"/>
      <c r="F831" s="31"/>
      <c r="H831" s="31"/>
    </row>
    <row r="832" ht="15.75" customHeight="1">
      <c r="A832" s="31"/>
      <c r="B832" s="31"/>
      <c r="C832" s="31"/>
      <c r="D832" s="31"/>
      <c r="E832" s="31"/>
      <c r="F832" s="31"/>
      <c r="H832" s="31"/>
    </row>
    <row r="833" ht="15.75" customHeight="1">
      <c r="A833" s="31"/>
      <c r="B833" s="31"/>
      <c r="C833" s="31"/>
      <c r="D833" s="31"/>
      <c r="E833" s="31"/>
      <c r="F833" s="31"/>
      <c r="H833" s="31"/>
    </row>
    <row r="834" ht="15.75" customHeight="1">
      <c r="A834" s="31"/>
      <c r="B834" s="31"/>
      <c r="C834" s="31"/>
      <c r="D834" s="31"/>
      <c r="E834" s="31"/>
      <c r="F834" s="31"/>
      <c r="H834" s="31"/>
    </row>
    <row r="835" ht="15.75" customHeight="1">
      <c r="A835" s="31"/>
      <c r="B835" s="31"/>
      <c r="C835" s="31"/>
      <c r="D835" s="31"/>
      <c r="E835" s="31"/>
      <c r="F835" s="31"/>
      <c r="H835" s="31"/>
    </row>
    <row r="836" ht="15.75" customHeight="1">
      <c r="A836" s="31"/>
      <c r="B836" s="31"/>
      <c r="C836" s="31"/>
      <c r="D836" s="31"/>
      <c r="E836" s="31"/>
      <c r="F836" s="31"/>
      <c r="H836" s="31"/>
    </row>
    <row r="837" ht="15.75" customHeight="1">
      <c r="A837" s="31"/>
      <c r="B837" s="31"/>
      <c r="C837" s="31"/>
      <c r="D837" s="31"/>
      <c r="E837" s="31"/>
      <c r="F837" s="31"/>
      <c r="H837" s="31"/>
    </row>
    <row r="838" ht="15.75" customHeight="1">
      <c r="A838" s="31"/>
      <c r="B838" s="31"/>
      <c r="C838" s="31"/>
      <c r="D838" s="31"/>
      <c r="E838" s="31"/>
      <c r="F838" s="31"/>
      <c r="H838" s="31"/>
    </row>
    <row r="839" ht="15.75" customHeight="1">
      <c r="A839" s="31"/>
      <c r="B839" s="31"/>
      <c r="C839" s="31"/>
      <c r="D839" s="31"/>
      <c r="E839" s="31"/>
      <c r="F839" s="31"/>
      <c r="H839" s="31"/>
    </row>
    <row r="840" ht="15.75" customHeight="1">
      <c r="A840" s="31"/>
      <c r="B840" s="31"/>
      <c r="C840" s="31"/>
      <c r="D840" s="31"/>
      <c r="E840" s="31"/>
      <c r="F840" s="31"/>
      <c r="H840" s="31"/>
    </row>
    <row r="841" ht="15.75" customHeight="1">
      <c r="A841" s="31"/>
      <c r="B841" s="31"/>
      <c r="C841" s="31"/>
      <c r="D841" s="31"/>
      <c r="E841" s="31"/>
      <c r="F841" s="31"/>
      <c r="H841" s="31"/>
    </row>
    <row r="842" ht="15.75" customHeight="1">
      <c r="A842" s="31"/>
      <c r="B842" s="31"/>
      <c r="C842" s="31"/>
      <c r="D842" s="31"/>
      <c r="E842" s="31"/>
      <c r="F842" s="31"/>
      <c r="H842" s="31"/>
    </row>
    <row r="843" ht="15.75" customHeight="1">
      <c r="A843" s="31"/>
      <c r="B843" s="31"/>
      <c r="C843" s="31"/>
      <c r="D843" s="31"/>
      <c r="E843" s="31"/>
      <c r="F843" s="31"/>
      <c r="H843" s="31"/>
    </row>
    <row r="844" ht="15.75" customHeight="1">
      <c r="A844" s="31"/>
      <c r="B844" s="31"/>
      <c r="C844" s="31"/>
      <c r="D844" s="31"/>
      <c r="E844" s="31"/>
      <c r="F844" s="31"/>
      <c r="H844" s="31"/>
    </row>
    <row r="845" ht="15.75" customHeight="1">
      <c r="A845" s="31"/>
      <c r="B845" s="31"/>
      <c r="C845" s="31"/>
      <c r="D845" s="31"/>
      <c r="E845" s="31"/>
      <c r="F845" s="31"/>
      <c r="H845" s="31"/>
    </row>
    <row r="846" ht="15.75" customHeight="1">
      <c r="A846" s="31"/>
      <c r="B846" s="31"/>
      <c r="C846" s="31"/>
      <c r="D846" s="31"/>
      <c r="E846" s="31"/>
      <c r="F846" s="31"/>
      <c r="H846" s="31"/>
    </row>
    <row r="847" ht="15.75" customHeight="1">
      <c r="A847" s="31"/>
      <c r="B847" s="31"/>
      <c r="C847" s="31"/>
      <c r="D847" s="31"/>
      <c r="E847" s="31"/>
      <c r="F847" s="31"/>
      <c r="H847" s="31"/>
    </row>
    <row r="848" ht="15.75" customHeight="1">
      <c r="A848" s="31"/>
      <c r="B848" s="31"/>
      <c r="C848" s="31"/>
      <c r="D848" s="31"/>
      <c r="E848" s="31"/>
      <c r="F848" s="31"/>
      <c r="H848" s="31"/>
    </row>
    <row r="849" ht="15.75" customHeight="1">
      <c r="A849" s="31"/>
      <c r="B849" s="31"/>
      <c r="C849" s="31"/>
      <c r="D849" s="31"/>
      <c r="E849" s="31"/>
      <c r="F849" s="31"/>
      <c r="H849" s="31"/>
    </row>
    <row r="850" ht="15.75" customHeight="1">
      <c r="A850" s="31"/>
      <c r="B850" s="31"/>
      <c r="C850" s="31"/>
      <c r="D850" s="31"/>
      <c r="E850" s="31"/>
      <c r="F850" s="31"/>
      <c r="H850" s="31"/>
    </row>
    <row r="851" ht="15.75" customHeight="1">
      <c r="A851" s="31"/>
      <c r="B851" s="31"/>
      <c r="C851" s="31"/>
      <c r="D851" s="31"/>
      <c r="E851" s="31"/>
      <c r="F851" s="31"/>
      <c r="H851" s="31"/>
    </row>
    <row r="852" ht="15.75" customHeight="1">
      <c r="A852" s="31"/>
      <c r="B852" s="31"/>
      <c r="C852" s="31"/>
      <c r="D852" s="31"/>
      <c r="E852" s="31"/>
      <c r="F852" s="31"/>
      <c r="H852" s="31"/>
    </row>
    <row r="853" ht="15.75" customHeight="1">
      <c r="A853" s="31"/>
      <c r="B853" s="31"/>
      <c r="C853" s="31"/>
      <c r="D853" s="31"/>
      <c r="E853" s="31"/>
      <c r="F853" s="31"/>
      <c r="H853" s="31"/>
    </row>
    <row r="854" ht="15.75" customHeight="1">
      <c r="A854" s="31"/>
      <c r="B854" s="31"/>
      <c r="C854" s="31"/>
      <c r="D854" s="31"/>
      <c r="E854" s="31"/>
      <c r="F854" s="31"/>
      <c r="H854" s="31"/>
    </row>
    <row r="855" ht="15.75" customHeight="1">
      <c r="A855" s="31"/>
      <c r="B855" s="31"/>
      <c r="C855" s="31"/>
      <c r="D855" s="31"/>
      <c r="E855" s="31"/>
      <c r="F855" s="31"/>
      <c r="H855" s="31"/>
    </row>
    <row r="856" ht="15.75" customHeight="1">
      <c r="A856" s="31"/>
      <c r="B856" s="31"/>
      <c r="C856" s="31"/>
      <c r="D856" s="31"/>
      <c r="E856" s="31"/>
      <c r="F856" s="31"/>
      <c r="H856" s="31"/>
    </row>
    <row r="857" ht="15.75" customHeight="1">
      <c r="A857" s="31"/>
      <c r="B857" s="31"/>
      <c r="C857" s="31"/>
      <c r="D857" s="31"/>
      <c r="E857" s="31"/>
      <c r="F857" s="31"/>
      <c r="H857" s="31"/>
    </row>
    <row r="858" ht="15.75" customHeight="1">
      <c r="A858" s="31"/>
      <c r="B858" s="31"/>
      <c r="C858" s="31"/>
      <c r="D858" s="31"/>
      <c r="E858" s="31"/>
      <c r="F858" s="31"/>
      <c r="H858" s="31"/>
    </row>
    <row r="859" ht="15.75" customHeight="1">
      <c r="A859" s="31"/>
      <c r="B859" s="31"/>
      <c r="C859" s="31"/>
      <c r="D859" s="31"/>
      <c r="E859" s="31"/>
      <c r="F859" s="31"/>
      <c r="H859" s="31"/>
    </row>
    <row r="860" ht="15.75" customHeight="1">
      <c r="A860" s="31"/>
      <c r="B860" s="31"/>
      <c r="C860" s="31"/>
      <c r="D860" s="31"/>
      <c r="E860" s="31"/>
      <c r="F860" s="31"/>
      <c r="H860" s="31"/>
    </row>
    <row r="861" ht="15.75" customHeight="1">
      <c r="A861" s="31"/>
      <c r="B861" s="31"/>
      <c r="C861" s="31"/>
      <c r="D861" s="31"/>
      <c r="E861" s="31"/>
      <c r="F861" s="31"/>
      <c r="H861" s="31"/>
    </row>
    <row r="862" ht="15.75" customHeight="1">
      <c r="A862" s="31"/>
      <c r="B862" s="31"/>
      <c r="C862" s="31"/>
      <c r="D862" s="31"/>
      <c r="E862" s="31"/>
      <c r="F862" s="31"/>
      <c r="H862" s="31"/>
    </row>
    <row r="863" ht="15.75" customHeight="1">
      <c r="A863" s="31"/>
      <c r="B863" s="31"/>
      <c r="C863" s="31"/>
      <c r="D863" s="31"/>
      <c r="E863" s="31"/>
      <c r="F863" s="31"/>
      <c r="H863" s="31"/>
    </row>
    <row r="864" ht="15.75" customHeight="1">
      <c r="A864" s="31"/>
      <c r="B864" s="31"/>
      <c r="C864" s="31"/>
      <c r="D864" s="31"/>
      <c r="E864" s="31"/>
      <c r="F864" s="31"/>
      <c r="H864" s="31"/>
    </row>
    <row r="865" ht="15.75" customHeight="1">
      <c r="A865" s="31"/>
      <c r="B865" s="31"/>
      <c r="C865" s="31"/>
      <c r="D865" s="31"/>
      <c r="E865" s="31"/>
      <c r="F865" s="31"/>
      <c r="H865" s="31"/>
    </row>
    <row r="866" ht="15.75" customHeight="1">
      <c r="A866" s="31"/>
      <c r="B866" s="31"/>
      <c r="C866" s="31"/>
      <c r="D866" s="31"/>
      <c r="E866" s="31"/>
      <c r="F866" s="31"/>
      <c r="H866" s="31"/>
    </row>
    <row r="867" ht="15.75" customHeight="1">
      <c r="A867" s="31"/>
      <c r="B867" s="31"/>
      <c r="C867" s="31"/>
      <c r="D867" s="31"/>
      <c r="E867" s="31"/>
      <c r="F867" s="31"/>
      <c r="H867" s="31"/>
    </row>
    <row r="868" ht="15.75" customHeight="1">
      <c r="A868" s="31"/>
      <c r="B868" s="31"/>
      <c r="C868" s="31"/>
      <c r="D868" s="31"/>
      <c r="E868" s="31"/>
      <c r="F868" s="31"/>
      <c r="H868" s="31"/>
    </row>
    <row r="869" ht="15.75" customHeight="1">
      <c r="A869" s="31"/>
      <c r="B869" s="31"/>
      <c r="C869" s="31"/>
      <c r="D869" s="31"/>
      <c r="E869" s="31"/>
      <c r="F869" s="31"/>
      <c r="H869" s="31"/>
    </row>
    <row r="870" ht="15.75" customHeight="1">
      <c r="A870" s="31"/>
      <c r="B870" s="31"/>
      <c r="C870" s="31"/>
      <c r="D870" s="31"/>
      <c r="E870" s="31"/>
      <c r="F870" s="31"/>
      <c r="H870" s="31"/>
    </row>
    <row r="871" ht="15.75" customHeight="1">
      <c r="A871" s="31"/>
      <c r="B871" s="31"/>
      <c r="C871" s="31"/>
      <c r="D871" s="31"/>
      <c r="E871" s="31"/>
      <c r="F871" s="31"/>
      <c r="H871" s="31"/>
    </row>
    <row r="872" ht="15.75" customHeight="1">
      <c r="A872" s="31"/>
      <c r="B872" s="31"/>
      <c r="C872" s="31"/>
      <c r="D872" s="31"/>
      <c r="E872" s="31"/>
      <c r="F872" s="31"/>
      <c r="H872" s="31"/>
    </row>
    <row r="873" ht="15.75" customHeight="1">
      <c r="A873" s="31"/>
      <c r="B873" s="31"/>
      <c r="C873" s="31"/>
      <c r="D873" s="31"/>
      <c r="E873" s="31"/>
      <c r="F873" s="31"/>
      <c r="H873" s="31"/>
    </row>
    <row r="874" ht="15.75" customHeight="1">
      <c r="A874" s="31"/>
      <c r="B874" s="31"/>
      <c r="C874" s="31"/>
      <c r="D874" s="31"/>
      <c r="E874" s="31"/>
      <c r="F874" s="31"/>
      <c r="H874" s="31"/>
    </row>
    <row r="875" ht="15.75" customHeight="1">
      <c r="A875" s="31"/>
      <c r="B875" s="31"/>
      <c r="C875" s="31"/>
      <c r="D875" s="31"/>
      <c r="E875" s="31"/>
      <c r="F875" s="31"/>
      <c r="H875" s="31"/>
    </row>
    <row r="876" ht="15.75" customHeight="1">
      <c r="A876" s="31"/>
      <c r="B876" s="31"/>
      <c r="C876" s="31"/>
      <c r="D876" s="31"/>
      <c r="E876" s="31"/>
      <c r="F876" s="31"/>
      <c r="H876" s="31"/>
    </row>
    <row r="877" ht="15.75" customHeight="1">
      <c r="A877" s="31"/>
      <c r="B877" s="31"/>
      <c r="C877" s="31"/>
      <c r="D877" s="31"/>
      <c r="E877" s="31"/>
      <c r="F877" s="31"/>
      <c r="H877" s="31"/>
    </row>
    <row r="878" ht="15.75" customHeight="1">
      <c r="A878" s="31"/>
      <c r="B878" s="31"/>
      <c r="C878" s="31"/>
      <c r="D878" s="31"/>
      <c r="E878" s="31"/>
      <c r="F878" s="31"/>
      <c r="H878" s="31"/>
    </row>
    <row r="879" ht="15.75" customHeight="1">
      <c r="A879" s="31"/>
      <c r="B879" s="31"/>
      <c r="C879" s="31"/>
      <c r="D879" s="31"/>
      <c r="E879" s="31"/>
      <c r="F879" s="31"/>
      <c r="H879" s="31"/>
    </row>
    <row r="880" ht="15.75" customHeight="1">
      <c r="A880" s="31"/>
      <c r="B880" s="31"/>
      <c r="C880" s="31"/>
      <c r="D880" s="31"/>
      <c r="E880" s="31"/>
      <c r="F880" s="31"/>
      <c r="H880" s="31"/>
    </row>
    <row r="881" ht="15.75" customHeight="1">
      <c r="A881" s="31"/>
      <c r="B881" s="31"/>
      <c r="C881" s="31"/>
      <c r="D881" s="31"/>
      <c r="E881" s="31"/>
      <c r="F881" s="31"/>
      <c r="H881" s="31"/>
    </row>
    <row r="882" ht="15.75" customHeight="1">
      <c r="A882" s="31"/>
      <c r="B882" s="31"/>
      <c r="C882" s="31"/>
      <c r="D882" s="31"/>
      <c r="E882" s="31"/>
      <c r="F882" s="31"/>
      <c r="H882" s="31"/>
    </row>
    <row r="883" ht="15.75" customHeight="1">
      <c r="A883" s="31"/>
      <c r="B883" s="31"/>
      <c r="C883" s="31"/>
      <c r="D883" s="31"/>
      <c r="E883" s="31"/>
      <c r="F883" s="31"/>
      <c r="H883" s="31"/>
    </row>
    <row r="884" ht="15.75" customHeight="1">
      <c r="A884" s="31"/>
      <c r="B884" s="31"/>
      <c r="C884" s="31"/>
      <c r="D884" s="31"/>
      <c r="E884" s="31"/>
      <c r="F884" s="31"/>
      <c r="H884" s="31"/>
    </row>
    <row r="885" ht="15.75" customHeight="1">
      <c r="A885" s="31"/>
      <c r="B885" s="31"/>
      <c r="C885" s="31"/>
      <c r="D885" s="31"/>
      <c r="E885" s="31"/>
      <c r="F885" s="31"/>
      <c r="H885" s="31"/>
    </row>
    <row r="886" ht="15.75" customHeight="1">
      <c r="A886" s="31"/>
      <c r="B886" s="31"/>
      <c r="C886" s="31"/>
      <c r="D886" s="31"/>
      <c r="E886" s="31"/>
      <c r="F886" s="31"/>
      <c r="H886" s="31"/>
    </row>
    <row r="887" ht="15.75" customHeight="1">
      <c r="A887" s="31"/>
      <c r="B887" s="31"/>
      <c r="C887" s="31"/>
      <c r="D887" s="31"/>
      <c r="E887" s="31"/>
      <c r="F887" s="31"/>
      <c r="H887" s="31"/>
    </row>
    <row r="888" ht="15.75" customHeight="1">
      <c r="A888" s="31"/>
      <c r="B888" s="31"/>
      <c r="C888" s="31"/>
      <c r="D888" s="31"/>
      <c r="E888" s="31"/>
      <c r="F888" s="31"/>
      <c r="H888" s="31"/>
    </row>
    <row r="889" ht="15.75" customHeight="1">
      <c r="A889" s="31"/>
      <c r="B889" s="31"/>
      <c r="C889" s="31"/>
      <c r="D889" s="31"/>
      <c r="E889" s="31"/>
      <c r="F889" s="31"/>
      <c r="H889" s="31"/>
    </row>
    <row r="890" ht="15.75" customHeight="1">
      <c r="A890" s="31"/>
      <c r="B890" s="31"/>
      <c r="C890" s="31"/>
      <c r="D890" s="31"/>
      <c r="E890" s="31"/>
      <c r="F890" s="31"/>
      <c r="H890" s="31"/>
    </row>
    <row r="891" ht="15.75" customHeight="1">
      <c r="A891" s="31"/>
      <c r="B891" s="31"/>
      <c r="C891" s="31"/>
      <c r="D891" s="31"/>
      <c r="E891" s="31"/>
      <c r="F891" s="31"/>
      <c r="H891" s="31"/>
    </row>
    <row r="892" ht="15.75" customHeight="1">
      <c r="A892" s="31"/>
      <c r="B892" s="31"/>
      <c r="C892" s="31"/>
      <c r="D892" s="31"/>
      <c r="E892" s="31"/>
      <c r="F892" s="31"/>
      <c r="H892" s="31"/>
    </row>
    <row r="893" ht="15.75" customHeight="1">
      <c r="A893" s="31"/>
      <c r="B893" s="31"/>
      <c r="C893" s="31"/>
      <c r="D893" s="31"/>
      <c r="E893" s="31"/>
      <c r="F893" s="31"/>
      <c r="H893" s="31"/>
    </row>
    <row r="894" ht="15.75" customHeight="1">
      <c r="A894" s="31"/>
      <c r="B894" s="31"/>
      <c r="C894" s="31"/>
      <c r="D894" s="31"/>
      <c r="E894" s="31"/>
      <c r="F894" s="31"/>
      <c r="H894" s="31"/>
    </row>
    <row r="895" ht="15.75" customHeight="1">
      <c r="A895" s="31"/>
      <c r="B895" s="31"/>
      <c r="C895" s="31"/>
      <c r="D895" s="31"/>
      <c r="E895" s="31"/>
      <c r="F895" s="31"/>
      <c r="H895" s="31"/>
    </row>
    <row r="896" ht="15.75" customHeight="1">
      <c r="A896" s="31"/>
      <c r="B896" s="31"/>
      <c r="C896" s="31"/>
      <c r="D896" s="31"/>
      <c r="E896" s="31"/>
      <c r="F896" s="31"/>
      <c r="H896" s="31"/>
    </row>
    <row r="897" ht="15.75" customHeight="1">
      <c r="A897" s="31"/>
      <c r="B897" s="31"/>
      <c r="C897" s="31"/>
      <c r="D897" s="31"/>
      <c r="E897" s="31"/>
      <c r="F897" s="31"/>
      <c r="H897" s="31"/>
    </row>
    <row r="898" ht="15.75" customHeight="1">
      <c r="A898" s="31"/>
      <c r="B898" s="31"/>
      <c r="C898" s="31"/>
      <c r="D898" s="31"/>
      <c r="E898" s="31"/>
      <c r="F898" s="31"/>
      <c r="H898" s="31"/>
    </row>
    <row r="899" ht="15.75" customHeight="1">
      <c r="A899" s="31"/>
      <c r="B899" s="31"/>
      <c r="C899" s="31"/>
      <c r="D899" s="31"/>
      <c r="E899" s="31"/>
      <c r="F899" s="31"/>
      <c r="H899" s="31"/>
    </row>
    <row r="900" ht="15.75" customHeight="1">
      <c r="A900" s="31"/>
      <c r="B900" s="31"/>
      <c r="C900" s="31"/>
      <c r="D900" s="31"/>
      <c r="E900" s="31"/>
      <c r="F900" s="31"/>
      <c r="H900" s="31"/>
    </row>
    <row r="901" ht="15.75" customHeight="1">
      <c r="A901" s="31"/>
      <c r="B901" s="31"/>
      <c r="C901" s="31"/>
      <c r="D901" s="31"/>
      <c r="E901" s="31"/>
      <c r="F901" s="31"/>
      <c r="H901" s="31"/>
    </row>
    <row r="902" ht="15.75" customHeight="1">
      <c r="A902" s="31"/>
      <c r="B902" s="31"/>
      <c r="C902" s="31"/>
      <c r="D902" s="31"/>
      <c r="E902" s="31"/>
      <c r="F902" s="31"/>
      <c r="H902" s="31"/>
    </row>
    <row r="903" ht="15.75" customHeight="1">
      <c r="A903" s="31"/>
      <c r="B903" s="31"/>
      <c r="C903" s="31"/>
      <c r="D903" s="31"/>
      <c r="E903" s="31"/>
      <c r="F903" s="31"/>
      <c r="H903" s="31"/>
    </row>
    <row r="904" ht="15.75" customHeight="1">
      <c r="A904" s="31"/>
      <c r="B904" s="31"/>
      <c r="C904" s="31"/>
      <c r="D904" s="31"/>
      <c r="E904" s="31"/>
      <c r="F904" s="31"/>
      <c r="H904" s="31"/>
    </row>
    <row r="905" ht="15.75" customHeight="1">
      <c r="A905" s="31"/>
      <c r="B905" s="31"/>
      <c r="C905" s="31"/>
      <c r="D905" s="31"/>
      <c r="E905" s="31"/>
      <c r="F905" s="31"/>
      <c r="H905" s="31"/>
    </row>
    <row r="906" ht="15.75" customHeight="1">
      <c r="A906" s="31"/>
      <c r="B906" s="31"/>
      <c r="C906" s="31"/>
      <c r="D906" s="31"/>
      <c r="E906" s="31"/>
      <c r="F906" s="31"/>
      <c r="H906" s="31"/>
    </row>
    <row r="907" ht="15.75" customHeight="1">
      <c r="A907" s="31"/>
      <c r="B907" s="31"/>
      <c r="C907" s="31"/>
      <c r="D907" s="31"/>
      <c r="E907" s="31"/>
      <c r="F907" s="31"/>
      <c r="H907" s="31"/>
    </row>
    <row r="908" ht="15.75" customHeight="1">
      <c r="A908" s="31"/>
      <c r="B908" s="31"/>
      <c r="C908" s="31"/>
      <c r="D908" s="31"/>
      <c r="E908" s="31"/>
      <c r="F908" s="31"/>
      <c r="H908" s="31"/>
    </row>
    <row r="909" ht="15.75" customHeight="1">
      <c r="A909" s="31"/>
      <c r="B909" s="31"/>
      <c r="C909" s="31"/>
      <c r="D909" s="31"/>
      <c r="E909" s="31"/>
      <c r="F909" s="31"/>
      <c r="H909" s="31"/>
    </row>
    <row r="910" ht="15.75" customHeight="1">
      <c r="A910" s="31"/>
      <c r="B910" s="31"/>
      <c r="C910" s="31"/>
      <c r="D910" s="31"/>
      <c r="E910" s="31"/>
      <c r="F910" s="31"/>
      <c r="H910" s="31"/>
    </row>
    <row r="911" ht="15.75" customHeight="1">
      <c r="A911" s="31"/>
      <c r="B911" s="31"/>
      <c r="C911" s="31"/>
      <c r="D911" s="31"/>
      <c r="E911" s="31"/>
      <c r="F911" s="31"/>
      <c r="H911" s="31"/>
    </row>
    <row r="912" ht="15.75" customHeight="1">
      <c r="A912" s="31"/>
      <c r="B912" s="31"/>
      <c r="C912" s="31"/>
      <c r="D912" s="31"/>
      <c r="E912" s="31"/>
      <c r="F912" s="31"/>
      <c r="H912" s="31"/>
    </row>
    <row r="913" ht="15.75" customHeight="1">
      <c r="A913" s="31"/>
      <c r="B913" s="31"/>
      <c r="C913" s="31"/>
      <c r="D913" s="31"/>
      <c r="E913" s="31"/>
      <c r="F913" s="31"/>
      <c r="H913" s="31"/>
    </row>
    <row r="914" ht="15.75" customHeight="1">
      <c r="A914" s="31"/>
      <c r="B914" s="31"/>
      <c r="C914" s="31"/>
      <c r="D914" s="31"/>
      <c r="E914" s="31"/>
      <c r="F914" s="31"/>
      <c r="H914" s="31"/>
    </row>
    <row r="915" ht="15.75" customHeight="1">
      <c r="A915" s="31"/>
      <c r="B915" s="31"/>
      <c r="C915" s="31"/>
      <c r="D915" s="31"/>
      <c r="E915" s="31"/>
      <c r="F915" s="31"/>
      <c r="H915" s="31"/>
    </row>
    <row r="916" ht="15.75" customHeight="1">
      <c r="A916" s="31"/>
      <c r="B916" s="31"/>
      <c r="C916" s="31"/>
      <c r="D916" s="31"/>
      <c r="E916" s="31"/>
      <c r="F916" s="31"/>
      <c r="H916" s="31"/>
    </row>
    <row r="917" ht="15.75" customHeight="1">
      <c r="A917" s="31"/>
      <c r="B917" s="31"/>
      <c r="C917" s="31"/>
      <c r="D917" s="31"/>
      <c r="E917" s="31"/>
      <c r="F917" s="31"/>
      <c r="H917" s="31"/>
    </row>
    <row r="918" ht="15.75" customHeight="1">
      <c r="A918" s="31"/>
      <c r="B918" s="31"/>
      <c r="C918" s="31"/>
      <c r="D918" s="31"/>
      <c r="E918" s="31"/>
      <c r="F918" s="31"/>
      <c r="H918" s="31"/>
    </row>
    <row r="919" ht="15.75" customHeight="1">
      <c r="A919" s="31"/>
      <c r="B919" s="31"/>
      <c r="C919" s="31"/>
      <c r="D919" s="31"/>
      <c r="E919" s="31"/>
      <c r="F919" s="31"/>
      <c r="H919" s="31"/>
    </row>
    <row r="920" ht="15.75" customHeight="1">
      <c r="A920" s="31"/>
      <c r="B920" s="31"/>
      <c r="C920" s="31"/>
      <c r="D920" s="31"/>
      <c r="E920" s="31"/>
      <c r="F920" s="31"/>
      <c r="H920" s="31"/>
    </row>
    <row r="921" ht="15.75" customHeight="1">
      <c r="A921" s="31"/>
      <c r="B921" s="31"/>
      <c r="C921" s="31"/>
      <c r="D921" s="31"/>
      <c r="E921" s="31"/>
      <c r="F921" s="31"/>
      <c r="H921" s="31"/>
    </row>
    <row r="922" ht="15.75" customHeight="1">
      <c r="A922" s="31"/>
      <c r="B922" s="31"/>
      <c r="C922" s="31"/>
      <c r="D922" s="31"/>
      <c r="E922" s="31"/>
      <c r="F922" s="31"/>
      <c r="H922" s="31"/>
    </row>
    <row r="923" ht="15.75" customHeight="1">
      <c r="A923" s="31"/>
      <c r="B923" s="31"/>
      <c r="C923" s="31"/>
      <c r="D923" s="31"/>
      <c r="E923" s="31"/>
      <c r="F923" s="31"/>
      <c r="H923" s="31"/>
    </row>
    <row r="924" ht="15.75" customHeight="1">
      <c r="A924" s="31"/>
      <c r="B924" s="31"/>
      <c r="C924" s="31"/>
      <c r="D924" s="31"/>
      <c r="E924" s="31"/>
      <c r="F924" s="31"/>
      <c r="H924" s="31"/>
    </row>
    <row r="925" ht="15.75" customHeight="1">
      <c r="A925" s="31"/>
      <c r="B925" s="31"/>
      <c r="C925" s="31"/>
      <c r="D925" s="31"/>
      <c r="E925" s="31"/>
      <c r="F925" s="31"/>
      <c r="H925" s="31"/>
    </row>
    <row r="926" ht="15.75" customHeight="1">
      <c r="A926" s="31"/>
      <c r="B926" s="31"/>
      <c r="C926" s="31"/>
      <c r="D926" s="31"/>
      <c r="E926" s="31"/>
      <c r="F926" s="31"/>
      <c r="H926" s="31"/>
    </row>
    <row r="927" ht="15.75" customHeight="1">
      <c r="A927" s="31"/>
      <c r="B927" s="31"/>
      <c r="C927" s="31"/>
      <c r="D927" s="31"/>
      <c r="E927" s="31"/>
      <c r="F927" s="31"/>
      <c r="H927" s="31"/>
    </row>
    <row r="928" ht="15.75" customHeight="1">
      <c r="A928" s="31"/>
      <c r="B928" s="31"/>
      <c r="C928" s="31"/>
      <c r="D928" s="31"/>
      <c r="E928" s="31"/>
      <c r="F928" s="31"/>
      <c r="H928" s="31"/>
    </row>
    <row r="929" ht="15.75" customHeight="1">
      <c r="A929" s="31"/>
      <c r="B929" s="31"/>
      <c r="C929" s="31"/>
      <c r="D929" s="31"/>
      <c r="E929" s="31"/>
      <c r="F929" s="31"/>
      <c r="H929" s="31"/>
    </row>
    <row r="930" ht="15.75" customHeight="1">
      <c r="A930" s="31"/>
      <c r="B930" s="31"/>
      <c r="C930" s="31"/>
      <c r="D930" s="31"/>
      <c r="E930" s="31"/>
      <c r="F930" s="31"/>
      <c r="H930" s="31"/>
    </row>
    <row r="931" ht="15.75" customHeight="1">
      <c r="A931" s="31"/>
      <c r="B931" s="31"/>
      <c r="C931" s="31"/>
      <c r="D931" s="31"/>
      <c r="E931" s="31"/>
      <c r="F931" s="31"/>
      <c r="H931" s="31"/>
    </row>
    <row r="932" ht="15.75" customHeight="1">
      <c r="A932" s="31"/>
      <c r="B932" s="31"/>
      <c r="C932" s="31"/>
      <c r="D932" s="31"/>
      <c r="E932" s="31"/>
      <c r="F932" s="31"/>
      <c r="H932" s="31"/>
    </row>
    <row r="933" ht="15.75" customHeight="1">
      <c r="A933" s="31"/>
      <c r="B933" s="31"/>
      <c r="C933" s="31"/>
      <c r="D933" s="31"/>
      <c r="E933" s="31"/>
      <c r="F933" s="31"/>
      <c r="H933" s="31"/>
    </row>
    <row r="934" ht="15.75" customHeight="1">
      <c r="A934" s="31"/>
      <c r="B934" s="31"/>
      <c r="C934" s="31"/>
      <c r="D934" s="31"/>
      <c r="E934" s="31"/>
      <c r="F934" s="31"/>
      <c r="H934" s="31"/>
    </row>
    <row r="935" ht="15.75" customHeight="1">
      <c r="A935" s="31"/>
      <c r="B935" s="31"/>
      <c r="C935" s="31"/>
      <c r="D935" s="31"/>
      <c r="E935" s="31"/>
      <c r="F935" s="31"/>
      <c r="H935" s="31"/>
    </row>
    <row r="936" ht="15.75" customHeight="1">
      <c r="A936" s="31"/>
      <c r="B936" s="31"/>
      <c r="C936" s="31"/>
      <c r="D936" s="31"/>
      <c r="E936" s="31"/>
      <c r="F936" s="31"/>
      <c r="H936" s="31"/>
    </row>
    <row r="937" ht="15.75" customHeight="1">
      <c r="A937" s="31"/>
      <c r="B937" s="31"/>
      <c r="C937" s="31"/>
      <c r="D937" s="31"/>
      <c r="E937" s="31"/>
      <c r="F937" s="31"/>
      <c r="H937" s="31"/>
    </row>
    <row r="938" ht="15.75" customHeight="1">
      <c r="A938" s="31"/>
      <c r="B938" s="31"/>
      <c r="C938" s="31"/>
      <c r="D938" s="31"/>
      <c r="E938" s="31"/>
      <c r="F938" s="31"/>
      <c r="H938" s="31"/>
    </row>
    <row r="939" ht="15.75" customHeight="1">
      <c r="A939" s="31"/>
      <c r="B939" s="31"/>
      <c r="C939" s="31"/>
      <c r="D939" s="31"/>
      <c r="E939" s="31"/>
      <c r="F939" s="31"/>
      <c r="H939" s="31"/>
    </row>
    <row r="940" ht="15.75" customHeight="1">
      <c r="A940" s="31"/>
      <c r="B940" s="31"/>
      <c r="C940" s="31"/>
      <c r="D940" s="31"/>
      <c r="E940" s="31"/>
      <c r="F940" s="31"/>
      <c r="H940" s="31"/>
    </row>
    <row r="941" ht="15.75" customHeight="1">
      <c r="A941" s="31"/>
      <c r="B941" s="31"/>
      <c r="C941" s="31"/>
      <c r="D941" s="31"/>
      <c r="E941" s="31"/>
      <c r="F941" s="31"/>
      <c r="H941" s="31"/>
    </row>
    <row r="942" ht="15.75" customHeight="1">
      <c r="A942" s="31"/>
      <c r="B942" s="31"/>
      <c r="C942" s="31"/>
      <c r="D942" s="31"/>
      <c r="E942" s="31"/>
      <c r="F942" s="31"/>
      <c r="H942" s="31"/>
    </row>
    <row r="943" ht="15.75" customHeight="1">
      <c r="A943" s="31"/>
      <c r="B943" s="31"/>
      <c r="C943" s="31"/>
      <c r="D943" s="31"/>
      <c r="E943" s="31"/>
      <c r="F943" s="31"/>
      <c r="H943" s="31"/>
    </row>
    <row r="944" ht="15.75" customHeight="1">
      <c r="A944" s="31"/>
      <c r="B944" s="31"/>
      <c r="C944" s="31"/>
      <c r="D944" s="31"/>
      <c r="E944" s="31"/>
      <c r="F944" s="31"/>
      <c r="H944" s="31"/>
    </row>
    <row r="945" ht="15.75" customHeight="1">
      <c r="A945" s="31"/>
      <c r="B945" s="31"/>
      <c r="C945" s="31"/>
      <c r="D945" s="31"/>
      <c r="E945" s="31"/>
      <c r="F945" s="31"/>
      <c r="H945" s="31"/>
    </row>
    <row r="946" ht="15.75" customHeight="1">
      <c r="A946" s="31"/>
      <c r="B946" s="31"/>
      <c r="C946" s="31"/>
      <c r="D946" s="31"/>
      <c r="E946" s="31"/>
      <c r="F946" s="31"/>
      <c r="H946" s="31"/>
    </row>
    <row r="947" ht="15.75" customHeight="1">
      <c r="A947" s="31"/>
      <c r="B947" s="31"/>
      <c r="C947" s="31"/>
      <c r="D947" s="31"/>
      <c r="E947" s="31"/>
      <c r="F947" s="31"/>
      <c r="H947" s="31"/>
    </row>
    <row r="948" ht="15.75" customHeight="1">
      <c r="A948" s="31"/>
      <c r="B948" s="31"/>
      <c r="C948" s="31"/>
      <c r="D948" s="31"/>
      <c r="E948" s="31"/>
      <c r="F948" s="31"/>
      <c r="H948" s="31"/>
    </row>
    <row r="949" ht="15.75" customHeight="1">
      <c r="A949" s="31"/>
      <c r="B949" s="31"/>
      <c r="C949" s="31"/>
      <c r="D949" s="31"/>
      <c r="E949" s="31"/>
      <c r="F949" s="31"/>
      <c r="H949" s="31"/>
    </row>
    <row r="950" ht="15.75" customHeight="1">
      <c r="A950" s="31"/>
      <c r="B950" s="31"/>
      <c r="C950" s="31"/>
      <c r="D950" s="31"/>
      <c r="E950" s="31"/>
      <c r="F950" s="31"/>
      <c r="H950" s="31"/>
    </row>
    <row r="951" ht="15.75" customHeight="1">
      <c r="A951" s="31"/>
      <c r="B951" s="31"/>
      <c r="C951" s="31"/>
      <c r="D951" s="31"/>
      <c r="E951" s="31"/>
      <c r="F951" s="31"/>
      <c r="H951" s="31"/>
    </row>
    <row r="952" ht="15.75" customHeight="1">
      <c r="A952" s="31"/>
      <c r="B952" s="31"/>
      <c r="C952" s="31"/>
      <c r="D952" s="31"/>
      <c r="E952" s="31"/>
      <c r="F952" s="31"/>
      <c r="H952" s="31"/>
    </row>
    <row r="953" ht="15.75" customHeight="1">
      <c r="A953" s="31"/>
      <c r="B953" s="31"/>
      <c r="C953" s="31"/>
      <c r="D953" s="31"/>
      <c r="E953" s="31"/>
      <c r="F953" s="31"/>
      <c r="H953" s="31"/>
    </row>
    <row r="954" ht="15.75" customHeight="1">
      <c r="A954" s="31"/>
      <c r="B954" s="31"/>
      <c r="C954" s="31"/>
      <c r="D954" s="31"/>
      <c r="E954" s="31"/>
      <c r="F954" s="31"/>
      <c r="H954" s="31"/>
    </row>
    <row r="955" ht="15.75" customHeight="1">
      <c r="A955" s="31"/>
      <c r="B955" s="31"/>
      <c r="C955" s="31"/>
      <c r="D955" s="31"/>
      <c r="E955" s="31"/>
      <c r="F955" s="31"/>
      <c r="H955" s="31"/>
    </row>
    <row r="956" ht="15.75" customHeight="1">
      <c r="A956" s="31"/>
      <c r="B956" s="31"/>
      <c r="C956" s="31"/>
      <c r="D956" s="31"/>
      <c r="E956" s="31"/>
      <c r="F956" s="31"/>
      <c r="H956" s="31"/>
    </row>
    <row r="957" ht="15.75" customHeight="1">
      <c r="A957" s="31"/>
      <c r="B957" s="31"/>
      <c r="C957" s="31"/>
      <c r="D957" s="31"/>
      <c r="E957" s="31"/>
      <c r="F957" s="31"/>
      <c r="H957" s="31"/>
    </row>
    <row r="958" ht="15.75" customHeight="1">
      <c r="A958" s="31"/>
      <c r="B958" s="31"/>
      <c r="C958" s="31"/>
      <c r="D958" s="31"/>
      <c r="E958" s="31"/>
      <c r="F958" s="31"/>
      <c r="H958" s="31"/>
    </row>
    <row r="959" ht="15.75" customHeight="1">
      <c r="A959" s="31"/>
      <c r="B959" s="31"/>
      <c r="C959" s="31"/>
      <c r="D959" s="31"/>
      <c r="E959" s="31"/>
      <c r="F959" s="31"/>
      <c r="H959" s="31"/>
    </row>
    <row r="960" ht="15.75" customHeight="1">
      <c r="A960" s="31"/>
      <c r="B960" s="31"/>
      <c r="C960" s="31"/>
      <c r="D960" s="31"/>
      <c r="E960" s="31"/>
      <c r="F960" s="31"/>
      <c r="H960" s="31"/>
    </row>
    <row r="961" ht="15.75" customHeight="1">
      <c r="A961" s="31"/>
      <c r="B961" s="31"/>
      <c r="C961" s="31"/>
      <c r="D961" s="31"/>
      <c r="E961" s="31"/>
      <c r="F961" s="31"/>
      <c r="H961" s="31"/>
    </row>
    <row r="962" ht="15.75" customHeight="1">
      <c r="A962" s="31"/>
      <c r="B962" s="31"/>
      <c r="C962" s="31"/>
      <c r="D962" s="31"/>
      <c r="E962" s="31"/>
      <c r="F962" s="31"/>
      <c r="H962" s="31"/>
    </row>
    <row r="963" ht="15.75" customHeight="1">
      <c r="A963" s="31"/>
      <c r="B963" s="31"/>
      <c r="C963" s="31"/>
      <c r="D963" s="31"/>
      <c r="E963" s="31"/>
      <c r="F963" s="31"/>
      <c r="H963" s="31"/>
    </row>
    <row r="964" ht="15.75" customHeight="1">
      <c r="A964" s="31"/>
      <c r="B964" s="31"/>
      <c r="C964" s="31"/>
      <c r="D964" s="31"/>
      <c r="E964" s="31"/>
      <c r="F964" s="31"/>
      <c r="H964" s="31"/>
    </row>
    <row r="965" ht="15.75" customHeight="1">
      <c r="A965" s="31"/>
      <c r="B965" s="31"/>
      <c r="C965" s="31"/>
      <c r="D965" s="31"/>
      <c r="E965" s="31"/>
      <c r="F965" s="31"/>
      <c r="H965" s="31"/>
    </row>
    <row r="966" ht="15.75" customHeight="1">
      <c r="A966" s="31"/>
      <c r="B966" s="31"/>
      <c r="C966" s="31"/>
      <c r="D966" s="31"/>
      <c r="E966" s="31"/>
      <c r="F966" s="31"/>
      <c r="H966" s="31"/>
    </row>
    <row r="967" ht="15.75" customHeight="1">
      <c r="A967" s="31"/>
      <c r="B967" s="31"/>
      <c r="C967" s="31"/>
      <c r="D967" s="31"/>
      <c r="E967" s="31"/>
      <c r="F967" s="31"/>
      <c r="H967" s="31"/>
    </row>
    <row r="968" ht="15.75" customHeight="1">
      <c r="A968" s="31"/>
      <c r="B968" s="31"/>
      <c r="C968" s="31"/>
      <c r="D968" s="31"/>
      <c r="E968" s="31"/>
      <c r="F968" s="31"/>
      <c r="H968" s="31"/>
    </row>
    <row r="969" ht="15.75" customHeight="1">
      <c r="A969" s="31"/>
      <c r="B969" s="31"/>
      <c r="C969" s="31"/>
      <c r="D969" s="31"/>
      <c r="E969" s="31"/>
      <c r="F969" s="31"/>
      <c r="H969" s="31"/>
    </row>
    <row r="970" ht="15.75" customHeight="1">
      <c r="A970" s="31"/>
      <c r="B970" s="31"/>
      <c r="C970" s="31"/>
      <c r="D970" s="31"/>
      <c r="E970" s="31"/>
      <c r="F970" s="31"/>
      <c r="H970" s="31"/>
    </row>
    <row r="971" ht="15.75" customHeight="1">
      <c r="A971" s="31"/>
      <c r="B971" s="31"/>
      <c r="C971" s="31"/>
      <c r="D971" s="31"/>
      <c r="E971" s="31"/>
      <c r="F971" s="31"/>
      <c r="H971" s="31"/>
    </row>
    <row r="972" ht="15.75" customHeight="1">
      <c r="A972" s="31"/>
      <c r="B972" s="31"/>
      <c r="C972" s="31"/>
      <c r="D972" s="31"/>
      <c r="E972" s="31"/>
      <c r="F972" s="31"/>
      <c r="H972" s="31"/>
    </row>
    <row r="973" ht="15.75" customHeight="1">
      <c r="A973" s="31"/>
      <c r="B973" s="31"/>
      <c r="C973" s="31"/>
      <c r="D973" s="31"/>
      <c r="E973" s="31"/>
      <c r="F973" s="31"/>
      <c r="H973" s="31"/>
    </row>
    <row r="974" ht="15.75" customHeight="1">
      <c r="A974" s="31"/>
      <c r="B974" s="31"/>
      <c r="C974" s="31"/>
      <c r="D974" s="31"/>
      <c r="E974" s="31"/>
      <c r="F974" s="31"/>
      <c r="H974" s="31"/>
    </row>
    <row r="975" ht="15.75" customHeight="1">
      <c r="A975" s="31"/>
      <c r="B975" s="31"/>
      <c r="C975" s="31"/>
      <c r="D975" s="31"/>
      <c r="E975" s="31"/>
      <c r="F975" s="31"/>
      <c r="H975" s="31"/>
    </row>
    <row r="976" ht="15.75" customHeight="1">
      <c r="A976" s="31"/>
      <c r="B976" s="31"/>
      <c r="C976" s="31"/>
      <c r="D976" s="31"/>
      <c r="E976" s="31"/>
      <c r="F976" s="31"/>
      <c r="H976" s="31"/>
    </row>
    <row r="977" ht="15.75" customHeight="1">
      <c r="A977" s="31"/>
      <c r="B977" s="31"/>
      <c r="C977" s="31"/>
      <c r="D977" s="31"/>
      <c r="E977" s="31"/>
      <c r="F977" s="31"/>
      <c r="H977" s="31"/>
    </row>
    <row r="978" ht="15.75" customHeight="1">
      <c r="A978" s="31"/>
      <c r="B978" s="31"/>
      <c r="C978" s="31"/>
      <c r="D978" s="31"/>
      <c r="E978" s="31"/>
      <c r="F978" s="31"/>
      <c r="H978" s="31"/>
    </row>
    <row r="979" ht="15.75" customHeight="1">
      <c r="A979" s="31"/>
      <c r="B979" s="31"/>
      <c r="C979" s="31"/>
      <c r="D979" s="31"/>
      <c r="E979" s="31"/>
      <c r="F979" s="31"/>
      <c r="H979" s="31"/>
    </row>
    <row r="980" ht="15.75" customHeight="1">
      <c r="A980" s="31"/>
      <c r="B980" s="31"/>
      <c r="C980" s="31"/>
      <c r="D980" s="31"/>
      <c r="E980" s="31"/>
      <c r="F980" s="31"/>
      <c r="H980" s="31"/>
    </row>
    <row r="981" ht="15.75" customHeight="1">
      <c r="A981" s="31"/>
      <c r="B981" s="31"/>
      <c r="C981" s="31"/>
      <c r="D981" s="31"/>
      <c r="E981" s="31"/>
      <c r="F981" s="31"/>
      <c r="H981" s="31"/>
    </row>
    <row r="982" ht="15.75" customHeight="1">
      <c r="A982" s="31"/>
      <c r="B982" s="31"/>
      <c r="C982" s="31"/>
      <c r="D982" s="31"/>
      <c r="E982" s="31"/>
      <c r="F982" s="31"/>
      <c r="H982" s="31"/>
    </row>
    <row r="983" ht="15.75" customHeight="1">
      <c r="A983" s="31"/>
      <c r="B983" s="31"/>
      <c r="C983" s="31"/>
      <c r="D983" s="31"/>
      <c r="E983" s="31"/>
      <c r="F983" s="31"/>
      <c r="H983" s="31"/>
    </row>
    <row r="984" ht="15.75" customHeight="1">
      <c r="A984" s="31"/>
      <c r="B984" s="31"/>
      <c r="C984" s="31"/>
      <c r="D984" s="31"/>
      <c r="E984" s="31"/>
      <c r="F984" s="31"/>
      <c r="H984" s="31"/>
    </row>
    <row r="985" ht="15.75" customHeight="1">
      <c r="A985" s="31"/>
      <c r="B985" s="31"/>
      <c r="C985" s="31"/>
      <c r="D985" s="31"/>
      <c r="E985" s="31"/>
      <c r="F985" s="31"/>
      <c r="H985" s="31"/>
    </row>
    <row r="986" ht="15.75" customHeight="1">
      <c r="A986" s="31"/>
      <c r="B986" s="31"/>
      <c r="C986" s="31"/>
      <c r="D986" s="31"/>
      <c r="E986" s="31"/>
      <c r="F986" s="31"/>
      <c r="H986" s="31"/>
    </row>
    <row r="987" ht="15.75" customHeight="1">
      <c r="A987" s="31"/>
      <c r="B987" s="31"/>
      <c r="C987" s="31"/>
      <c r="D987" s="31"/>
      <c r="E987" s="31"/>
      <c r="F987" s="31"/>
      <c r="H987" s="31"/>
    </row>
    <row r="988" ht="15.75" customHeight="1">
      <c r="A988" s="31"/>
      <c r="B988" s="31"/>
      <c r="C988" s="31"/>
      <c r="D988" s="31"/>
      <c r="E988" s="31"/>
      <c r="F988" s="31"/>
      <c r="H988" s="31"/>
    </row>
    <row r="989" ht="15.75" customHeight="1">
      <c r="A989" s="31"/>
      <c r="B989" s="31"/>
      <c r="C989" s="31"/>
      <c r="D989" s="31"/>
      <c r="E989" s="31"/>
      <c r="F989" s="31"/>
      <c r="H989" s="31"/>
    </row>
    <row r="990" ht="15.75" customHeight="1">
      <c r="A990" s="31"/>
      <c r="B990" s="31"/>
      <c r="C990" s="31"/>
      <c r="D990" s="31"/>
      <c r="E990" s="31"/>
      <c r="F990" s="31"/>
      <c r="H990" s="31"/>
    </row>
    <row r="991" ht="15.75" customHeight="1">
      <c r="A991" s="31"/>
      <c r="B991" s="31"/>
      <c r="C991" s="31"/>
      <c r="D991" s="31"/>
      <c r="E991" s="31"/>
      <c r="F991" s="31"/>
      <c r="H991" s="31"/>
    </row>
    <row r="992" ht="15.75" customHeight="1">
      <c r="A992" s="31"/>
      <c r="B992" s="31"/>
      <c r="C992" s="31"/>
      <c r="D992" s="31"/>
      <c r="E992" s="31"/>
      <c r="F992" s="31"/>
      <c r="H992" s="31"/>
    </row>
    <row r="993" ht="15.75" customHeight="1">
      <c r="A993" s="31"/>
      <c r="B993" s="31"/>
      <c r="C993" s="31"/>
      <c r="D993" s="31"/>
      <c r="E993" s="31"/>
      <c r="F993" s="31"/>
      <c r="H993" s="31"/>
    </row>
    <row r="994" ht="15.75" customHeight="1">
      <c r="A994" s="31"/>
      <c r="B994" s="31"/>
      <c r="C994" s="31"/>
      <c r="D994" s="31"/>
      <c r="E994" s="31"/>
      <c r="F994" s="31"/>
      <c r="H994" s="31"/>
    </row>
    <row r="995" ht="15.75" customHeight="1">
      <c r="A995" s="31"/>
      <c r="B995" s="31"/>
      <c r="C995" s="31"/>
      <c r="D995" s="31"/>
      <c r="E995" s="31"/>
      <c r="F995" s="31"/>
      <c r="H995" s="31"/>
    </row>
    <row r="996" ht="15.75" customHeight="1">
      <c r="A996" s="31"/>
      <c r="B996" s="31"/>
      <c r="C996" s="31"/>
      <c r="D996" s="31"/>
      <c r="E996" s="31"/>
      <c r="F996" s="31"/>
      <c r="H996" s="31"/>
    </row>
    <row r="997" ht="15.75" customHeight="1">
      <c r="A997" s="31"/>
      <c r="B997" s="31"/>
      <c r="C997" s="31"/>
      <c r="D997" s="31"/>
      <c r="E997" s="31"/>
      <c r="F997" s="31"/>
      <c r="H997" s="31"/>
    </row>
    <row r="998" ht="15.75" customHeight="1">
      <c r="A998" s="31"/>
      <c r="B998" s="31"/>
      <c r="C998" s="31"/>
      <c r="D998" s="31"/>
      <c r="E998" s="31"/>
      <c r="F998" s="31"/>
      <c r="H998" s="31"/>
    </row>
    <row r="999" ht="15.75" customHeight="1">
      <c r="A999" s="31"/>
      <c r="B999" s="31"/>
      <c r="C999" s="31"/>
      <c r="D999" s="31"/>
      <c r="E999" s="31"/>
      <c r="F999" s="31"/>
      <c r="H999" s="31"/>
    </row>
    <row r="1000" ht="15.75" customHeight="1">
      <c r="A1000" s="31"/>
      <c r="B1000" s="31"/>
      <c r="C1000" s="31"/>
      <c r="D1000" s="31"/>
      <c r="E1000" s="31"/>
      <c r="F1000" s="31"/>
      <c r="H1000" s="31"/>
    </row>
  </sheetData>
  <mergeCells count="2">
    <mergeCell ref="A1:H1"/>
    <mergeCell ref="A2:H2"/>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57"/>
    <col customWidth="1" min="2" max="2" width="15.71"/>
    <col customWidth="1" min="3" max="3" width="41.43"/>
    <col customWidth="1" min="4" max="4" width="13.29"/>
    <col customWidth="1" min="5" max="5" width="17.0"/>
    <col customWidth="1" min="6" max="6" width="40.14"/>
    <col customWidth="1" min="7" max="7" width="30.14"/>
    <col customWidth="1" min="8" max="26" width="12.57"/>
  </cols>
  <sheetData>
    <row r="1" ht="31.5" customHeight="1">
      <c r="A1" s="18" t="s">
        <v>1565</v>
      </c>
      <c r="B1" s="18" t="s">
        <v>1566</v>
      </c>
      <c r="C1" s="18" t="s">
        <v>1568</v>
      </c>
      <c r="D1" s="18" t="s">
        <v>1569</v>
      </c>
      <c r="E1" s="18" t="s">
        <v>1369</v>
      </c>
      <c r="F1" s="18" t="s">
        <v>1571</v>
      </c>
      <c r="G1" s="18" t="s">
        <v>9</v>
      </c>
    </row>
    <row r="2" ht="15.0" customHeight="1">
      <c r="A2" s="76"/>
      <c r="B2" s="76"/>
      <c r="C2" s="76"/>
      <c r="D2" s="76"/>
      <c r="E2" s="76"/>
      <c r="F2" s="76"/>
      <c r="G2" s="76"/>
    </row>
    <row r="3" ht="15.0" customHeight="1">
      <c r="A3" s="76"/>
      <c r="B3" s="76"/>
      <c r="C3" s="76"/>
      <c r="D3" s="76"/>
      <c r="E3" s="76"/>
      <c r="F3" s="76"/>
      <c r="G3" s="76"/>
    </row>
    <row r="4" ht="15.0" customHeight="1">
      <c r="A4" s="76"/>
      <c r="B4" s="76"/>
      <c r="C4" s="76"/>
      <c r="D4" s="76"/>
      <c r="E4" s="76"/>
      <c r="F4" s="76"/>
      <c r="G4" s="76"/>
    </row>
    <row r="5" ht="15.0" customHeight="1">
      <c r="A5" s="76"/>
      <c r="B5" s="76"/>
      <c r="C5" s="76"/>
      <c r="D5" s="76"/>
      <c r="E5" s="76"/>
      <c r="F5" s="76"/>
      <c r="G5" s="76"/>
    </row>
    <row r="6" ht="15.0" customHeight="1">
      <c r="A6" s="76"/>
      <c r="B6" s="76"/>
      <c r="C6" s="76"/>
      <c r="D6" s="76"/>
      <c r="E6" s="76"/>
      <c r="F6" s="76"/>
      <c r="G6" s="76"/>
    </row>
    <row r="7" ht="15.0" customHeight="1">
      <c r="A7" s="76"/>
      <c r="B7" s="76"/>
      <c r="C7" s="76"/>
      <c r="D7" s="76"/>
      <c r="E7" s="76"/>
      <c r="F7" s="76"/>
      <c r="G7" s="76"/>
    </row>
    <row r="8" ht="15.0" customHeight="1">
      <c r="A8" s="76"/>
      <c r="B8" s="76"/>
      <c r="C8" s="76"/>
      <c r="D8" s="76"/>
      <c r="E8" s="76"/>
      <c r="F8" s="76"/>
      <c r="G8" s="76"/>
    </row>
    <row r="9" ht="15.0" customHeight="1">
      <c r="A9" s="76"/>
      <c r="B9" s="76"/>
      <c r="C9" s="76"/>
      <c r="D9" s="76"/>
      <c r="E9" s="76"/>
      <c r="F9" s="76"/>
      <c r="G9" s="76"/>
    </row>
    <row r="10" ht="15.0" customHeight="1">
      <c r="A10" s="76"/>
      <c r="B10" s="76"/>
      <c r="C10" s="76"/>
      <c r="D10" s="76"/>
      <c r="E10" s="76"/>
      <c r="F10" s="76"/>
      <c r="G10" s="76"/>
    </row>
    <row r="11" ht="15.0" customHeight="1">
      <c r="A11" s="76"/>
      <c r="B11" s="76"/>
      <c r="C11" s="76"/>
      <c r="D11" s="76"/>
      <c r="E11" s="76"/>
      <c r="F11" s="76"/>
      <c r="G11" s="76"/>
    </row>
    <row r="12" ht="15.0" customHeight="1">
      <c r="A12" s="76"/>
      <c r="B12" s="76"/>
      <c r="C12" s="76"/>
      <c r="D12" s="76"/>
      <c r="E12" s="76"/>
      <c r="F12" s="76"/>
      <c r="G12" s="76"/>
    </row>
    <row r="13" ht="15.0" customHeight="1">
      <c r="A13" s="76"/>
      <c r="B13" s="76"/>
      <c r="C13" s="76"/>
      <c r="D13" s="76"/>
      <c r="E13" s="76"/>
      <c r="F13" s="76"/>
      <c r="G13" s="76"/>
    </row>
    <row r="14" ht="15.0" customHeight="1">
      <c r="A14" s="76"/>
      <c r="B14" s="76"/>
      <c r="C14" s="76"/>
      <c r="D14" s="76"/>
      <c r="E14" s="76"/>
      <c r="F14" s="76"/>
      <c r="G14" s="76"/>
    </row>
    <row r="15" ht="15.0" customHeight="1">
      <c r="A15" s="76"/>
      <c r="B15" s="76"/>
      <c r="C15" s="76"/>
      <c r="D15" s="76"/>
      <c r="E15" s="76"/>
      <c r="F15" s="76"/>
      <c r="G15" s="76"/>
    </row>
    <row r="16" ht="15.0" customHeight="1">
      <c r="A16" s="76"/>
      <c r="B16" s="76"/>
      <c r="C16" s="76"/>
      <c r="D16" s="76"/>
      <c r="E16" s="76"/>
      <c r="F16" s="76"/>
      <c r="G16" s="76"/>
    </row>
    <row r="17" ht="15.0" customHeight="1">
      <c r="A17" s="76"/>
      <c r="B17" s="76"/>
      <c r="C17" s="76"/>
      <c r="D17" s="76"/>
      <c r="E17" s="76"/>
      <c r="F17" s="76"/>
      <c r="G17" s="76"/>
    </row>
    <row r="18" ht="15.0" customHeight="1">
      <c r="A18" s="76"/>
      <c r="B18" s="76"/>
      <c r="C18" s="76"/>
      <c r="D18" s="76"/>
      <c r="E18" s="76"/>
      <c r="F18" s="76"/>
      <c r="G18" s="76"/>
    </row>
    <row r="19" ht="15.0" customHeight="1">
      <c r="A19" s="76"/>
      <c r="B19" s="76"/>
      <c r="C19" s="76"/>
      <c r="D19" s="76"/>
      <c r="E19" s="76"/>
      <c r="F19" s="76"/>
      <c r="G19" s="76"/>
    </row>
    <row r="20" ht="15.0" customHeight="1">
      <c r="A20" s="76"/>
      <c r="B20" s="76"/>
      <c r="C20" s="76"/>
      <c r="D20" s="76"/>
      <c r="E20" s="76"/>
      <c r="F20" s="76"/>
      <c r="G20" s="76"/>
    </row>
    <row r="21" ht="15.0" customHeight="1">
      <c r="A21" s="76"/>
      <c r="B21" s="76"/>
      <c r="C21" s="76"/>
      <c r="D21" s="76"/>
      <c r="E21" s="76"/>
      <c r="F21" s="76"/>
      <c r="G21" s="76"/>
    </row>
    <row r="22" ht="15.0" customHeight="1">
      <c r="A22" s="76"/>
      <c r="B22" s="76"/>
      <c r="C22" s="76"/>
      <c r="D22" s="76"/>
      <c r="E22" s="76"/>
      <c r="F22" s="76"/>
      <c r="G22" s="76"/>
    </row>
    <row r="23" ht="15.0" customHeight="1">
      <c r="A23" s="76"/>
      <c r="B23" s="76"/>
      <c r="C23" s="76"/>
      <c r="D23" s="76"/>
      <c r="E23" s="76"/>
      <c r="F23" s="76"/>
      <c r="G23" s="76"/>
    </row>
    <row r="24" ht="15.0" customHeight="1">
      <c r="A24" s="76"/>
      <c r="B24" s="76"/>
      <c r="C24" s="76"/>
      <c r="D24" s="76"/>
      <c r="E24" s="76"/>
      <c r="F24" s="76"/>
      <c r="G24" s="76"/>
    </row>
    <row r="25" ht="15.0" customHeight="1">
      <c r="A25" s="76"/>
      <c r="B25" s="76"/>
      <c r="C25" s="76"/>
      <c r="D25" s="76"/>
      <c r="E25" s="76"/>
      <c r="F25" s="76"/>
      <c r="G25" s="76"/>
    </row>
    <row r="26" ht="15.0" customHeight="1">
      <c r="A26" s="76"/>
      <c r="B26" s="76"/>
      <c r="C26" s="76"/>
      <c r="D26" s="76"/>
      <c r="E26" s="76"/>
      <c r="F26" s="76"/>
      <c r="G26" s="76"/>
    </row>
    <row r="27" ht="15.0" customHeight="1">
      <c r="A27" s="76"/>
      <c r="B27" s="76"/>
      <c r="C27" s="76"/>
      <c r="D27" s="76"/>
      <c r="E27" s="76"/>
      <c r="F27" s="76"/>
      <c r="G27" s="76"/>
    </row>
    <row r="28" ht="15.0" customHeight="1">
      <c r="A28" s="76"/>
      <c r="B28" s="76"/>
      <c r="C28" s="76"/>
      <c r="D28" s="76"/>
      <c r="E28" s="76"/>
      <c r="F28" s="76"/>
      <c r="G28" s="76"/>
    </row>
    <row r="29" ht="15.0" customHeight="1">
      <c r="A29" s="76"/>
      <c r="B29" s="76"/>
      <c r="C29" s="76"/>
      <c r="D29" s="76"/>
      <c r="E29" s="76"/>
      <c r="F29" s="76"/>
      <c r="G29" s="76"/>
    </row>
    <row r="30" ht="15.0" customHeight="1">
      <c r="A30" s="76"/>
      <c r="B30" s="76"/>
      <c r="C30" s="76"/>
      <c r="D30" s="76"/>
      <c r="E30" s="76"/>
      <c r="F30" s="76"/>
      <c r="G30" s="76"/>
    </row>
    <row r="31" ht="15.0" customHeight="1">
      <c r="A31" s="76"/>
      <c r="B31" s="76"/>
      <c r="C31" s="76"/>
      <c r="D31" s="76"/>
      <c r="E31" s="76"/>
      <c r="F31" s="76"/>
      <c r="G31" s="76"/>
    </row>
    <row r="32" ht="15.0" customHeight="1">
      <c r="A32" s="76"/>
      <c r="B32" s="76"/>
      <c r="C32" s="76"/>
      <c r="D32" s="76"/>
      <c r="E32" s="76"/>
      <c r="F32" s="76"/>
      <c r="G32" s="76"/>
    </row>
    <row r="33" ht="15.0" customHeight="1">
      <c r="A33" s="76"/>
      <c r="B33" s="76"/>
      <c r="C33" s="76"/>
      <c r="D33" s="76"/>
      <c r="E33" s="76"/>
      <c r="F33" s="76"/>
      <c r="G33" s="76"/>
    </row>
    <row r="34" ht="15.0" customHeight="1">
      <c r="A34" s="76"/>
      <c r="B34" s="76"/>
      <c r="C34" s="76"/>
      <c r="D34" s="76"/>
      <c r="E34" s="76"/>
      <c r="F34" s="76"/>
      <c r="G34" s="76"/>
    </row>
    <row r="35" ht="15.0" customHeight="1">
      <c r="A35" s="76"/>
      <c r="B35" s="76"/>
      <c r="C35" s="76"/>
      <c r="D35" s="76"/>
      <c r="E35" s="76"/>
      <c r="F35" s="76"/>
      <c r="G35" s="76"/>
    </row>
    <row r="36" ht="15.0" customHeight="1">
      <c r="A36" s="76"/>
      <c r="B36" s="76"/>
      <c r="C36" s="76"/>
      <c r="D36" s="76"/>
      <c r="E36" s="76"/>
      <c r="F36" s="76"/>
      <c r="G36" s="76"/>
    </row>
    <row r="37" ht="15.0" customHeight="1">
      <c r="A37" s="76"/>
      <c r="B37" s="76"/>
      <c r="C37" s="76"/>
      <c r="D37" s="76"/>
      <c r="E37" s="76"/>
      <c r="F37" s="76"/>
      <c r="G37" s="76"/>
    </row>
    <row r="38" ht="15.0" customHeight="1">
      <c r="A38" s="76"/>
      <c r="B38" s="76"/>
      <c r="C38" s="76"/>
      <c r="D38" s="76"/>
      <c r="E38" s="76"/>
      <c r="F38" s="76"/>
      <c r="G38" s="76"/>
    </row>
    <row r="39" ht="15.0" customHeight="1">
      <c r="A39" s="76"/>
      <c r="B39" s="76"/>
      <c r="C39" s="76"/>
      <c r="D39" s="76"/>
      <c r="E39" s="76"/>
      <c r="F39" s="76"/>
      <c r="G39" s="76"/>
    </row>
    <row r="40" ht="15.0" customHeight="1">
      <c r="A40" s="76"/>
      <c r="B40" s="76"/>
      <c r="C40" s="76"/>
      <c r="D40" s="76"/>
      <c r="E40" s="76"/>
      <c r="F40" s="76"/>
      <c r="G40" s="76"/>
    </row>
    <row r="41" ht="15.0" customHeight="1">
      <c r="A41" s="76"/>
      <c r="B41" s="76"/>
      <c r="C41" s="76"/>
      <c r="D41" s="76"/>
      <c r="E41" s="76"/>
      <c r="F41" s="76"/>
      <c r="G41" s="76"/>
    </row>
    <row r="42" ht="15.0" customHeight="1">
      <c r="A42" s="76"/>
      <c r="B42" s="76"/>
      <c r="C42" s="76"/>
      <c r="D42" s="76"/>
      <c r="E42" s="76"/>
      <c r="F42" s="76"/>
      <c r="G42" s="76"/>
    </row>
    <row r="43" ht="15.0" customHeight="1">
      <c r="A43" s="76"/>
      <c r="B43" s="76"/>
      <c r="C43" s="76"/>
      <c r="D43" s="76"/>
      <c r="E43" s="76"/>
      <c r="F43" s="76"/>
      <c r="G43" s="76"/>
    </row>
    <row r="44" ht="15.0" customHeight="1">
      <c r="A44" s="76"/>
      <c r="B44" s="76"/>
      <c r="C44" s="76"/>
      <c r="D44" s="76"/>
      <c r="E44" s="76"/>
      <c r="F44" s="76"/>
      <c r="G44" s="76"/>
    </row>
    <row r="45" ht="15.0" customHeight="1">
      <c r="A45" s="76"/>
      <c r="B45" s="76"/>
      <c r="C45" s="76"/>
      <c r="D45" s="76"/>
      <c r="E45" s="76"/>
      <c r="F45" s="76"/>
      <c r="G45" s="76"/>
    </row>
    <row r="46" ht="15.0" customHeight="1">
      <c r="A46" s="76"/>
      <c r="B46" s="76"/>
      <c r="C46" s="76"/>
      <c r="D46" s="76"/>
      <c r="E46" s="76"/>
      <c r="F46" s="76"/>
      <c r="G46" s="76"/>
    </row>
    <row r="47" ht="15.0" customHeight="1">
      <c r="A47" s="76"/>
      <c r="B47" s="76"/>
      <c r="C47" s="76"/>
      <c r="D47" s="76"/>
      <c r="E47" s="76"/>
      <c r="F47" s="76"/>
      <c r="G47" s="76"/>
    </row>
    <row r="48" ht="15.0" customHeight="1">
      <c r="A48" s="76"/>
      <c r="B48" s="76"/>
      <c r="C48" s="76"/>
      <c r="D48" s="76"/>
      <c r="E48" s="76"/>
      <c r="F48" s="76"/>
      <c r="G48" s="76"/>
    </row>
    <row r="49" ht="15.0" customHeight="1">
      <c r="A49" s="76"/>
      <c r="B49" s="76"/>
      <c r="C49" s="76"/>
      <c r="D49" s="76"/>
      <c r="E49" s="76"/>
      <c r="F49" s="76"/>
      <c r="G49" s="76"/>
    </row>
    <row r="50" ht="15.0" customHeight="1">
      <c r="A50" s="76"/>
      <c r="B50" s="76"/>
      <c r="C50" s="76"/>
      <c r="D50" s="76"/>
      <c r="E50" s="76"/>
      <c r="F50" s="76"/>
      <c r="G50" s="76"/>
    </row>
    <row r="51" ht="15.0" customHeight="1">
      <c r="A51" s="76"/>
      <c r="B51" s="76"/>
      <c r="C51" s="76"/>
      <c r="D51" s="76"/>
      <c r="E51" s="76"/>
      <c r="F51" s="76"/>
      <c r="G51" s="76"/>
    </row>
    <row r="52" ht="15.0" customHeight="1">
      <c r="A52" s="76"/>
      <c r="B52" s="76"/>
      <c r="C52" s="76"/>
      <c r="D52" s="76"/>
      <c r="E52" s="76"/>
      <c r="F52" s="76"/>
      <c r="G52" s="76"/>
    </row>
    <row r="53" ht="15.0" customHeight="1">
      <c r="A53" s="76"/>
      <c r="B53" s="76"/>
      <c r="C53" s="76"/>
      <c r="D53" s="76"/>
      <c r="E53" s="76"/>
      <c r="F53" s="76"/>
      <c r="G53" s="76"/>
    </row>
    <row r="54" ht="15.0" customHeight="1">
      <c r="A54" s="76"/>
      <c r="B54" s="76"/>
      <c r="C54" s="76"/>
      <c r="D54" s="76"/>
      <c r="E54" s="76"/>
      <c r="F54" s="76"/>
      <c r="G54" s="76"/>
    </row>
    <row r="55" ht="15.0" customHeight="1">
      <c r="A55" s="76"/>
      <c r="B55" s="76"/>
      <c r="C55" s="76"/>
      <c r="D55" s="76"/>
      <c r="E55" s="76"/>
      <c r="F55" s="76"/>
      <c r="G55" s="76"/>
    </row>
    <row r="56" ht="15.0" customHeight="1">
      <c r="A56" s="76"/>
      <c r="B56" s="76"/>
      <c r="C56" s="76"/>
      <c r="D56" s="76"/>
      <c r="E56" s="76"/>
      <c r="F56" s="76"/>
      <c r="G56" s="76"/>
    </row>
    <row r="57" ht="15.0" customHeight="1">
      <c r="A57" s="76"/>
      <c r="B57" s="76"/>
      <c r="C57" s="76"/>
      <c r="D57" s="76"/>
      <c r="E57" s="76"/>
      <c r="F57" s="76"/>
      <c r="G57" s="76"/>
    </row>
    <row r="58" ht="15.0" customHeight="1">
      <c r="A58" s="76"/>
      <c r="B58" s="76"/>
      <c r="C58" s="76"/>
      <c r="D58" s="76"/>
      <c r="E58" s="76"/>
      <c r="F58" s="76"/>
      <c r="G58" s="76"/>
    </row>
    <row r="59" ht="15.0" customHeight="1">
      <c r="A59" s="76"/>
      <c r="B59" s="76"/>
      <c r="C59" s="76"/>
      <c r="D59" s="76"/>
      <c r="E59" s="76"/>
      <c r="F59" s="76"/>
      <c r="G59" s="76"/>
    </row>
    <row r="60" ht="15.0" customHeight="1">
      <c r="A60" s="76"/>
      <c r="B60" s="76"/>
      <c r="C60" s="76"/>
      <c r="D60" s="76"/>
      <c r="E60" s="76"/>
      <c r="F60" s="76"/>
      <c r="G60" s="76"/>
    </row>
    <row r="61" ht="15.0" customHeight="1">
      <c r="A61" s="76"/>
      <c r="B61" s="76"/>
      <c r="C61" s="76"/>
      <c r="D61" s="76"/>
      <c r="E61" s="76"/>
      <c r="F61" s="76"/>
      <c r="G61" s="76"/>
    </row>
    <row r="62" ht="15.0" customHeight="1">
      <c r="A62" s="76"/>
      <c r="B62" s="76"/>
      <c r="C62" s="76"/>
      <c r="D62" s="76"/>
      <c r="E62" s="76"/>
      <c r="F62" s="76"/>
      <c r="G62" s="76"/>
    </row>
    <row r="63" ht="15.0" customHeight="1">
      <c r="A63" s="76"/>
      <c r="B63" s="76"/>
      <c r="C63" s="76"/>
      <c r="D63" s="76"/>
      <c r="E63" s="76"/>
      <c r="F63" s="76"/>
      <c r="G63" s="76"/>
    </row>
    <row r="64" ht="15.0" customHeight="1">
      <c r="A64" s="76"/>
      <c r="B64" s="76"/>
      <c r="C64" s="76"/>
      <c r="D64" s="76"/>
      <c r="E64" s="76"/>
      <c r="F64" s="76"/>
      <c r="G64" s="76"/>
    </row>
    <row r="65" ht="15.0" customHeight="1">
      <c r="A65" s="76"/>
      <c r="B65" s="76"/>
      <c r="C65" s="76"/>
      <c r="D65" s="76"/>
      <c r="E65" s="76"/>
      <c r="F65" s="76"/>
      <c r="G65" s="76"/>
    </row>
    <row r="66" ht="15.0" customHeight="1">
      <c r="A66" s="76"/>
      <c r="B66" s="76"/>
      <c r="C66" s="76"/>
      <c r="D66" s="76"/>
      <c r="E66" s="76"/>
      <c r="F66" s="76"/>
      <c r="G66" s="76"/>
    </row>
    <row r="67" ht="15.0" customHeight="1">
      <c r="A67" s="76"/>
      <c r="B67" s="76"/>
      <c r="C67" s="76"/>
      <c r="D67" s="76"/>
      <c r="E67" s="76"/>
      <c r="F67" s="76"/>
      <c r="G67" s="76"/>
    </row>
    <row r="68" ht="15.0" customHeight="1">
      <c r="A68" s="76"/>
      <c r="B68" s="76"/>
      <c r="C68" s="76"/>
      <c r="D68" s="76"/>
      <c r="E68" s="76"/>
      <c r="F68" s="76"/>
      <c r="G68" s="76"/>
    </row>
    <row r="69" ht="15.0" customHeight="1">
      <c r="A69" s="76"/>
      <c r="B69" s="76"/>
      <c r="C69" s="76"/>
      <c r="D69" s="76"/>
      <c r="E69" s="76"/>
      <c r="F69" s="76"/>
      <c r="G69" s="76"/>
    </row>
    <row r="70" ht="15.0" customHeight="1">
      <c r="A70" s="76"/>
      <c r="B70" s="76"/>
      <c r="C70" s="76"/>
      <c r="D70" s="76"/>
      <c r="E70" s="76"/>
      <c r="F70" s="76"/>
      <c r="G70" s="76"/>
    </row>
    <row r="71" ht="15.0" customHeight="1">
      <c r="A71" s="76"/>
      <c r="B71" s="76"/>
      <c r="C71" s="76"/>
      <c r="D71" s="76"/>
      <c r="E71" s="76"/>
      <c r="F71" s="76"/>
      <c r="G71" s="76"/>
    </row>
    <row r="72" ht="15.0" customHeight="1">
      <c r="A72" s="76"/>
      <c r="B72" s="76"/>
      <c r="C72" s="76"/>
      <c r="D72" s="76"/>
      <c r="E72" s="76"/>
      <c r="F72" s="76"/>
      <c r="G72" s="76"/>
    </row>
    <row r="73" ht="15.0" customHeight="1">
      <c r="A73" s="76"/>
      <c r="B73" s="76"/>
      <c r="C73" s="76"/>
      <c r="D73" s="76"/>
      <c r="E73" s="76"/>
      <c r="F73" s="76"/>
      <c r="G73" s="76"/>
    </row>
    <row r="74" ht="15.0" customHeight="1">
      <c r="A74" s="76"/>
      <c r="B74" s="76"/>
      <c r="C74" s="76"/>
      <c r="D74" s="76"/>
      <c r="E74" s="76"/>
      <c r="F74" s="76"/>
      <c r="G74" s="76"/>
    </row>
    <row r="75" ht="15.0" customHeight="1">
      <c r="A75" s="76"/>
      <c r="B75" s="76"/>
      <c r="C75" s="76"/>
      <c r="D75" s="76"/>
      <c r="E75" s="76"/>
      <c r="F75" s="76"/>
      <c r="G75" s="76"/>
    </row>
    <row r="76" ht="15.0" customHeight="1">
      <c r="A76" s="76"/>
      <c r="B76" s="76"/>
      <c r="C76" s="76"/>
      <c r="D76" s="76"/>
      <c r="E76" s="76"/>
      <c r="F76" s="76"/>
      <c r="G76" s="76"/>
    </row>
    <row r="77" ht="15.0" customHeight="1">
      <c r="A77" s="76"/>
      <c r="B77" s="76"/>
      <c r="C77" s="76"/>
      <c r="D77" s="76"/>
      <c r="E77" s="76"/>
      <c r="F77" s="76"/>
      <c r="G77" s="76"/>
    </row>
    <row r="78" ht="15.0" customHeight="1">
      <c r="A78" s="76"/>
      <c r="B78" s="76"/>
      <c r="C78" s="76"/>
      <c r="D78" s="76"/>
      <c r="E78" s="76"/>
      <c r="F78" s="76"/>
      <c r="G78" s="76"/>
    </row>
    <row r="79" ht="15.0" customHeight="1">
      <c r="A79" s="76"/>
      <c r="B79" s="76"/>
      <c r="C79" s="76"/>
      <c r="D79" s="76"/>
      <c r="E79" s="76"/>
      <c r="F79" s="76"/>
      <c r="G79" s="76"/>
    </row>
    <row r="80" ht="15.0" customHeight="1">
      <c r="A80" s="76"/>
      <c r="B80" s="76"/>
      <c r="C80" s="76"/>
      <c r="D80" s="76"/>
      <c r="E80" s="76"/>
      <c r="F80" s="76"/>
      <c r="G80" s="76"/>
    </row>
    <row r="81" ht="15.0" customHeight="1">
      <c r="A81" s="76"/>
      <c r="B81" s="76"/>
      <c r="C81" s="76"/>
      <c r="D81" s="76"/>
      <c r="E81" s="76"/>
      <c r="F81" s="76"/>
      <c r="G81" s="76"/>
    </row>
    <row r="82" ht="15.0" customHeight="1">
      <c r="A82" s="76"/>
      <c r="B82" s="76"/>
      <c r="C82" s="76"/>
      <c r="D82" s="76"/>
      <c r="E82" s="76"/>
      <c r="F82" s="76"/>
      <c r="G82" s="76"/>
    </row>
    <row r="83" ht="15.0" customHeight="1">
      <c r="A83" s="76"/>
      <c r="B83" s="76"/>
      <c r="C83" s="76"/>
      <c r="D83" s="76"/>
      <c r="E83" s="76"/>
      <c r="F83" s="76"/>
      <c r="G83" s="76"/>
    </row>
    <row r="84" ht="15.0" customHeight="1">
      <c r="A84" s="76"/>
      <c r="B84" s="76"/>
      <c r="C84" s="76"/>
      <c r="D84" s="76"/>
      <c r="E84" s="76"/>
      <c r="F84" s="76"/>
      <c r="G84" s="76"/>
    </row>
    <row r="85" ht="15.0" customHeight="1">
      <c r="A85" s="76"/>
      <c r="B85" s="76"/>
      <c r="C85" s="76"/>
      <c r="D85" s="76"/>
      <c r="E85" s="76"/>
      <c r="F85" s="76"/>
      <c r="G85" s="76"/>
    </row>
    <row r="86" ht="15.0" customHeight="1">
      <c r="A86" s="76"/>
      <c r="B86" s="76"/>
      <c r="C86" s="76"/>
      <c r="D86" s="76"/>
      <c r="E86" s="76"/>
      <c r="F86" s="76"/>
      <c r="G86" s="76"/>
    </row>
    <row r="87" ht="15.0" customHeight="1">
      <c r="A87" s="76"/>
      <c r="B87" s="76"/>
      <c r="C87" s="76"/>
      <c r="D87" s="76"/>
      <c r="E87" s="76"/>
      <c r="F87" s="76"/>
      <c r="G87" s="76"/>
    </row>
    <row r="88" ht="15.0" customHeight="1">
      <c r="A88" s="76"/>
      <c r="B88" s="76"/>
      <c r="C88" s="76"/>
      <c r="D88" s="76"/>
      <c r="E88" s="76"/>
      <c r="F88" s="76"/>
      <c r="G88" s="76"/>
    </row>
    <row r="89" ht="15.0" customHeight="1">
      <c r="A89" s="76"/>
      <c r="B89" s="76"/>
      <c r="C89" s="76"/>
      <c r="D89" s="76"/>
      <c r="E89" s="76"/>
      <c r="F89" s="76"/>
      <c r="G89" s="76"/>
    </row>
    <row r="90" ht="15.0" customHeight="1">
      <c r="A90" s="76"/>
      <c r="B90" s="76"/>
      <c r="C90" s="76"/>
      <c r="D90" s="76"/>
      <c r="E90" s="76"/>
      <c r="F90" s="76"/>
      <c r="G90" s="76"/>
    </row>
    <row r="91" ht="15.0" customHeight="1">
      <c r="A91" s="76"/>
      <c r="B91" s="76"/>
      <c r="C91" s="76"/>
      <c r="D91" s="76"/>
      <c r="E91" s="76"/>
      <c r="F91" s="76"/>
      <c r="G91" s="76"/>
    </row>
    <row r="92" ht="15.0" customHeight="1">
      <c r="A92" s="76"/>
      <c r="B92" s="76"/>
      <c r="C92" s="76"/>
      <c r="D92" s="76"/>
      <c r="E92" s="76"/>
      <c r="F92" s="76"/>
      <c r="G92" s="76"/>
    </row>
    <row r="93" ht="15.0" customHeight="1">
      <c r="A93" s="76"/>
      <c r="B93" s="76"/>
      <c r="C93" s="76"/>
      <c r="D93" s="76"/>
      <c r="E93" s="76"/>
      <c r="F93" s="76"/>
      <c r="G93" s="76"/>
    </row>
    <row r="94" ht="15.0" customHeight="1">
      <c r="A94" s="76"/>
      <c r="B94" s="76"/>
      <c r="C94" s="76"/>
      <c r="D94" s="76"/>
      <c r="E94" s="76"/>
      <c r="F94" s="76"/>
      <c r="G94" s="76"/>
    </row>
    <row r="95" ht="15.0" customHeight="1">
      <c r="A95" s="76"/>
      <c r="B95" s="76"/>
      <c r="C95" s="76"/>
      <c r="D95" s="76"/>
      <c r="E95" s="76"/>
      <c r="F95" s="76"/>
      <c r="G95" s="76"/>
    </row>
    <row r="96" ht="15.0" customHeight="1">
      <c r="A96" s="76"/>
      <c r="B96" s="76"/>
      <c r="C96" s="76"/>
      <c r="D96" s="76"/>
      <c r="E96" s="76"/>
      <c r="F96" s="76"/>
      <c r="G96" s="76"/>
    </row>
    <row r="97" ht="15.0" customHeight="1">
      <c r="A97" s="76"/>
      <c r="B97" s="76"/>
      <c r="C97" s="76"/>
      <c r="D97" s="76"/>
      <c r="E97" s="76"/>
      <c r="F97" s="76"/>
      <c r="G97" s="76"/>
    </row>
    <row r="98" ht="15.0" customHeight="1">
      <c r="A98" s="76"/>
      <c r="B98" s="76"/>
      <c r="C98" s="76"/>
      <c r="D98" s="76"/>
      <c r="E98" s="76"/>
      <c r="F98" s="76"/>
      <c r="G98" s="76"/>
    </row>
    <row r="99" ht="15.0" customHeight="1">
      <c r="A99" s="76"/>
      <c r="B99" s="76"/>
      <c r="C99" s="76"/>
      <c r="D99" s="76"/>
      <c r="E99" s="76"/>
      <c r="F99" s="76"/>
      <c r="G99" s="76"/>
    </row>
    <row r="100" ht="15.0" customHeight="1">
      <c r="A100" s="76"/>
      <c r="B100" s="76"/>
      <c r="C100" s="76"/>
      <c r="D100" s="76"/>
      <c r="E100" s="76"/>
      <c r="F100" s="76"/>
      <c r="G100" s="76"/>
    </row>
    <row r="101" ht="15.75" customHeight="1">
      <c r="B101" s="31"/>
      <c r="C101" s="31"/>
      <c r="D101" s="31"/>
      <c r="E101" s="31"/>
      <c r="F101" s="31"/>
      <c r="G101" s="31"/>
    </row>
    <row r="102" ht="15.75" customHeight="1">
      <c r="B102" s="31"/>
      <c r="C102" s="31"/>
      <c r="D102" s="31"/>
      <c r="E102" s="31"/>
      <c r="F102" s="31"/>
      <c r="G102" s="31"/>
    </row>
    <row r="103" ht="15.75" customHeight="1">
      <c r="B103" s="31"/>
      <c r="C103" s="31"/>
      <c r="D103" s="31"/>
      <c r="E103" s="31"/>
      <c r="F103" s="31"/>
      <c r="G103" s="31"/>
    </row>
    <row r="104" ht="15.75" customHeight="1">
      <c r="B104" s="31"/>
      <c r="C104" s="31"/>
      <c r="D104" s="31"/>
      <c r="E104" s="31"/>
      <c r="F104" s="31"/>
      <c r="G104" s="31"/>
    </row>
    <row r="105" ht="15.75" customHeight="1">
      <c r="B105" s="31"/>
      <c r="C105" s="31"/>
      <c r="D105" s="31"/>
      <c r="E105" s="31"/>
      <c r="F105" s="31"/>
      <c r="G105" s="31"/>
    </row>
    <row r="106" ht="15.75" customHeight="1">
      <c r="B106" s="31"/>
      <c r="C106" s="31"/>
      <c r="D106" s="31"/>
      <c r="E106" s="31"/>
      <c r="F106" s="31"/>
      <c r="G106" s="31"/>
    </row>
    <row r="107" ht="15.75" customHeight="1">
      <c r="B107" s="31"/>
      <c r="C107" s="31"/>
      <c r="D107" s="31"/>
      <c r="E107" s="31"/>
      <c r="F107" s="31"/>
      <c r="G107" s="31"/>
    </row>
    <row r="108" ht="15.75" customHeight="1">
      <c r="B108" s="31"/>
      <c r="C108" s="31"/>
      <c r="D108" s="31"/>
      <c r="E108" s="31"/>
      <c r="F108" s="31"/>
      <c r="G108" s="31"/>
    </row>
    <row r="109" ht="15.75" customHeight="1">
      <c r="B109" s="31"/>
      <c r="C109" s="31"/>
      <c r="D109" s="31"/>
      <c r="E109" s="31"/>
      <c r="F109" s="31"/>
      <c r="G109" s="31"/>
    </row>
    <row r="110" ht="15.75" customHeight="1">
      <c r="B110" s="31"/>
      <c r="C110" s="31"/>
      <c r="D110" s="31"/>
      <c r="E110" s="31"/>
      <c r="F110" s="31"/>
      <c r="G110" s="31"/>
    </row>
    <row r="111" ht="15.75" customHeight="1">
      <c r="B111" s="31"/>
      <c r="C111" s="31"/>
      <c r="D111" s="31"/>
      <c r="E111" s="31"/>
      <c r="F111" s="31"/>
      <c r="G111" s="31"/>
    </row>
    <row r="112" ht="15.75" customHeight="1">
      <c r="B112" s="31"/>
      <c r="C112" s="31"/>
      <c r="D112" s="31"/>
      <c r="E112" s="31"/>
      <c r="F112" s="31"/>
      <c r="G112" s="31"/>
    </row>
    <row r="113" ht="15.75" customHeight="1">
      <c r="B113" s="31"/>
      <c r="C113" s="31"/>
      <c r="D113" s="31"/>
      <c r="E113" s="31"/>
      <c r="F113" s="31"/>
      <c r="G113" s="31"/>
    </row>
    <row r="114" ht="15.75" customHeight="1">
      <c r="B114" s="31"/>
      <c r="C114" s="31"/>
      <c r="D114" s="31"/>
      <c r="E114" s="31"/>
      <c r="F114" s="31"/>
      <c r="G114" s="31"/>
    </row>
    <row r="115" ht="15.75" customHeight="1">
      <c r="B115" s="31"/>
      <c r="C115" s="31"/>
      <c r="D115" s="31"/>
      <c r="E115" s="31"/>
      <c r="F115" s="31"/>
      <c r="G115" s="31"/>
    </row>
    <row r="116" ht="15.75" customHeight="1">
      <c r="B116" s="31"/>
      <c r="C116" s="31"/>
      <c r="D116" s="31"/>
      <c r="E116" s="31"/>
      <c r="F116" s="31"/>
      <c r="G116" s="31"/>
    </row>
    <row r="117" ht="15.75" customHeight="1">
      <c r="B117" s="31"/>
      <c r="C117" s="31"/>
      <c r="D117" s="31"/>
      <c r="E117" s="31"/>
      <c r="F117" s="31"/>
      <c r="G117" s="31"/>
    </row>
    <row r="118" ht="15.75" customHeight="1">
      <c r="B118" s="31"/>
      <c r="C118" s="31"/>
      <c r="D118" s="31"/>
      <c r="E118" s="31"/>
      <c r="F118" s="31"/>
      <c r="G118" s="31"/>
    </row>
    <row r="119" ht="15.75" customHeight="1">
      <c r="B119" s="31"/>
      <c r="C119" s="31"/>
      <c r="D119" s="31"/>
      <c r="E119" s="31"/>
      <c r="F119" s="31"/>
      <c r="G119" s="31"/>
    </row>
    <row r="120" ht="15.75" customHeight="1">
      <c r="B120" s="31"/>
      <c r="C120" s="31"/>
      <c r="D120" s="31"/>
      <c r="E120" s="31"/>
      <c r="F120" s="31"/>
      <c r="G120" s="31"/>
    </row>
    <row r="121" ht="15.75" customHeight="1">
      <c r="B121" s="31"/>
      <c r="C121" s="31"/>
      <c r="D121" s="31"/>
      <c r="E121" s="31"/>
      <c r="F121" s="31"/>
      <c r="G121" s="31"/>
    </row>
    <row r="122" ht="15.75" customHeight="1">
      <c r="B122" s="31"/>
      <c r="C122" s="31"/>
      <c r="D122" s="31"/>
      <c r="E122" s="31"/>
      <c r="F122" s="31"/>
      <c r="G122" s="31"/>
    </row>
    <row r="123" ht="15.75" customHeight="1">
      <c r="B123" s="31"/>
      <c r="C123" s="31"/>
      <c r="D123" s="31"/>
      <c r="E123" s="31"/>
      <c r="F123" s="31"/>
      <c r="G123" s="31"/>
    </row>
    <row r="124" ht="15.75" customHeight="1">
      <c r="B124" s="31"/>
      <c r="C124" s="31"/>
      <c r="D124" s="31"/>
      <c r="E124" s="31"/>
      <c r="F124" s="31"/>
      <c r="G124" s="31"/>
    </row>
    <row r="125" ht="15.75" customHeight="1">
      <c r="B125" s="31"/>
      <c r="C125" s="31"/>
      <c r="D125" s="31"/>
      <c r="E125" s="31"/>
      <c r="F125" s="31"/>
      <c r="G125" s="31"/>
    </row>
    <row r="126" ht="15.75" customHeight="1">
      <c r="B126" s="31"/>
      <c r="C126" s="31"/>
      <c r="D126" s="31"/>
      <c r="E126" s="31"/>
      <c r="F126" s="31"/>
      <c r="G126" s="31"/>
    </row>
    <row r="127" ht="15.75" customHeight="1">
      <c r="B127" s="31"/>
      <c r="C127" s="31"/>
      <c r="D127" s="31"/>
      <c r="E127" s="31"/>
      <c r="F127" s="31"/>
      <c r="G127" s="31"/>
    </row>
    <row r="128" ht="15.75" customHeight="1">
      <c r="B128" s="31"/>
      <c r="C128" s="31"/>
      <c r="D128" s="31"/>
      <c r="E128" s="31"/>
      <c r="F128" s="31"/>
      <c r="G128" s="31"/>
    </row>
    <row r="129" ht="15.75" customHeight="1">
      <c r="B129" s="31"/>
      <c r="C129" s="31"/>
      <c r="D129" s="31"/>
      <c r="E129" s="31"/>
      <c r="F129" s="31"/>
      <c r="G129" s="31"/>
    </row>
    <row r="130" ht="15.75" customHeight="1">
      <c r="B130" s="31"/>
      <c r="C130" s="31"/>
      <c r="D130" s="31"/>
      <c r="E130" s="31"/>
      <c r="F130" s="31"/>
      <c r="G130" s="31"/>
    </row>
    <row r="131" ht="15.75" customHeight="1">
      <c r="B131" s="31"/>
      <c r="C131" s="31"/>
      <c r="D131" s="31"/>
      <c r="E131" s="31"/>
      <c r="F131" s="31"/>
      <c r="G131" s="31"/>
    </row>
    <row r="132" ht="15.75" customHeight="1">
      <c r="B132" s="31"/>
      <c r="C132" s="31"/>
      <c r="D132" s="31"/>
      <c r="E132" s="31"/>
      <c r="F132" s="31"/>
      <c r="G132" s="31"/>
    </row>
    <row r="133" ht="15.75" customHeight="1">
      <c r="B133" s="31"/>
      <c r="C133" s="31"/>
      <c r="D133" s="31"/>
      <c r="E133" s="31"/>
      <c r="F133" s="31"/>
      <c r="G133" s="31"/>
    </row>
    <row r="134" ht="15.75" customHeight="1">
      <c r="B134" s="31"/>
      <c r="C134" s="31"/>
      <c r="D134" s="31"/>
      <c r="E134" s="31"/>
      <c r="F134" s="31"/>
      <c r="G134" s="31"/>
    </row>
    <row r="135" ht="15.75" customHeight="1">
      <c r="B135" s="31"/>
      <c r="C135" s="31"/>
      <c r="D135" s="31"/>
      <c r="E135" s="31"/>
      <c r="F135" s="31"/>
      <c r="G135" s="31"/>
    </row>
    <row r="136" ht="15.75" customHeight="1">
      <c r="B136" s="31"/>
      <c r="C136" s="31"/>
      <c r="D136" s="31"/>
      <c r="E136" s="31"/>
      <c r="F136" s="31"/>
      <c r="G136" s="31"/>
    </row>
    <row r="137" ht="15.75" customHeight="1">
      <c r="B137" s="31"/>
      <c r="C137" s="31"/>
      <c r="D137" s="31"/>
      <c r="E137" s="31"/>
      <c r="F137" s="31"/>
      <c r="G137" s="31"/>
    </row>
    <row r="138" ht="15.75" customHeight="1">
      <c r="B138" s="31"/>
      <c r="C138" s="31"/>
      <c r="D138" s="31"/>
      <c r="E138" s="31"/>
      <c r="F138" s="31"/>
      <c r="G138" s="31"/>
    </row>
    <row r="139" ht="15.75" customHeight="1">
      <c r="B139" s="31"/>
      <c r="C139" s="31"/>
      <c r="D139" s="31"/>
      <c r="E139" s="31"/>
      <c r="F139" s="31"/>
      <c r="G139" s="31"/>
    </row>
    <row r="140" ht="15.75" customHeight="1">
      <c r="B140" s="31"/>
      <c r="C140" s="31"/>
      <c r="D140" s="31"/>
      <c r="E140" s="31"/>
      <c r="F140" s="31"/>
      <c r="G140" s="31"/>
    </row>
    <row r="141" ht="15.75" customHeight="1">
      <c r="B141" s="31"/>
      <c r="C141" s="31"/>
      <c r="D141" s="31"/>
      <c r="E141" s="31"/>
      <c r="F141" s="31"/>
      <c r="G141" s="31"/>
    </row>
    <row r="142" ht="15.75" customHeight="1">
      <c r="B142" s="31"/>
      <c r="C142" s="31"/>
      <c r="D142" s="31"/>
      <c r="E142" s="31"/>
      <c r="F142" s="31"/>
      <c r="G142" s="31"/>
    </row>
    <row r="143" ht="15.75" customHeight="1">
      <c r="B143" s="31"/>
      <c r="C143" s="31"/>
      <c r="D143" s="31"/>
      <c r="E143" s="31"/>
      <c r="F143" s="31"/>
      <c r="G143" s="31"/>
    </row>
    <row r="144" ht="15.75" customHeight="1">
      <c r="B144" s="31"/>
      <c r="C144" s="31"/>
      <c r="D144" s="31"/>
      <c r="E144" s="31"/>
      <c r="F144" s="31"/>
      <c r="G144" s="31"/>
    </row>
    <row r="145" ht="15.75" customHeight="1">
      <c r="B145" s="31"/>
      <c r="C145" s="31"/>
      <c r="D145" s="31"/>
      <c r="E145" s="31"/>
      <c r="F145" s="31"/>
      <c r="G145" s="31"/>
    </row>
    <row r="146" ht="15.75" customHeight="1">
      <c r="B146" s="31"/>
      <c r="C146" s="31"/>
      <c r="D146" s="31"/>
      <c r="E146" s="31"/>
      <c r="F146" s="31"/>
      <c r="G146" s="31"/>
    </row>
    <row r="147" ht="15.75" customHeight="1">
      <c r="B147" s="31"/>
      <c r="C147" s="31"/>
      <c r="D147" s="31"/>
      <c r="E147" s="31"/>
      <c r="F147" s="31"/>
      <c r="G147" s="31"/>
    </row>
    <row r="148" ht="15.75" customHeight="1">
      <c r="B148" s="31"/>
      <c r="C148" s="31"/>
      <c r="D148" s="31"/>
      <c r="E148" s="31"/>
      <c r="F148" s="31"/>
      <c r="G148" s="31"/>
    </row>
    <row r="149" ht="15.75" customHeight="1">
      <c r="B149" s="31"/>
      <c r="C149" s="31"/>
      <c r="D149" s="31"/>
      <c r="E149" s="31"/>
      <c r="F149" s="31"/>
      <c r="G149" s="31"/>
    </row>
    <row r="150" ht="15.75" customHeight="1">
      <c r="B150" s="31"/>
      <c r="C150" s="31"/>
      <c r="D150" s="31"/>
      <c r="E150" s="31"/>
      <c r="F150" s="31"/>
      <c r="G150" s="31"/>
    </row>
    <row r="151" ht="15.75" customHeight="1">
      <c r="B151" s="31"/>
      <c r="C151" s="31"/>
      <c r="D151" s="31"/>
      <c r="E151" s="31"/>
      <c r="F151" s="31"/>
      <c r="G151" s="31"/>
    </row>
    <row r="152" ht="15.75" customHeight="1">
      <c r="B152" s="31"/>
      <c r="C152" s="31"/>
      <c r="D152" s="31"/>
      <c r="E152" s="31"/>
      <c r="F152" s="31"/>
      <c r="G152" s="31"/>
    </row>
    <row r="153" ht="15.75" customHeight="1">
      <c r="B153" s="31"/>
      <c r="C153" s="31"/>
      <c r="D153" s="31"/>
      <c r="E153" s="31"/>
      <c r="F153" s="31"/>
      <c r="G153" s="31"/>
    </row>
    <row r="154" ht="15.75" customHeight="1">
      <c r="B154" s="31"/>
      <c r="C154" s="31"/>
      <c r="D154" s="31"/>
      <c r="E154" s="31"/>
      <c r="F154" s="31"/>
      <c r="G154" s="31"/>
    </row>
    <row r="155" ht="15.75" customHeight="1">
      <c r="B155" s="31"/>
      <c r="C155" s="31"/>
      <c r="D155" s="31"/>
      <c r="E155" s="31"/>
      <c r="F155" s="31"/>
      <c r="G155" s="31"/>
    </row>
    <row r="156" ht="15.75" customHeight="1">
      <c r="B156" s="31"/>
      <c r="C156" s="31"/>
      <c r="D156" s="31"/>
      <c r="E156" s="31"/>
      <c r="F156" s="31"/>
      <c r="G156" s="31"/>
    </row>
    <row r="157" ht="15.75" customHeight="1">
      <c r="B157" s="31"/>
      <c r="C157" s="31"/>
      <c r="D157" s="31"/>
      <c r="E157" s="31"/>
      <c r="F157" s="31"/>
      <c r="G157" s="31"/>
    </row>
    <row r="158" ht="15.75" customHeight="1">
      <c r="B158" s="31"/>
      <c r="C158" s="31"/>
      <c r="D158" s="31"/>
      <c r="E158" s="31"/>
      <c r="F158" s="31"/>
      <c r="G158" s="31"/>
    </row>
    <row r="159" ht="15.75" customHeight="1">
      <c r="B159" s="31"/>
      <c r="C159" s="31"/>
      <c r="D159" s="31"/>
      <c r="E159" s="31"/>
      <c r="F159" s="31"/>
      <c r="G159" s="31"/>
    </row>
    <row r="160" ht="15.75" customHeight="1">
      <c r="B160" s="31"/>
      <c r="C160" s="31"/>
      <c r="D160" s="31"/>
      <c r="E160" s="31"/>
      <c r="F160" s="31"/>
      <c r="G160" s="31"/>
    </row>
    <row r="161" ht="15.75" customHeight="1">
      <c r="B161" s="31"/>
      <c r="C161" s="31"/>
      <c r="D161" s="31"/>
      <c r="E161" s="31"/>
      <c r="F161" s="31"/>
      <c r="G161" s="31"/>
    </row>
    <row r="162" ht="15.75" customHeight="1">
      <c r="B162" s="31"/>
      <c r="C162" s="31"/>
      <c r="D162" s="31"/>
      <c r="E162" s="31"/>
      <c r="F162" s="31"/>
      <c r="G162" s="31"/>
    </row>
    <row r="163" ht="15.75" customHeight="1">
      <c r="B163" s="31"/>
      <c r="C163" s="31"/>
      <c r="D163" s="31"/>
      <c r="E163" s="31"/>
      <c r="F163" s="31"/>
      <c r="G163" s="31"/>
    </row>
    <row r="164" ht="15.75" customHeight="1">
      <c r="B164" s="31"/>
      <c r="C164" s="31"/>
      <c r="D164" s="31"/>
      <c r="E164" s="31"/>
      <c r="F164" s="31"/>
      <c r="G164" s="31"/>
    </row>
    <row r="165" ht="15.75" customHeight="1">
      <c r="B165" s="31"/>
      <c r="C165" s="31"/>
      <c r="D165" s="31"/>
      <c r="E165" s="31"/>
      <c r="F165" s="31"/>
      <c r="G165" s="31"/>
    </row>
    <row r="166" ht="15.75" customHeight="1">
      <c r="B166" s="31"/>
      <c r="C166" s="31"/>
      <c r="D166" s="31"/>
      <c r="E166" s="31"/>
      <c r="F166" s="31"/>
      <c r="G166" s="31"/>
    </row>
    <row r="167" ht="15.75" customHeight="1">
      <c r="B167" s="31"/>
      <c r="C167" s="31"/>
      <c r="D167" s="31"/>
      <c r="E167" s="31"/>
      <c r="F167" s="31"/>
      <c r="G167" s="31"/>
    </row>
    <row r="168" ht="15.75" customHeight="1">
      <c r="B168" s="31"/>
      <c r="C168" s="31"/>
      <c r="D168" s="31"/>
      <c r="E168" s="31"/>
      <c r="F168" s="31"/>
      <c r="G168" s="31"/>
    </row>
    <row r="169" ht="15.75" customHeight="1">
      <c r="B169" s="31"/>
      <c r="C169" s="31"/>
      <c r="D169" s="31"/>
      <c r="E169" s="31"/>
      <c r="F169" s="31"/>
      <c r="G169" s="31"/>
    </row>
    <row r="170" ht="15.75" customHeight="1">
      <c r="B170" s="31"/>
      <c r="C170" s="31"/>
      <c r="D170" s="31"/>
      <c r="E170" s="31"/>
      <c r="F170" s="31"/>
      <c r="G170" s="31"/>
    </row>
    <row r="171" ht="15.75" customHeight="1">
      <c r="B171" s="31"/>
      <c r="C171" s="31"/>
      <c r="D171" s="31"/>
      <c r="E171" s="31"/>
      <c r="F171" s="31"/>
      <c r="G171" s="31"/>
    </row>
    <row r="172" ht="15.75" customHeight="1">
      <c r="B172" s="31"/>
      <c r="C172" s="31"/>
      <c r="D172" s="31"/>
      <c r="E172" s="31"/>
      <c r="F172" s="31"/>
      <c r="G172" s="31"/>
    </row>
    <row r="173" ht="15.75" customHeight="1">
      <c r="B173" s="31"/>
      <c r="C173" s="31"/>
      <c r="D173" s="31"/>
      <c r="E173" s="31"/>
      <c r="F173" s="31"/>
      <c r="G173" s="31"/>
    </row>
    <row r="174" ht="15.75" customHeight="1">
      <c r="B174" s="31"/>
      <c r="C174" s="31"/>
      <c r="D174" s="31"/>
      <c r="E174" s="31"/>
      <c r="F174" s="31"/>
      <c r="G174" s="31"/>
    </row>
    <row r="175" ht="15.75" customHeight="1">
      <c r="B175" s="31"/>
      <c r="C175" s="31"/>
      <c r="D175" s="31"/>
      <c r="E175" s="31"/>
      <c r="F175" s="31"/>
      <c r="G175" s="31"/>
    </row>
    <row r="176" ht="15.75" customHeight="1">
      <c r="B176" s="31"/>
      <c r="C176" s="31"/>
      <c r="D176" s="31"/>
      <c r="E176" s="31"/>
      <c r="F176" s="31"/>
      <c r="G176" s="31"/>
    </row>
    <row r="177" ht="15.75" customHeight="1">
      <c r="B177" s="31"/>
      <c r="C177" s="31"/>
      <c r="D177" s="31"/>
      <c r="E177" s="31"/>
      <c r="F177" s="31"/>
      <c r="G177" s="31"/>
    </row>
    <row r="178" ht="15.75" customHeight="1">
      <c r="B178" s="31"/>
      <c r="C178" s="31"/>
      <c r="D178" s="31"/>
      <c r="E178" s="31"/>
      <c r="F178" s="31"/>
      <c r="G178" s="31"/>
    </row>
    <row r="179" ht="15.75" customHeight="1">
      <c r="B179" s="31"/>
      <c r="C179" s="31"/>
      <c r="D179" s="31"/>
      <c r="E179" s="31"/>
      <c r="F179" s="31"/>
      <c r="G179" s="31"/>
    </row>
    <row r="180" ht="15.75" customHeight="1">
      <c r="B180" s="31"/>
      <c r="C180" s="31"/>
      <c r="D180" s="31"/>
      <c r="E180" s="31"/>
      <c r="F180" s="31"/>
      <c r="G180" s="31"/>
    </row>
    <row r="181" ht="15.75" customHeight="1">
      <c r="B181" s="31"/>
      <c r="C181" s="31"/>
      <c r="D181" s="31"/>
      <c r="E181" s="31"/>
      <c r="F181" s="31"/>
      <c r="G181" s="31"/>
    </row>
    <row r="182" ht="15.75" customHeight="1">
      <c r="B182" s="31"/>
      <c r="C182" s="31"/>
      <c r="D182" s="31"/>
      <c r="E182" s="31"/>
      <c r="F182" s="31"/>
      <c r="G182" s="31"/>
    </row>
    <row r="183" ht="15.75" customHeight="1">
      <c r="B183" s="31"/>
      <c r="C183" s="31"/>
      <c r="D183" s="31"/>
      <c r="E183" s="31"/>
      <c r="F183" s="31"/>
      <c r="G183" s="31"/>
    </row>
    <row r="184" ht="15.75" customHeight="1">
      <c r="B184" s="31"/>
      <c r="C184" s="31"/>
      <c r="D184" s="31"/>
      <c r="E184" s="31"/>
      <c r="F184" s="31"/>
      <c r="G184" s="31"/>
    </row>
    <row r="185" ht="15.75" customHeight="1">
      <c r="B185" s="31"/>
      <c r="C185" s="31"/>
      <c r="D185" s="31"/>
      <c r="E185" s="31"/>
      <c r="F185" s="31"/>
      <c r="G185" s="31"/>
    </row>
    <row r="186" ht="15.75" customHeight="1">
      <c r="B186" s="31"/>
      <c r="C186" s="31"/>
      <c r="D186" s="31"/>
      <c r="E186" s="31"/>
      <c r="F186" s="31"/>
      <c r="G186" s="31"/>
    </row>
    <row r="187" ht="15.75" customHeight="1">
      <c r="B187" s="31"/>
      <c r="C187" s="31"/>
      <c r="D187" s="31"/>
      <c r="E187" s="31"/>
      <c r="F187" s="31"/>
      <c r="G187" s="31"/>
    </row>
    <row r="188" ht="15.75" customHeight="1">
      <c r="B188" s="31"/>
      <c r="C188" s="31"/>
      <c r="D188" s="31"/>
      <c r="E188" s="31"/>
      <c r="F188" s="31"/>
      <c r="G188" s="31"/>
    </row>
    <row r="189" ht="15.75" customHeight="1">
      <c r="B189" s="31"/>
      <c r="C189" s="31"/>
      <c r="D189" s="31"/>
      <c r="E189" s="31"/>
      <c r="F189" s="31"/>
      <c r="G189" s="31"/>
    </row>
    <row r="190" ht="15.75" customHeight="1">
      <c r="B190" s="31"/>
      <c r="C190" s="31"/>
      <c r="D190" s="31"/>
      <c r="E190" s="31"/>
      <c r="F190" s="31"/>
      <c r="G190" s="31"/>
    </row>
    <row r="191" ht="15.75" customHeight="1">
      <c r="B191" s="31"/>
      <c r="C191" s="31"/>
      <c r="D191" s="31"/>
      <c r="E191" s="31"/>
      <c r="F191" s="31"/>
      <c r="G191" s="31"/>
    </row>
    <row r="192" ht="15.75" customHeight="1">
      <c r="B192" s="31"/>
      <c r="C192" s="31"/>
      <c r="D192" s="31"/>
      <c r="E192" s="31"/>
      <c r="F192" s="31"/>
      <c r="G192" s="31"/>
    </row>
    <row r="193" ht="15.75" customHeight="1">
      <c r="B193" s="31"/>
      <c r="C193" s="31"/>
      <c r="D193" s="31"/>
      <c r="E193" s="31"/>
      <c r="F193" s="31"/>
      <c r="G193" s="31"/>
    </row>
    <row r="194" ht="15.75" customHeight="1">
      <c r="B194" s="31"/>
      <c r="C194" s="31"/>
      <c r="D194" s="31"/>
      <c r="E194" s="31"/>
      <c r="F194" s="31"/>
      <c r="G194" s="31"/>
    </row>
    <row r="195" ht="15.75" customHeight="1">
      <c r="B195" s="31"/>
      <c r="C195" s="31"/>
      <c r="D195" s="31"/>
      <c r="E195" s="31"/>
      <c r="F195" s="31"/>
      <c r="G195" s="31"/>
    </row>
    <row r="196" ht="15.75" customHeight="1">
      <c r="B196" s="31"/>
      <c r="C196" s="31"/>
      <c r="D196" s="31"/>
      <c r="E196" s="31"/>
      <c r="F196" s="31"/>
      <c r="G196" s="31"/>
    </row>
    <row r="197" ht="15.75" customHeight="1">
      <c r="B197" s="31"/>
      <c r="C197" s="31"/>
      <c r="D197" s="31"/>
      <c r="E197" s="31"/>
      <c r="F197" s="31"/>
      <c r="G197" s="31"/>
    </row>
    <row r="198" ht="15.75" customHeight="1">
      <c r="B198" s="31"/>
      <c r="C198" s="31"/>
      <c r="D198" s="31"/>
      <c r="E198" s="31"/>
      <c r="F198" s="31"/>
      <c r="G198" s="31"/>
    </row>
    <row r="199" ht="15.75" customHeight="1">
      <c r="B199" s="31"/>
      <c r="C199" s="31"/>
      <c r="D199" s="31"/>
      <c r="E199" s="31"/>
      <c r="F199" s="31"/>
      <c r="G199" s="31"/>
    </row>
    <row r="200" ht="15.75" customHeight="1">
      <c r="B200" s="31"/>
      <c r="C200" s="31"/>
      <c r="D200" s="31"/>
      <c r="E200" s="31"/>
      <c r="F200" s="31"/>
      <c r="G200" s="31"/>
    </row>
    <row r="201" ht="15.75" customHeight="1">
      <c r="B201" s="31"/>
      <c r="C201" s="31"/>
      <c r="D201" s="31"/>
      <c r="E201" s="31"/>
      <c r="F201" s="31"/>
      <c r="G201" s="31"/>
    </row>
    <row r="202" ht="15.75" customHeight="1">
      <c r="B202" s="31"/>
      <c r="C202" s="31"/>
      <c r="D202" s="31"/>
      <c r="E202" s="31"/>
      <c r="F202" s="31"/>
      <c r="G202" s="31"/>
    </row>
    <row r="203" ht="15.75" customHeight="1">
      <c r="B203" s="31"/>
      <c r="C203" s="31"/>
      <c r="D203" s="31"/>
      <c r="E203" s="31"/>
      <c r="F203" s="31"/>
      <c r="G203" s="31"/>
    </row>
    <row r="204" ht="15.75" customHeight="1">
      <c r="B204" s="31"/>
      <c r="C204" s="31"/>
      <c r="D204" s="31"/>
      <c r="E204" s="31"/>
      <c r="F204" s="31"/>
      <c r="G204" s="31"/>
    </row>
    <row r="205" ht="15.75" customHeight="1">
      <c r="B205" s="31"/>
      <c r="C205" s="31"/>
      <c r="D205" s="31"/>
      <c r="E205" s="31"/>
      <c r="F205" s="31"/>
      <c r="G205" s="31"/>
    </row>
    <row r="206" ht="15.75" customHeight="1">
      <c r="B206" s="31"/>
      <c r="C206" s="31"/>
      <c r="D206" s="31"/>
      <c r="E206" s="31"/>
      <c r="F206" s="31"/>
      <c r="G206" s="31"/>
    </row>
    <row r="207" ht="15.75" customHeight="1">
      <c r="B207" s="31"/>
      <c r="C207" s="31"/>
      <c r="D207" s="31"/>
      <c r="E207" s="31"/>
      <c r="F207" s="31"/>
      <c r="G207" s="31"/>
    </row>
    <row r="208" ht="15.75" customHeight="1">
      <c r="B208" s="31"/>
      <c r="C208" s="31"/>
      <c r="D208" s="31"/>
      <c r="E208" s="31"/>
      <c r="F208" s="31"/>
      <c r="G208" s="31"/>
    </row>
    <row r="209" ht="15.75" customHeight="1">
      <c r="B209" s="31"/>
      <c r="C209" s="31"/>
      <c r="D209" s="31"/>
      <c r="E209" s="31"/>
      <c r="F209" s="31"/>
      <c r="G209" s="31"/>
    </row>
    <row r="210" ht="15.75" customHeight="1">
      <c r="B210" s="31"/>
      <c r="C210" s="31"/>
      <c r="D210" s="31"/>
      <c r="E210" s="31"/>
      <c r="F210" s="31"/>
      <c r="G210" s="31"/>
    </row>
    <row r="211" ht="15.75" customHeight="1">
      <c r="B211" s="31"/>
      <c r="C211" s="31"/>
      <c r="D211" s="31"/>
      <c r="E211" s="31"/>
      <c r="F211" s="31"/>
      <c r="G211" s="31"/>
    </row>
    <row r="212" ht="15.75" customHeight="1">
      <c r="B212" s="31"/>
      <c r="C212" s="31"/>
      <c r="D212" s="31"/>
      <c r="E212" s="31"/>
      <c r="F212" s="31"/>
      <c r="G212" s="31"/>
    </row>
    <row r="213" ht="15.75" customHeight="1">
      <c r="B213" s="31"/>
      <c r="C213" s="31"/>
      <c r="D213" s="31"/>
      <c r="E213" s="31"/>
      <c r="F213" s="31"/>
      <c r="G213" s="31"/>
    </row>
    <row r="214" ht="15.75" customHeight="1">
      <c r="B214" s="31"/>
      <c r="C214" s="31"/>
      <c r="D214" s="31"/>
      <c r="E214" s="31"/>
      <c r="F214" s="31"/>
      <c r="G214" s="31"/>
    </row>
    <row r="215" ht="15.75" customHeight="1">
      <c r="B215" s="31"/>
      <c r="C215" s="31"/>
      <c r="D215" s="31"/>
      <c r="E215" s="31"/>
      <c r="F215" s="31"/>
      <c r="G215" s="31"/>
    </row>
    <row r="216" ht="15.75" customHeight="1">
      <c r="B216" s="31"/>
      <c r="C216" s="31"/>
      <c r="D216" s="31"/>
      <c r="E216" s="31"/>
      <c r="F216" s="31"/>
      <c r="G216" s="31"/>
    </row>
    <row r="217" ht="15.75" customHeight="1">
      <c r="B217" s="31"/>
      <c r="C217" s="31"/>
      <c r="D217" s="31"/>
      <c r="E217" s="31"/>
      <c r="F217" s="31"/>
      <c r="G217" s="31"/>
    </row>
    <row r="218" ht="15.75" customHeight="1">
      <c r="B218" s="31"/>
      <c r="C218" s="31"/>
      <c r="D218" s="31"/>
      <c r="E218" s="31"/>
      <c r="F218" s="31"/>
      <c r="G218" s="31"/>
    </row>
    <row r="219" ht="15.75" customHeight="1">
      <c r="B219" s="31"/>
      <c r="C219" s="31"/>
      <c r="D219" s="31"/>
      <c r="E219" s="31"/>
      <c r="F219" s="31"/>
      <c r="G219" s="31"/>
    </row>
    <row r="220" ht="15.75" customHeight="1">
      <c r="B220" s="31"/>
      <c r="C220" s="31"/>
      <c r="D220" s="31"/>
      <c r="E220" s="31"/>
      <c r="F220" s="31"/>
      <c r="G220" s="31"/>
    </row>
    <row r="221" ht="15.75" customHeight="1">
      <c r="B221" s="31"/>
      <c r="C221" s="31"/>
      <c r="D221" s="31"/>
      <c r="E221" s="31"/>
      <c r="F221" s="31"/>
      <c r="G221" s="31"/>
    </row>
    <row r="222" ht="15.75" customHeight="1">
      <c r="B222" s="31"/>
      <c r="C222" s="31"/>
      <c r="D222" s="31"/>
      <c r="E222" s="31"/>
      <c r="F222" s="31"/>
      <c r="G222" s="31"/>
    </row>
    <row r="223" ht="15.75" customHeight="1">
      <c r="B223" s="31"/>
      <c r="C223" s="31"/>
      <c r="D223" s="31"/>
      <c r="E223" s="31"/>
      <c r="F223" s="31"/>
      <c r="G223" s="31"/>
    </row>
    <row r="224" ht="15.75" customHeight="1">
      <c r="B224" s="31"/>
      <c r="C224" s="31"/>
      <c r="D224" s="31"/>
      <c r="E224" s="31"/>
      <c r="F224" s="31"/>
      <c r="G224" s="31"/>
    </row>
    <row r="225" ht="15.75" customHeight="1">
      <c r="B225" s="31"/>
      <c r="C225" s="31"/>
      <c r="D225" s="31"/>
      <c r="E225" s="31"/>
      <c r="F225" s="31"/>
      <c r="G225" s="31"/>
    </row>
    <row r="226" ht="15.75" customHeight="1">
      <c r="B226" s="31"/>
      <c r="C226" s="31"/>
      <c r="D226" s="31"/>
      <c r="E226" s="31"/>
      <c r="F226" s="31"/>
      <c r="G226" s="31"/>
    </row>
    <row r="227" ht="15.75" customHeight="1">
      <c r="B227" s="31"/>
      <c r="C227" s="31"/>
      <c r="D227" s="31"/>
      <c r="E227" s="31"/>
      <c r="F227" s="31"/>
      <c r="G227" s="31"/>
    </row>
    <row r="228" ht="15.75" customHeight="1">
      <c r="B228" s="31"/>
      <c r="C228" s="31"/>
      <c r="D228" s="31"/>
      <c r="E228" s="31"/>
      <c r="F228" s="31"/>
      <c r="G228" s="31"/>
    </row>
    <row r="229" ht="15.75" customHeight="1">
      <c r="B229" s="31"/>
      <c r="C229" s="31"/>
      <c r="D229" s="31"/>
      <c r="E229" s="31"/>
      <c r="F229" s="31"/>
      <c r="G229" s="31"/>
    </row>
    <row r="230" ht="15.75" customHeight="1">
      <c r="B230" s="31"/>
      <c r="C230" s="31"/>
      <c r="D230" s="31"/>
      <c r="E230" s="31"/>
      <c r="F230" s="31"/>
      <c r="G230" s="31"/>
    </row>
    <row r="231" ht="15.75" customHeight="1">
      <c r="B231" s="31"/>
      <c r="C231" s="31"/>
      <c r="D231" s="31"/>
      <c r="E231" s="31"/>
      <c r="F231" s="31"/>
      <c r="G231" s="31"/>
    </row>
    <row r="232" ht="15.75" customHeight="1">
      <c r="B232" s="31"/>
      <c r="C232" s="31"/>
      <c r="D232" s="31"/>
      <c r="E232" s="31"/>
      <c r="F232" s="31"/>
      <c r="G232" s="31"/>
    </row>
    <row r="233" ht="15.75" customHeight="1">
      <c r="B233" s="31"/>
      <c r="C233" s="31"/>
      <c r="D233" s="31"/>
      <c r="E233" s="31"/>
      <c r="F233" s="31"/>
      <c r="G233" s="31"/>
    </row>
    <row r="234" ht="15.75" customHeight="1">
      <c r="B234" s="31"/>
      <c r="C234" s="31"/>
      <c r="D234" s="31"/>
      <c r="E234" s="31"/>
      <c r="F234" s="31"/>
      <c r="G234" s="31"/>
    </row>
    <row r="235" ht="15.75" customHeight="1">
      <c r="B235" s="31"/>
      <c r="C235" s="31"/>
      <c r="D235" s="31"/>
      <c r="E235" s="31"/>
      <c r="F235" s="31"/>
      <c r="G235" s="31"/>
    </row>
    <row r="236" ht="15.75" customHeight="1">
      <c r="B236" s="31"/>
      <c r="C236" s="31"/>
      <c r="D236" s="31"/>
      <c r="E236" s="31"/>
      <c r="F236" s="31"/>
      <c r="G236" s="31"/>
    </row>
    <row r="237" ht="15.75" customHeight="1">
      <c r="B237" s="31"/>
      <c r="C237" s="31"/>
      <c r="D237" s="31"/>
      <c r="E237" s="31"/>
      <c r="F237" s="31"/>
      <c r="G237" s="31"/>
    </row>
    <row r="238" ht="15.75" customHeight="1">
      <c r="B238" s="31"/>
      <c r="C238" s="31"/>
      <c r="D238" s="31"/>
      <c r="E238" s="31"/>
      <c r="F238" s="31"/>
      <c r="G238" s="31"/>
    </row>
    <row r="239" ht="15.75" customHeight="1">
      <c r="B239" s="31"/>
      <c r="C239" s="31"/>
      <c r="D239" s="31"/>
      <c r="E239" s="31"/>
      <c r="F239" s="31"/>
      <c r="G239" s="31"/>
    </row>
    <row r="240" ht="15.75" customHeight="1">
      <c r="B240" s="31"/>
      <c r="C240" s="31"/>
      <c r="D240" s="31"/>
      <c r="E240" s="31"/>
      <c r="F240" s="31"/>
      <c r="G240" s="31"/>
    </row>
    <row r="241" ht="15.75" customHeight="1">
      <c r="B241" s="31"/>
      <c r="C241" s="31"/>
      <c r="D241" s="31"/>
      <c r="E241" s="31"/>
      <c r="F241" s="31"/>
      <c r="G241" s="31"/>
    </row>
    <row r="242" ht="15.75" customHeight="1">
      <c r="B242" s="31"/>
      <c r="C242" s="31"/>
      <c r="D242" s="31"/>
      <c r="E242" s="31"/>
      <c r="F242" s="31"/>
      <c r="G242" s="31"/>
    </row>
    <row r="243" ht="15.75" customHeight="1">
      <c r="B243" s="31"/>
      <c r="C243" s="31"/>
      <c r="D243" s="31"/>
      <c r="E243" s="31"/>
      <c r="F243" s="31"/>
      <c r="G243" s="31"/>
    </row>
    <row r="244" ht="15.75" customHeight="1">
      <c r="B244" s="31"/>
      <c r="C244" s="31"/>
      <c r="D244" s="31"/>
      <c r="E244" s="31"/>
      <c r="F244" s="31"/>
      <c r="G244" s="31"/>
    </row>
    <row r="245" ht="15.75" customHeight="1">
      <c r="B245" s="31"/>
      <c r="C245" s="31"/>
      <c r="D245" s="31"/>
      <c r="E245" s="31"/>
      <c r="F245" s="31"/>
      <c r="G245" s="31"/>
    </row>
    <row r="246" ht="15.75" customHeight="1">
      <c r="B246" s="31"/>
      <c r="C246" s="31"/>
      <c r="D246" s="31"/>
      <c r="E246" s="31"/>
      <c r="F246" s="31"/>
      <c r="G246" s="31"/>
    </row>
    <row r="247" ht="15.75" customHeight="1">
      <c r="B247" s="31"/>
      <c r="C247" s="31"/>
      <c r="D247" s="31"/>
      <c r="E247" s="31"/>
      <c r="F247" s="31"/>
      <c r="G247" s="31"/>
    </row>
    <row r="248" ht="15.75" customHeight="1">
      <c r="B248" s="31"/>
      <c r="C248" s="31"/>
      <c r="D248" s="31"/>
      <c r="E248" s="31"/>
      <c r="F248" s="31"/>
      <c r="G248" s="31"/>
    </row>
    <row r="249" ht="15.75" customHeight="1">
      <c r="B249" s="31"/>
      <c r="C249" s="31"/>
      <c r="D249" s="31"/>
      <c r="E249" s="31"/>
      <c r="F249" s="31"/>
      <c r="G249" s="31"/>
    </row>
    <row r="250" ht="15.75" customHeight="1">
      <c r="B250" s="31"/>
      <c r="C250" s="31"/>
      <c r="D250" s="31"/>
      <c r="E250" s="31"/>
      <c r="F250" s="31"/>
      <c r="G250" s="31"/>
    </row>
    <row r="251" ht="15.75" customHeight="1">
      <c r="B251" s="31"/>
      <c r="C251" s="31"/>
      <c r="D251" s="31"/>
      <c r="E251" s="31"/>
      <c r="F251" s="31"/>
      <c r="G251" s="31"/>
    </row>
    <row r="252" ht="15.75" customHeight="1">
      <c r="B252" s="31"/>
      <c r="C252" s="31"/>
      <c r="D252" s="31"/>
      <c r="E252" s="31"/>
      <c r="F252" s="31"/>
      <c r="G252" s="31"/>
    </row>
    <row r="253" ht="15.75" customHeight="1">
      <c r="B253" s="31"/>
      <c r="C253" s="31"/>
      <c r="D253" s="31"/>
      <c r="E253" s="31"/>
      <c r="F253" s="31"/>
      <c r="G253" s="31"/>
    </row>
    <row r="254" ht="15.75" customHeight="1">
      <c r="B254" s="31"/>
      <c r="C254" s="31"/>
      <c r="D254" s="31"/>
      <c r="E254" s="31"/>
      <c r="F254" s="31"/>
      <c r="G254" s="31"/>
    </row>
    <row r="255" ht="15.75" customHeight="1">
      <c r="B255" s="31"/>
      <c r="C255" s="31"/>
      <c r="D255" s="31"/>
      <c r="E255" s="31"/>
      <c r="F255" s="31"/>
      <c r="G255" s="31"/>
    </row>
    <row r="256" ht="15.75" customHeight="1">
      <c r="B256" s="31"/>
      <c r="C256" s="31"/>
      <c r="D256" s="31"/>
      <c r="E256" s="31"/>
      <c r="F256" s="31"/>
      <c r="G256" s="31"/>
    </row>
    <row r="257" ht="15.75" customHeight="1">
      <c r="B257" s="31"/>
      <c r="C257" s="31"/>
      <c r="D257" s="31"/>
      <c r="E257" s="31"/>
      <c r="F257" s="31"/>
      <c r="G257" s="31"/>
    </row>
    <row r="258" ht="15.75" customHeight="1">
      <c r="B258" s="31"/>
      <c r="C258" s="31"/>
      <c r="D258" s="31"/>
      <c r="E258" s="31"/>
      <c r="F258" s="31"/>
      <c r="G258" s="31"/>
    </row>
    <row r="259" ht="15.75" customHeight="1">
      <c r="B259" s="31"/>
      <c r="C259" s="31"/>
      <c r="D259" s="31"/>
      <c r="E259" s="31"/>
      <c r="F259" s="31"/>
      <c r="G259" s="31"/>
    </row>
    <row r="260" ht="15.75" customHeight="1">
      <c r="B260" s="31"/>
      <c r="C260" s="31"/>
      <c r="D260" s="31"/>
      <c r="E260" s="31"/>
      <c r="F260" s="31"/>
      <c r="G260" s="31"/>
    </row>
    <row r="261" ht="15.75" customHeight="1">
      <c r="B261" s="31"/>
      <c r="C261" s="31"/>
      <c r="D261" s="31"/>
      <c r="E261" s="31"/>
      <c r="F261" s="31"/>
      <c r="G261" s="31"/>
    </row>
    <row r="262" ht="15.75" customHeight="1">
      <c r="B262" s="31"/>
      <c r="C262" s="31"/>
      <c r="D262" s="31"/>
      <c r="E262" s="31"/>
      <c r="F262" s="31"/>
      <c r="G262" s="31"/>
    </row>
    <row r="263" ht="15.75" customHeight="1">
      <c r="B263" s="31"/>
      <c r="C263" s="31"/>
      <c r="D263" s="31"/>
      <c r="E263" s="31"/>
      <c r="F263" s="31"/>
      <c r="G263" s="31"/>
    </row>
    <row r="264" ht="15.75" customHeight="1">
      <c r="B264" s="31"/>
      <c r="C264" s="31"/>
      <c r="D264" s="31"/>
      <c r="E264" s="31"/>
      <c r="F264" s="31"/>
      <c r="G264" s="31"/>
    </row>
    <row r="265" ht="15.75" customHeight="1">
      <c r="B265" s="31"/>
      <c r="C265" s="31"/>
      <c r="D265" s="31"/>
      <c r="E265" s="31"/>
      <c r="F265" s="31"/>
      <c r="G265" s="31"/>
    </row>
    <row r="266" ht="15.75" customHeight="1">
      <c r="B266" s="31"/>
      <c r="C266" s="31"/>
      <c r="D266" s="31"/>
      <c r="E266" s="31"/>
      <c r="F266" s="31"/>
      <c r="G266" s="31"/>
    </row>
    <row r="267" ht="15.75" customHeight="1">
      <c r="B267" s="31"/>
      <c r="C267" s="31"/>
      <c r="D267" s="31"/>
      <c r="E267" s="31"/>
      <c r="F267" s="31"/>
      <c r="G267" s="31"/>
    </row>
    <row r="268" ht="15.75" customHeight="1">
      <c r="B268" s="31"/>
      <c r="C268" s="31"/>
      <c r="D268" s="31"/>
      <c r="E268" s="31"/>
      <c r="F268" s="31"/>
      <c r="G268" s="31"/>
    </row>
    <row r="269" ht="15.75" customHeight="1">
      <c r="B269" s="31"/>
      <c r="C269" s="31"/>
      <c r="D269" s="31"/>
      <c r="E269" s="31"/>
      <c r="F269" s="31"/>
      <c r="G269" s="31"/>
    </row>
    <row r="270" ht="15.75" customHeight="1">
      <c r="B270" s="31"/>
      <c r="C270" s="31"/>
      <c r="D270" s="31"/>
      <c r="E270" s="31"/>
      <c r="F270" s="31"/>
      <c r="G270" s="31"/>
    </row>
    <row r="271" ht="15.75" customHeight="1">
      <c r="B271" s="31"/>
      <c r="C271" s="31"/>
      <c r="D271" s="31"/>
      <c r="E271" s="31"/>
      <c r="F271" s="31"/>
      <c r="G271" s="31"/>
    </row>
    <row r="272" ht="15.75" customHeight="1">
      <c r="B272" s="31"/>
      <c r="C272" s="31"/>
      <c r="D272" s="31"/>
      <c r="E272" s="31"/>
      <c r="F272" s="31"/>
      <c r="G272" s="31"/>
    </row>
    <row r="273" ht="15.75" customHeight="1">
      <c r="B273" s="31"/>
      <c r="C273" s="31"/>
      <c r="D273" s="31"/>
      <c r="E273" s="31"/>
      <c r="F273" s="31"/>
      <c r="G273" s="31"/>
    </row>
    <row r="274" ht="15.75" customHeight="1">
      <c r="B274" s="31"/>
      <c r="C274" s="31"/>
      <c r="D274" s="31"/>
      <c r="E274" s="31"/>
      <c r="F274" s="31"/>
      <c r="G274" s="31"/>
    </row>
    <row r="275" ht="15.75" customHeight="1">
      <c r="B275" s="31"/>
      <c r="C275" s="31"/>
      <c r="D275" s="31"/>
      <c r="E275" s="31"/>
      <c r="F275" s="31"/>
      <c r="G275" s="31"/>
    </row>
    <row r="276" ht="15.75" customHeight="1">
      <c r="B276" s="31"/>
      <c r="C276" s="31"/>
      <c r="D276" s="31"/>
      <c r="E276" s="31"/>
      <c r="F276" s="31"/>
      <c r="G276" s="31"/>
    </row>
    <row r="277" ht="15.75" customHeight="1">
      <c r="B277" s="31"/>
      <c r="C277" s="31"/>
      <c r="D277" s="31"/>
      <c r="E277" s="31"/>
      <c r="F277" s="31"/>
      <c r="G277" s="31"/>
    </row>
    <row r="278" ht="15.75" customHeight="1">
      <c r="B278" s="31"/>
      <c r="C278" s="31"/>
      <c r="D278" s="31"/>
      <c r="E278" s="31"/>
      <c r="F278" s="31"/>
      <c r="G278" s="31"/>
    </row>
    <row r="279" ht="15.75" customHeight="1">
      <c r="B279" s="31"/>
      <c r="C279" s="31"/>
      <c r="D279" s="31"/>
      <c r="E279" s="31"/>
      <c r="F279" s="31"/>
      <c r="G279" s="31"/>
    </row>
    <row r="280" ht="15.75" customHeight="1">
      <c r="B280" s="31"/>
      <c r="C280" s="31"/>
      <c r="D280" s="31"/>
      <c r="E280" s="31"/>
      <c r="F280" s="31"/>
      <c r="G280" s="31"/>
    </row>
    <row r="281" ht="15.75" customHeight="1">
      <c r="B281" s="31"/>
      <c r="C281" s="31"/>
      <c r="D281" s="31"/>
      <c r="E281" s="31"/>
      <c r="F281" s="31"/>
      <c r="G281" s="31"/>
    </row>
    <row r="282" ht="15.75" customHeight="1">
      <c r="B282" s="31"/>
      <c r="C282" s="31"/>
      <c r="D282" s="31"/>
      <c r="E282" s="31"/>
      <c r="F282" s="31"/>
      <c r="G282" s="31"/>
    </row>
    <row r="283" ht="15.75" customHeight="1">
      <c r="B283" s="31"/>
      <c r="C283" s="31"/>
      <c r="D283" s="31"/>
      <c r="E283" s="31"/>
      <c r="F283" s="31"/>
      <c r="G283" s="31"/>
    </row>
    <row r="284" ht="15.75" customHeight="1">
      <c r="B284" s="31"/>
      <c r="C284" s="31"/>
      <c r="D284" s="31"/>
      <c r="E284" s="31"/>
      <c r="F284" s="31"/>
      <c r="G284" s="31"/>
    </row>
    <row r="285" ht="15.75" customHeight="1">
      <c r="B285" s="31"/>
      <c r="C285" s="31"/>
      <c r="D285" s="31"/>
      <c r="E285" s="31"/>
      <c r="F285" s="31"/>
      <c r="G285" s="31"/>
    </row>
    <row r="286" ht="15.75" customHeight="1">
      <c r="B286" s="31"/>
      <c r="C286" s="31"/>
      <c r="D286" s="31"/>
      <c r="E286" s="31"/>
      <c r="F286" s="31"/>
      <c r="G286" s="31"/>
    </row>
    <row r="287" ht="15.75" customHeight="1">
      <c r="B287" s="31"/>
      <c r="C287" s="31"/>
      <c r="D287" s="31"/>
      <c r="E287" s="31"/>
      <c r="F287" s="31"/>
      <c r="G287" s="31"/>
    </row>
    <row r="288" ht="15.75" customHeight="1">
      <c r="B288" s="31"/>
      <c r="C288" s="31"/>
      <c r="D288" s="31"/>
      <c r="E288" s="31"/>
      <c r="F288" s="31"/>
      <c r="G288" s="31"/>
    </row>
    <row r="289" ht="15.75" customHeight="1">
      <c r="B289" s="31"/>
      <c r="C289" s="31"/>
      <c r="D289" s="31"/>
      <c r="E289" s="31"/>
      <c r="F289" s="31"/>
      <c r="G289" s="31"/>
    </row>
    <row r="290" ht="15.75" customHeight="1">
      <c r="B290" s="31"/>
      <c r="C290" s="31"/>
      <c r="D290" s="31"/>
      <c r="E290" s="31"/>
      <c r="F290" s="31"/>
      <c r="G290" s="31"/>
    </row>
    <row r="291" ht="15.75" customHeight="1">
      <c r="B291" s="31"/>
      <c r="C291" s="31"/>
      <c r="D291" s="31"/>
      <c r="E291" s="31"/>
      <c r="F291" s="31"/>
      <c r="G291" s="31"/>
    </row>
    <row r="292" ht="15.75" customHeight="1">
      <c r="B292" s="31"/>
      <c r="C292" s="31"/>
      <c r="D292" s="31"/>
      <c r="E292" s="31"/>
      <c r="F292" s="31"/>
      <c r="G292" s="31"/>
    </row>
    <row r="293" ht="15.75" customHeight="1">
      <c r="B293" s="31"/>
      <c r="C293" s="31"/>
      <c r="D293" s="31"/>
      <c r="E293" s="31"/>
      <c r="F293" s="31"/>
      <c r="G293" s="31"/>
    </row>
    <row r="294" ht="15.75" customHeight="1">
      <c r="B294" s="31"/>
      <c r="C294" s="31"/>
      <c r="D294" s="31"/>
      <c r="E294" s="31"/>
      <c r="F294" s="31"/>
      <c r="G294" s="31"/>
    </row>
    <row r="295" ht="15.75" customHeight="1">
      <c r="B295" s="31"/>
      <c r="C295" s="31"/>
      <c r="D295" s="31"/>
      <c r="E295" s="31"/>
      <c r="F295" s="31"/>
      <c r="G295" s="31"/>
    </row>
    <row r="296" ht="15.75" customHeight="1">
      <c r="B296" s="31"/>
      <c r="C296" s="31"/>
      <c r="D296" s="31"/>
      <c r="E296" s="31"/>
      <c r="F296" s="31"/>
      <c r="G296" s="31"/>
    </row>
    <row r="297" ht="15.75" customHeight="1">
      <c r="B297" s="31"/>
      <c r="C297" s="31"/>
      <c r="D297" s="31"/>
      <c r="E297" s="31"/>
      <c r="F297" s="31"/>
      <c r="G297" s="31"/>
    </row>
    <row r="298" ht="15.75" customHeight="1">
      <c r="B298" s="31"/>
      <c r="C298" s="31"/>
      <c r="D298" s="31"/>
      <c r="E298" s="31"/>
      <c r="F298" s="31"/>
      <c r="G298" s="31"/>
    </row>
    <row r="299" ht="15.75" customHeight="1">
      <c r="B299" s="31"/>
      <c r="C299" s="31"/>
      <c r="D299" s="31"/>
      <c r="E299" s="31"/>
      <c r="F299" s="31"/>
      <c r="G299" s="31"/>
    </row>
    <row r="300" ht="15.75" customHeight="1">
      <c r="B300" s="31"/>
      <c r="C300" s="31"/>
      <c r="D300" s="31"/>
      <c r="E300" s="31"/>
      <c r="F300" s="31"/>
      <c r="G300" s="31"/>
    </row>
    <row r="301" ht="15.75" customHeight="1">
      <c r="B301" s="31"/>
      <c r="C301" s="31"/>
      <c r="D301" s="31"/>
      <c r="E301" s="31"/>
      <c r="F301" s="31"/>
      <c r="G301" s="31"/>
    </row>
    <row r="302" ht="15.75" customHeight="1">
      <c r="B302" s="31"/>
      <c r="C302" s="31"/>
      <c r="D302" s="31"/>
      <c r="E302" s="31"/>
      <c r="F302" s="31"/>
      <c r="G302" s="31"/>
    </row>
    <row r="303" ht="15.75" customHeight="1">
      <c r="B303" s="31"/>
      <c r="C303" s="31"/>
      <c r="D303" s="31"/>
      <c r="E303" s="31"/>
      <c r="F303" s="31"/>
      <c r="G303" s="31"/>
    </row>
    <row r="304" ht="15.75" customHeight="1">
      <c r="B304" s="31"/>
      <c r="C304" s="31"/>
      <c r="D304" s="31"/>
      <c r="E304" s="31"/>
      <c r="F304" s="31"/>
      <c r="G304" s="31"/>
    </row>
    <row r="305" ht="15.75" customHeight="1">
      <c r="B305" s="31"/>
      <c r="C305" s="31"/>
      <c r="D305" s="31"/>
      <c r="E305" s="31"/>
      <c r="F305" s="31"/>
      <c r="G305" s="31"/>
    </row>
    <row r="306" ht="15.75" customHeight="1">
      <c r="B306" s="31"/>
      <c r="C306" s="31"/>
      <c r="D306" s="31"/>
      <c r="E306" s="31"/>
      <c r="F306" s="31"/>
      <c r="G306" s="31"/>
    </row>
    <row r="307" ht="15.75" customHeight="1">
      <c r="B307" s="31"/>
      <c r="C307" s="31"/>
      <c r="D307" s="31"/>
      <c r="E307" s="31"/>
      <c r="F307" s="31"/>
      <c r="G307" s="31"/>
    </row>
    <row r="308" ht="15.75" customHeight="1">
      <c r="B308" s="31"/>
      <c r="C308" s="31"/>
      <c r="D308" s="31"/>
      <c r="E308" s="31"/>
      <c r="F308" s="31"/>
      <c r="G308" s="31"/>
    </row>
    <row r="309" ht="15.75" customHeight="1">
      <c r="B309" s="31"/>
      <c r="C309" s="31"/>
      <c r="D309" s="31"/>
      <c r="E309" s="31"/>
      <c r="F309" s="31"/>
      <c r="G309" s="31"/>
    </row>
    <row r="310" ht="15.75" customHeight="1">
      <c r="B310" s="31"/>
      <c r="C310" s="31"/>
      <c r="D310" s="31"/>
      <c r="E310" s="31"/>
      <c r="F310" s="31"/>
      <c r="G310" s="31"/>
    </row>
    <row r="311" ht="15.75" customHeight="1">
      <c r="B311" s="31"/>
      <c r="C311" s="31"/>
      <c r="D311" s="31"/>
      <c r="E311" s="31"/>
      <c r="F311" s="31"/>
      <c r="G311" s="31"/>
    </row>
    <row r="312" ht="15.75" customHeight="1">
      <c r="B312" s="31"/>
      <c r="C312" s="31"/>
      <c r="D312" s="31"/>
      <c r="E312" s="31"/>
      <c r="F312" s="31"/>
      <c r="G312" s="31"/>
    </row>
    <row r="313" ht="15.75" customHeight="1">
      <c r="B313" s="31"/>
      <c r="C313" s="31"/>
      <c r="D313" s="31"/>
      <c r="E313" s="31"/>
      <c r="F313" s="31"/>
      <c r="G313" s="31"/>
    </row>
    <row r="314" ht="15.75" customHeight="1">
      <c r="B314" s="31"/>
      <c r="C314" s="31"/>
      <c r="D314" s="31"/>
      <c r="E314" s="31"/>
      <c r="F314" s="31"/>
      <c r="G314" s="31"/>
    </row>
    <row r="315" ht="15.75" customHeight="1">
      <c r="B315" s="31"/>
      <c r="C315" s="31"/>
      <c r="D315" s="31"/>
      <c r="E315" s="31"/>
      <c r="F315" s="31"/>
      <c r="G315" s="31"/>
    </row>
    <row r="316" ht="15.75" customHeight="1">
      <c r="B316" s="31"/>
      <c r="C316" s="31"/>
      <c r="D316" s="31"/>
      <c r="E316" s="31"/>
      <c r="F316" s="31"/>
      <c r="G316" s="31"/>
    </row>
    <row r="317" ht="15.75" customHeight="1">
      <c r="B317" s="31"/>
      <c r="C317" s="31"/>
      <c r="D317" s="31"/>
      <c r="E317" s="31"/>
      <c r="F317" s="31"/>
      <c r="G317" s="31"/>
    </row>
    <row r="318" ht="15.75" customHeight="1">
      <c r="B318" s="31"/>
      <c r="C318" s="31"/>
      <c r="D318" s="31"/>
      <c r="E318" s="31"/>
      <c r="F318" s="31"/>
      <c r="G318" s="31"/>
    </row>
    <row r="319" ht="15.75" customHeight="1">
      <c r="B319" s="31"/>
      <c r="C319" s="31"/>
      <c r="D319" s="31"/>
      <c r="E319" s="31"/>
      <c r="F319" s="31"/>
      <c r="G319" s="31"/>
    </row>
    <row r="320" ht="15.75" customHeight="1">
      <c r="B320" s="31"/>
      <c r="C320" s="31"/>
      <c r="D320" s="31"/>
      <c r="E320" s="31"/>
      <c r="F320" s="31"/>
      <c r="G320" s="31"/>
    </row>
    <row r="321" ht="15.75" customHeight="1">
      <c r="B321" s="31"/>
      <c r="C321" s="31"/>
      <c r="D321" s="31"/>
      <c r="E321" s="31"/>
      <c r="F321" s="31"/>
      <c r="G321" s="31"/>
    </row>
    <row r="322" ht="15.75" customHeight="1">
      <c r="B322" s="31"/>
      <c r="C322" s="31"/>
      <c r="D322" s="31"/>
      <c r="E322" s="31"/>
      <c r="F322" s="31"/>
      <c r="G322" s="31"/>
    </row>
    <row r="323" ht="15.75" customHeight="1">
      <c r="B323" s="31"/>
      <c r="C323" s="31"/>
      <c r="D323" s="31"/>
      <c r="E323" s="31"/>
      <c r="F323" s="31"/>
      <c r="G323" s="31"/>
    </row>
    <row r="324" ht="15.75" customHeight="1">
      <c r="B324" s="31"/>
      <c r="C324" s="31"/>
      <c r="D324" s="31"/>
      <c r="E324" s="31"/>
      <c r="F324" s="31"/>
      <c r="G324" s="31"/>
    </row>
    <row r="325" ht="15.75" customHeight="1">
      <c r="B325" s="31"/>
      <c r="C325" s="31"/>
      <c r="D325" s="31"/>
      <c r="E325" s="31"/>
      <c r="F325" s="31"/>
      <c r="G325" s="31"/>
    </row>
    <row r="326" ht="15.75" customHeight="1">
      <c r="B326" s="31"/>
      <c r="C326" s="31"/>
      <c r="D326" s="31"/>
      <c r="E326" s="31"/>
      <c r="F326" s="31"/>
      <c r="G326" s="31"/>
    </row>
    <row r="327" ht="15.75" customHeight="1">
      <c r="B327" s="31"/>
      <c r="C327" s="31"/>
      <c r="D327" s="31"/>
      <c r="E327" s="31"/>
      <c r="F327" s="31"/>
      <c r="G327" s="31"/>
    </row>
    <row r="328" ht="15.75" customHeight="1">
      <c r="B328" s="31"/>
      <c r="C328" s="31"/>
      <c r="D328" s="31"/>
      <c r="E328" s="31"/>
      <c r="F328" s="31"/>
      <c r="G328" s="31"/>
    </row>
    <row r="329" ht="15.75" customHeight="1">
      <c r="B329" s="31"/>
      <c r="C329" s="31"/>
      <c r="D329" s="31"/>
      <c r="E329" s="31"/>
      <c r="F329" s="31"/>
      <c r="G329" s="31"/>
    </row>
    <row r="330" ht="15.75" customHeight="1">
      <c r="B330" s="31"/>
      <c r="C330" s="31"/>
      <c r="D330" s="31"/>
      <c r="E330" s="31"/>
      <c r="F330" s="31"/>
      <c r="G330" s="31"/>
    </row>
    <row r="331" ht="15.75" customHeight="1">
      <c r="B331" s="31"/>
      <c r="C331" s="31"/>
      <c r="D331" s="31"/>
      <c r="E331" s="31"/>
      <c r="F331" s="31"/>
      <c r="G331" s="31"/>
    </row>
    <row r="332" ht="15.75" customHeight="1">
      <c r="B332" s="31"/>
      <c r="C332" s="31"/>
      <c r="D332" s="31"/>
      <c r="E332" s="31"/>
      <c r="F332" s="31"/>
      <c r="G332" s="31"/>
    </row>
    <row r="333" ht="15.75" customHeight="1">
      <c r="B333" s="31"/>
      <c r="C333" s="31"/>
      <c r="D333" s="31"/>
      <c r="E333" s="31"/>
      <c r="F333" s="31"/>
      <c r="G333" s="31"/>
    </row>
    <row r="334" ht="15.75" customHeight="1">
      <c r="B334" s="31"/>
      <c r="C334" s="31"/>
      <c r="D334" s="31"/>
      <c r="E334" s="31"/>
      <c r="F334" s="31"/>
      <c r="G334" s="31"/>
    </row>
    <row r="335" ht="15.75" customHeight="1">
      <c r="B335" s="31"/>
      <c r="C335" s="31"/>
      <c r="D335" s="31"/>
      <c r="E335" s="31"/>
      <c r="F335" s="31"/>
      <c r="G335" s="31"/>
    </row>
    <row r="336" ht="15.75" customHeight="1">
      <c r="B336" s="31"/>
      <c r="C336" s="31"/>
      <c r="D336" s="31"/>
      <c r="E336" s="31"/>
      <c r="F336" s="31"/>
      <c r="G336" s="31"/>
    </row>
    <row r="337" ht="15.75" customHeight="1">
      <c r="B337" s="31"/>
      <c r="C337" s="31"/>
      <c r="D337" s="31"/>
      <c r="E337" s="31"/>
      <c r="F337" s="31"/>
      <c r="G337" s="31"/>
    </row>
    <row r="338" ht="15.75" customHeight="1">
      <c r="B338" s="31"/>
      <c r="C338" s="31"/>
      <c r="D338" s="31"/>
      <c r="E338" s="31"/>
      <c r="F338" s="31"/>
      <c r="G338" s="31"/>
    </row>
    <row r="339" ht="15.75" customHeight="1">
      <c r="B339" s="31"/>
      <c r="C339" s="31"/>
      <c r="D339" s="31"/>
      <c r="E339" s="31"/>
      <c r="F339" s="31"/>
      <c r="G339" s="31"/>
    </row>
    <row r="340" ht="15.75" customHeight="1">
      <c r="B340" s="31"/>
      <c r="C340" s="31"/>
      <c r="D340" s="31"/>
      <c r="E340" s="31"/>
      <c r="F340" s="31"/>
      <c r="G340" s="31"/>
    </row>
    <row r="341" ht="15.75" customHeight="1">
      <c r="B341" s="31"/>
      <c r="C341" s="31"/>
      <c r="D341" s="31"/>
      <c r="E341" s="31"/>
      <c r="F341" s="31"/>
      <c r="G341" s="31"/>
    </row>
    <row r="342" ht="15.75" customHeight="1">
      <c r="B342" s="31"/>
      <c r="C342" s="31"/>
      <c r="D342" s="31"/>
      <c r="E342" s="31"/>
      <c r="F342" s="31"/>
      <c r="G342" s="31"/>
    </row>
    <row r="343" ht="15.75" customHeight="1">
      <c r="B343" s="31"/>
      <c r="C343" s="31"/>
      <c r="D343" s="31"/>
      <c r="E343" s="31"/>
      <c r="F343" s="31"/>
      <c r="G343" s="31"/>
    </row>
    <row r="344" ht="15.75" customHeight="1">
      <c r="B344" s="31"/>
      <c r="C344" s="31"/>
      <c r="D344" s="31"/>
      <c r="E344" s="31"/>
      <c r="F344" s="31"/>
      <c r="G344" s="31"/>
    </row>
    <row r="345" ht="15.75" customHeight="1">
      <c r="B345" s="31"/>
      <c r="C345" s="31"/>
      <c r="D345" s="31"/>
      <c r="E345" s="31"/>
      <c r="F345" s="31"/>
      <c r="G345" s="31"/>
    </row>
    <row r="346" ht="15.75" customHeight="1">
      <c r="B346" s="31"/>
      <c r="C346" s="31"/>
      <c r="D346" s="31"/>
      <c r="E346" s="31"/>
      <c r="F346" s="31"/>
      <c r="G346" s="31"/>
    </row>
    <row r="347" ht="15.75" customHeight="1">
      <c r="B347" s="31"/>
      <c r="C347" s="31"/>
      <c r="D347" s="31"/>
      <c r="E347" s="31"/>
      <c r="F347" s="31"/>
      <c r="G347" s="31"/>
    </row>
    <row r="348" ht="15.75" customHeight="1">
      <c r="B348" s="31"/>
      <c r="C348" s="31"/>
      <c r="D348" s="31"/>
      <c r="E348" s="31"/>
      <c r="F348" s="31"/>
      <c r="G348" s="31"/>
    </row>
    <row r="349" ht="15.75" customHeight="1">
      <c r="B349" s="31"/>
      <c r="C349" s="31"/>
      <c r="D349" s="31"/>
      <c r="E349" s="31"/>
      <c r="F349" s="31"/>
      <c r="G349" s="31"/>
    </row>
    <row r="350" ht="15.75" customHeight="1">
      <c r="B350" s="31"/>
      <c r="C350" s="31"/>
      <c r="D350" s="31"/>
      <c r="E350" s="31"/>
      <c r="F350" s="31"/>
      <c r="G350" s="31"/>
    </row>
    <row r="351" ht="15.75" customHeight="1">
      <c r="B351" s="31"/>
      <c r="C351" s="31"/>
      <c r="D351" s="31"/>
      <c r="E351" s="31"/>
      <c r="F351" s="31"/>
      <c r="G351" s="31"/>
    </row>
    <row r="352" ht="15.75" customHeight="1">
      <c r="B352" s="31"/>
      <c r="C352" s="31"/>
      <c r="D352" s="31"/>
      <c r="E352" s="31"/>
      <c r="F352" s="31"/>
      <c r="G352" s="31"/>
    </row>
    <row r="353" ht="15.75" customHeight="1">
      <c r="B353" s="31"/>
      <c r="C353" s="31"/>
      <c r="D353" s="31"/>
      <c r="E353" s="31"/>
      <c r="F353" s="31"/>
      <c r="G353" s="31"/>
    </row>
    <row r="354" ht="15.75" customHeight="1">
      <c r="B354" s="31"/>
      <c r="C354" s="31"/>
      <c r="D354" s="31"/>
      <c r="E354" s="31"/>
      <c r="F354" s="31"/>
      <c r="G354" s="31"/>
    </row>
    <row r="355" ht="15.75" customHeight="1">
      <c r="B355" s="31"/>
      <c r="C355" s="31"/>
      <c r="D355" s="31"/>
      <c r="E355" s="31"/>
      <c r="F355" s="31"/>
      <c r="G355" s="31"/>
    </row>
    <row r="356" ht="15.75" customHeight="1">
      <c r="B356" s="31"/>
      <c r="C356" s="31"/>
      <c r="D356" s="31"/>
      <c r="E356" s="31"/>
      <c r="F356" s="31"/>
      <c r="G356" s="31"/>
    </row>
    <row r="357" ht="15.75" customHeight="1">
      <c r="B357" s="31"/>
      <c r="C357" s="31"/>
      <c r="D357" s="31"/>
      <c r="E357" s="31"/>
      <c r="F357" s="31"/>
      <c r="G357" s="31"/>
    </row>
    <row r="358" ht="15.75" customHeight="1">
      <c r="B358" s="31"/>
      <c r="C358" s="31"/>
      <c r="D358" s="31"/>
      <c r="E358" s="31"/>
      <c r="F358" s="31"/>
      <c r="G358" s="31"/>
    </row>
    <row r="359" ht="15.75" customHeight="1">
      <c r="B359" s="31"/>
      <c r="C359" s="31"/>
      <c r="D359" s="31"/>
      <c r="E359" s="31"/>
      <c r="F359" s="31"/>
      <c r="G359" s="31"/>
    </row>
    <row r="360" ht="15.75" customHeight="1">
      <c r="B360" s="31"/>
      <c r="C360" s="31"/>
      <c r="D360" s="31"/>
      <c r="E360" s="31"/>
      <c r="F360" s="31"/>
      <c r="G360" s="31"/>
    </row>
    <row r="361" ht="15.75" customHeight="1">
      <c r="B361" s="31"/>
      <c r="C361" s="31"/>
      <c r="D361" s="31"/>
      <c r="E361" s="31"/>
      <c r="F361" s="31"/>
      <c r="G361" s="31"/>
    </row>
    <row r="362" ht="15.75" customHeight="1">
      <c r="B362" s="31"/>
      <c r="C362" s="31"/>
      <c r="D362" s="31"/>
      <c r="E362" s="31"/>
      <c r="F362" s="31"/>
      <c r="G362" s="31"/>
    </row>
    <row r="363" ht="15.75" customHeight="1">
      <c r="B363" s="31"/>
      <c r="C363" s="31"/>
      <c r="D363" s="31"/>
      <c r="E363" s="31"/>
      <c r="F363" s="31"/>
      <c r="G363" s="31"/>
    </row>
    <row r="364" ht="15.75" customHeight="1">
      <c r="B364" s="31"/>
      <c r="C364" s="31"/>
      <c r="D364" s="31"/>
      <c r="E364" s="31"/>
      <c r="F364" s="31"/>
      <c r="G364" s="31"/>
    </row>
    <row r="365" ht="15.75" customHeight="1">
      <c r="B365" s="31"/>
      <c r="C365" s="31"/>
      <c r="D365" s="31"/>
      <c r="E365" s="31"/>
      <c r="F365" s="31"/>
      <c r="G365" s="31"/>
    </row>
    <row r="366" ht="15.75" customHeight="1">
      <c r="B366" s="31"/>
      <c r="C366" s="31"/>
      <c r="D366" s="31"/>
      <c r="E366" s="31"/>
      <c r="F366" s="31"/>
      <c r="G366" s="31"/>
    </row>
    <row r="367" ht="15.75" customHeight="1">
      <c r="B367" s="31"/>
      <c r="C367" s="31"/>
      <c r="D367" s="31"/>
      <c r="E367" s="31"/>
      <c r="F367" s="31"/>
      <c r="G367" s="31"/>
    </row>
    <row r="368" ht="15.75" customHeight="1">
      <c r="B368" s="31"/>
      <c r="C368" s="31"/>
      <c r="D368" s="31"/>
      <c r="E368" s="31"/>
      <c r="F368" s="31"/>
      <c r="G368" s="31"/>
    </row>
    <row r="369" ht="15.75" customHeight="1">
      <c r="B369" s="31"/>
      <c r="C369" s="31"/>
      <c r="D369" s="31"/>
      <c r="E369" s="31"/>
      <c r="F369" s="31"/>
      <c r="G369" s="31"/>
    </row>
    <row r="370" ht="15.75" customHeight="1">
      <c r="B370" s="31"/>
      <c r="C370" s="31"/>
      <c r="D370" s="31"/>
      <c r="E370" s="31"/>
      <c r="F370" s="31"/>
      <c r="G370" s="31"/>
    </row>
    <row r="371" ht="15.75" customHeight="1">
      <c r="B371" s="31"/>
      <c r="C371" s="31"/>
      <c r="D371" s="31"/>
      <c r="E371" s="31"/>
      <c r="F371" s="31"/>
      <c r="G371" s="31"/>
    </row>
    <row r="372" ht="15.75" customHeight="1">
      <c r="B372" s="31"/>
      <c r="C372" s="31"/>
      <c r="D372" s="31"/>
      <c r="E372" s="31"/>
      <c r="F372" s="31"/>
      <c r="G372" s="31"/>
    </row>
    <row r="373" ht="15.75" customHeight="1">
      <c r="B373" s="31"/>
      <c r="C373" s="31"/>
      <c r="D373" s="31"/>
      <c r="E373" s="31"/>
      <c r="F373" s="31"/>
      <c r="G373" s="31"/>
    </row>
    <row r="374" ht="15.75" customHeight="1">
      <c r="B374" s="31"/>
      <c r="C374" s="31"/>
      <c r="D374" s="31"/>
      <c r="E374" s="31"/>
      <c r="F374" s="31"/>
      <c r="G374" s="31"/>
    </row>
    <row r="375" ht="15.75" customHeight="1">
      <c r="B375" s="31"/>
      <c r="C375" s="31"/>
      <c r="D375" s="31"/>
      <c r="E375" s="31"/>
      <c r="F375" s="31"/>
      <c r="G375" s="31"/>
    </row>
    <row r="376" ht="15.75" customHeight="1">
      <c r="B376" s="31"/>
      <c r="C376" s="31"/>
      <c r="D376" s="31"/>
      <c r="E376" s="31"/>
      <c r="F376" s="31"/>
      <c r="G376" s="31"/>
    </row>
    <row r="377" ht="15.75" customHeight="1">
      <c r="B377" s="31"/>
      <c r="C377" s="31"/>
      <c r="D377" s="31"/>
      <c r="E377" s="31"/>
      <c r="F377" s="31"/>
      <c r="G377" s="31"/>
    </row>
    <row r="378" ht="15.75" customHeight="1">
      <c r="B378" s="31"/>
      <c r="C378" s="31"/>
      <c r="D378" s="31"/>
      <c r="E378" s="31"/>
      <c r="F378" s="31"/>
      <c r="G378" s="31"/>
    </row>
    <row r="379" ht="15.75" customHeight="1">
      <c r="B379" s="31"/>
      <c r="C379" s="31"/>
      <c r="D379" s="31"/>
      <c r="E379" s="31"/>
      <c r="F379" s="31"/>
      <c r="G379" s="31"/>
    </row>
    <row r="380" ht="15.75" customHeight="1">
      <c r="B380" s="31"/>
      <c r="C380" s="31"/>
      <c r="D380" s="31"/>
      <c r="E380" s="31"/>
      <c r="F380" s="31"/>
      <c r="G380" s="31"/>
    </row>
    <row r="381" ht="15.75" customHeight="1">
      <c r="B381" s="31"/>
      <c r="C381" s="31"/>
      <c r="D381" s="31"/>
      <c r="E381" s="31"/>
      <c r="F381" s="31"/>
      <c r="G381" s="31"/>
    </row>
    <row r="382" ht="15.75" customHeight="1">
      <c r="B382" s="31"/>
      <c r="C382" s="31"/>
      <c r="D382" s="31"/>
      <c r="E382" s="31"/>
      <c r="F382" s="31"/>
      <c r="G382" s="31"/>
    </row>
    <row r="383" ht="15.75" customHeight="1">
      <c r="B383" s="31"/>
      <c r="C383" s="31"/>
      <c r="D383" s="31"/>
      <c r="E383" s="31"/>
      <c r="F383" s="31"/>
      <c r="G383" s="31"/>
    </row>
    <row r="384" ht="15.75" customHeight="1">
      <c r="B384" s="31"/>
      <c r="C384" s="31"/>
      <c r="D384" s="31"/>
      <c r="E384" s="31"/>
      <c r="F384" s="31"/>
      <c r="G384" s="31"/>
    </row>
    <row r="385" ht="15.75" customHeight="1">
      <c r="B385" s="31"/>
      <c r="C385" s="31"/>
      <c r="D385" s="31"/>
      <c r="E385" s="31"/>
      <c r="F385" s="31"/>
      <c r="G385" s="31"/>
    </row>
    <row r="386" ht="15.75" customHeight="1">
      <c r="B386" s="31"/>
      <c r="C386" s="31"/>
      <c r="D386" s="31"/>
      <c r="E386" s="31"/>
      <c r="F386" s="31"/>
      <c r="G386" s="31"/>
    </row>
    <row r="387" ht="15.75" customHeight="1">
      <c r="B387" s="31"/>
      <c r="C387" s="31"/>
      <c r="D387" s="31"/>
      <c r="E387" s="31"/>
      <c r="F387" s="31"/>
      <c r="G387" s="31"/>
    </row>
    <row r="388" ht="15.75" customHeight="1">
      <c r="B388" s="31"/>
      <c r="C388" s="31"/>
      <c r="D388" s="31"/>
      <c r="E388" s="31"/>
      <c r="F388" s="31"/>
      <c r="G388" s="31"/>
    </row>
    <row r="389" ht="15.75" customHeight="1">
      <c r="B389" s="31"/>
      <c r="C389" s="31"/>
      <c r="D389" s="31"/>
      <c r="E389" s="31"/>
      <c r="F389" s="31"/>
      <c r="G389" s="31"/>
    </row>
    <row r="390" ht="15.75" customHeight="1">
      <c r="B390" s="31"/>
      <c r="C390" s="31"/>
      <c r="D390" s="31"/>
      <c r="E390" s="31"/>
      <c r="F390" s="31"/>
      <c r="G390" s="31"/>
    </row>
    <row r="391" ht="15.75" customHeight="1">
      <c r="B391" s="31"/>
      <c r="C391" s="31"/>
      <c r="D391" s="31"/>
      <c r="E391" s="31"/>
      <c r="F391" s="31"/>
      <c r="G391" s="31"/>
    </row>
    <row r="392" ht="15.75" customHeight="1">
      <c r="B392" s="31"/>
      <c r="C392" s="31"/>
      <c r="D392" s="31"/>
      <c r="E392" s="31"/>
      <c r="F392" s="31"/>
      <c r="G392" s="31"/>
    </row>
    <row r="393" ht="15.75" customHeight="1">
      <c r="B393" s="31"/>
      <c r="C393" s="31"/>
      <c r="D393" s="31"/>
      <c r="E393" s="31"/>
      <c r="F393" s="31"/>
      <c r="G393" s="31"/>
    </row>
    <row r="394" ht="15.75" customHeight="1">
      <c r="B394" s="31"/>
      <c r="C394" s="31"/>
      <c r="D394" s="31"/>
      <c r="E394" s="31"/>
      <c r="F394" s="31"/>
      <c r="G394" s="31"/>
    </row>
    <row r="395" ht="15.75" customHeight="1">
      <c r="B395" s="31"/>
      <c r="C395" s="31"/>
      <c r="D395" s="31"/>
      <c r="E395" s="31"/>
      <c r="F395" s="31"/>
      <c r="G395" s="31"/>
    </row>
    <row r="396" ht="15.75" customHeight="1">
      <c r="B396" s="31"/>
      <c r="C396" s="31"/>
      <c r="D396" s="31"/>
      <c r="E396" s="31"/>
      <c r="F396" s="31"/>
      <c r="G396" s="31"/>
    </row>
    <row r="397" ht="15.75" customHeight="1">
      <c r="B397" s="31"/>
      <c r="C397" s="31"/>
      <c r="D397" s="31"/>
      <c r="E397" s="31"/>
      <c r="F397" s="31"/>
      <c r="G397" s="31"/>
    </row>
    <row r="398" ht="15.75" customHeight="1">
      <c r="B398" s="31"/>
      <c r="C398" s="31"/>
      <c r="D398" s="31"/>
      <c r="E398" s="31"/>
      <c r="F398" s="31"/>
      <c r="G398" s="31"/>
    </row>
    <row r="399" ht="15.75" customHeight="1">
      <c r="B399" s="31"/>
      <c r="C399" s="31"/>
      <c r="D399" s="31"/>
      <c r="E399" s="31"/>
      <c r="F399" s="31"/>
      <c r="G399" s="31"/>
    </row>
    <row r="400" ht="15.75" customHeight="1">
      <c r="B400" s="31"/>
      <c r="C400" s="31"/>
      <c r="D400" s="31"/>
      <c r="E400" s="31"/>
      <c r="F400" s="31"/>
      <c r="G400" s="31"/>
    </row>
    <row r="401" ht="15.75" customHeight="1">
      <c r="B401" s="31"/>
      <c r="C401" s="31"/>
      <c r="D401" s="31"/>
      <c r="E401" s="31"/>
      <c r="F401" s="31"/>
      <c r="G401" s="31"/>
    </row>
    <row r="402" ht="15.75" customHeight="1">
      <c r="B402" s="31"/>
      <c r="C402" s="31"/>
      <c r="D402" s="31"/>
      <c r="E402" s="31"/>
      <c r="F402" s="31"/>
      <c r="G402" s="31"/>
    </row>
    <row r="403" ht="15.75" customHeight="1">
      <c r="B403" s="31"/>
      <c r="C403" s="31"/>
      <c r="D403" s="31"/>
      <c r="E403" s="31"/>
      <c r="F403" s="31"/>
      <c r="G403" s="31"/>
    </row>
    <row r="404" ht="15.75" customHeight="1">
      <c r="B404" s="31"/>
      <c r="C404" s="31"/>
      <c r="D404" s="31"/>
      <c r="E404" s="31"/>
      <c r="F404" s="31"/>
      <c r="G404" s="31"/>
    </row>
    <row r="405" ht="15.75" customHeight="1">
      <c r="B405" s="31"/>
      <c r="C405" s="31"/>
      <c r="D405" s="31"/>
      <c r="E405" s="31"/>
      <c r="F405" s="31"/>
      <c r="G405" s="31"/>
    </row>
    <row r="406" ht="15.75" customHeight="1">
      <c r="B406" s="31"/>
      <c r="C406" s="31"/>
      <c r="D406" s="31"/>
      <c r="E406" s="31"/>
      <c r="F406" s="31"/>
      <c r="G406" s="31"/>
    </row>
    <row r="407" ht="15.75" customHeight="1">
      <c r="B407" s="31"/>
      <c r="C407" s="31"/>
      <c r="D407" s="31"/>
      <c r="E407" s="31"/>
      <c r="F407" s="31"/>
      <c r="G407" s="31"/>
    </row>
    <row r="408" ht="15.75" customHeight="1">
      <c r="B408" s="31"/>
      <c r="C408" s="31"/>
      <c r="D408" s="31"/>
      <c r="E408" s="31"/>
      <c r="F408" s="31"/>
      <c r="G408" s="31"/>
    </row>
    <row r="409" ht="15.75" customHeight="1">
      <c r="B409" s="31"/>
      <c r="C409" s="31"/>
      <c r="D409" s="31"/>
      <c r="E409" s="31"/>
      <c r="F409" s="31"/>
      <c r="G409" s="31"/>
    </row>
    <row r="410" ht="15.75" customHeight="1">
      <c r="B410" s="31"/>
      <c r="C410" s="31"/>
      <c r="D410" s="31"/>
      <c r="E410" s="31"/>
      <c r="F410" s="31"/>
      <c r="G410" s="31"/>
    </row>
    <row r="411" ht="15.75" customHeight="1">
      <c r="B411" s="31"/>
      <c r="C411" s="31"/>
      <c r="D411" s="31"/>
      <c r="E411" s="31"/>
      <c r="F411" s="31"/>
      <c r="G411" s="31"/>
    </row>
    <row r="412" ht="15.75" customHeight="1">
      <c r="B412" s="31"/>
      <c r="C412" s="31"/>
      <c r="D412" s="31"/>
      <c r="E412" s="31"/>
      <c r="F412" s="31"/>
      <c r="G412" s="31"/>
    </row>
    <row r="413" ht="15.75" customHeight="1">
      <c r="B413" s="31"/>
      <c r="C413" s="31"/>
      <c r="D413" s="31"/>
      <c r="E413" s="31"/>
      <c r="F413" s="31"/>
      <c r="G413" s="31"/>
    </row>
    <row r="414" ht="15.75" customHeight="1">
      <c r="B414" s="31"/>
      <c r="C414" s="31"/>
      <c r="D414" s="31"/>
      <c r="E414" s="31"/>
      <c r="F414" s="31"/>
      <c r="G414" s="31"/>
    </row>
    <row r="415" ht="15.75" customHeight="1">
      <c r="B415" s="31"/>
      <c r="C415" s="31"/>
      <c r="D415" s="31"/>
      <c r="E415" s="31"/>
      <c r="F415" s="31"/>
      <c r="G415" s="31"/>
    </row>
    <row r="416" ht="15.75" customHeight="1">
      <c r="B416" s="31"/>
      <c r="C416" s="31"/>
      <c r="D416" s="31"/>
      <c r="E416" s="31"/>
      <c r="F416" s="31"/>
      <c r="G416" s="31"/>
    </row>
    <row r="417" ht="15.75" customHeight="1">
      <c r="B417" s="31"/>
      <c r="C417" s="31"/>
      <c r="D417" s="31"/>
      <c r="E417" s="31"/>
      <c r="F417" s="31"/>
      <c r="G417" s="31"/>
    </row>
    <row r="418" ht="15.75" customHeight="1">
      <c r="B418" s="31"/>
      <c r="C418" s="31"/>
      <c r="D418" s="31"/>
      <c r="E418" s="31"/>
      <c r="F418" s="31"/>
      <c r="G418" s="31"/>
    </row>
    <row r="419" ht="15.75" customHeight="1">
      <c r="B419" s="31"/>
      <c r="C419" s="31"/>
      <c r="D419" s="31"/>
      <c r="E419" s="31"/>
      <c r="F419" s="31"/>
      <c r="G419" s="31"/>
    </row>
    <row r="420" ht="15.75" customHeight="1">
      <c r="B420" s="31"/>
      <c r="C420" s="31"/>
      <c r="D420" s="31"/>
      <c r="E420" s="31"/>
      <c r="F420" s="31"/>
      <c r="G420" s="31"/>
    </row>
    <row r="421" ht="15.75" customHeight="1">
      <c r="B421" s="31"/>
      <c r="C421" s="31"/>
      <c r="D421" s="31"/>
      <c r="E421" s="31"/>
      <c r="F421" s="31"/>
      <c r="G421" s="31"/>
    </row>
    <row r="422" ht="15.75" customHeight="1">
      <c r="B422" s="31"/>
      <c r="C422" s="31"/>
      <c r="D422" s="31"/>
      <c r="E422" s="31"/>
      <c r="F422" s="31"/>
      <c r="G422" s="31"/>
    </row>
    <row r="423" ht="15.75" customHeight="1">
      <c r="B423" s="31"/>
      <c r="C423" s="31"/>
      <c r="D423" s="31"/>
      <c r="E423" s="31"/>
      <c r="F423" s="31"/>
      <c r="G423" s="31"/>
    </row>
    <row r="424" ht="15.75" customHeight="1">
      <c r="B424" s="31"/>
      <c r="C424" s="31"/>
      <c r="D424" s="31"/>
      <c r="E424" s="31"/>
      <c r="F424" s="31"/>
      <c r="G424" s="31"/>
    </row>
    <row r="425" ht="15.75" customHeight="1">
      <c r="B425" s="31"/>
      <c r="C425" s="31"/>
      <c r="D425" s="31"/>
      <c r="E425" s="31"/>
      <c r="F425" s="31"/>
      <c r="G425" s="31"/>
    </row>
    <row r="426" ht="15.75" customHeight="1">
      <c r="B426" s="31"/>
      <c r="C426" s="31"/>
      <c r="D426" s="31"/>
      <c r="E426" s="31"/>
      <c r="F426" s="31"/>
      <c r="G426" s="31"/>
    </row>
    <row r="427" ht="15.75" customHeight="1">
      <c r="B427" s="31"/>
      <c r="C427" s="31"/>
      <c r="D427" s="31"/>
      <c r="E427" s="31"/>
      <c r="F427" s="31"/>
      <c r="G427" s="31"/>
    </row>
    <row r="428" ht="15.75" customHeight="1">
      <c r="B428" s="31"/>
      <c r="C428" s="31"/>
      <c r="D428" s="31"/>
      <c r="E428" s="31"/>
      <c r="F428" s="31"/>
      <c r="G428" s="31"/>
    </row>
    <row r="429" ht="15.75" customHeight="1">
      <c r="B429" s="31"/>
      <c r="C429" s="31"/>
      <c r="D429" s="31"/>
      <c r="E429" s="31"/>
      <c r="F429" s="31"/>
      <c r="G429" s="31"/>
    </row>
    <row r="430" ht="15.75" customHeight="1">
      <c r="B430" s="31"/>
      <c r="C430" s="31"/>
      <c r="D430" s="31"/>
      <c r="E430" s="31"/>
      <c r="F430" s="31"/>
      <c r="G430" s="31"/>
    </row>
    <row r="431" ht="15.75" customHeight="1">
      <c r="B431" s="31"/>
      <c r="C431" s="31"/>
      <c r="D431" s="31"/>
      <c r="E431" s="31"/>
      <c r="F431" s="31"/>
      <c r="G431" s="31"/>
    </row>
    <row r="432" ht="15.75" customHeight="1">
      <c r="B432" s="31"/>
      <c r="C432" s="31"/>
      <c r="D432" s="31"/>
      <c r="E432" s="31"/>
      <c r="F432" s="31"/>
      <c r="G432" s="31"/>
    </row>
    <row r="433" ht="15.75" customHeight="1">
      <c r="B433" s="31"/>
      <c r="C433" s="31"/>
      <c r="D433" s="31"/>
      <c r="E433" s="31"/>
      <c r="F433" s="31"/>
      <c r="G433" s="31"/>
    </row>
    <row r="434" ht="15.75" customHeight="1">
      <c r="B434" s="31"/>
      <c r="C434" s="31"/>
      <c r="D434" s="31"/>
      <c r="E434" s="31"/>
      <c r="F434" s="31"/>
      <c r="G434" s="31"/>
    </row>
    <row r="435" ht="15.75" customHeight="1">
      <c r="B435" s="31"/>
      <c r="C435" s="31"/>
      <c r="D435" s="31"/>
      <c r="E435" s="31"/>
      <c r="F435" s="31"/>
      <c r="G435" s="31"/>
    </row>
    <row r="436" ht="15.75" customHeight="1">
      <c r="B436" s="31"/>
      <c r="C436" s="31"/>
      <c r="D436" s="31"/>
      <c r="E436" s="31"/>
      <c r="F436" s="31"/>
      <c r="G436" s="31"/>
    </row>
    <row r="437" ht="15.75" customHeight="1">
      <c r="B437" s="31"/>
      <c r="C437" s="31"/>
      <c r="D437" s="31"/>
      <c r="E437" s="31"/>
      <c r="F437" s="31"/>
      <c r="G437" s="31"/>
    </row>
    <row r="438" ht="15.75" customHeight="1">
      <c r="B438" s="31"/>
      <c r="C438" s="31"/>
      <c r="D438" s="31"/>
      <c r="E438" s="31"/>
      <c r="F438" s="31"/>
      <c r="G438" s="31"/>
    </row>
    <row r="439" ht="15.75" customHeight="1">
      <c r="B439" s="31"/>
      <c r="C439" s="31"/>
      <c r="D439" s="31"/>
      <c r="E439" s="31"/>
      <c r="F439" s="31"/>
      <c r="G439" s="31"/>
    </row>
    <row r="440" ht="15.75" customHeight="1">
      <c r="B440" s="31"/>
      <c r="C440" s="31"/>
      <c r="D440" s="31"/>
      <c r="E440" s="31"/>
      <c r="F440" s="31"/>
      <c r="G440" s="31"/>
    </row>
    <row r="441" ht="15.75" customHeight="1">
      <c r="B441" s="31"/>
      <c r="C441" s="31"/>
      <c r="D441" s="31"/>
      <c r="E441" s="31"/>
      <c r="F441" s="31"/>
      <c r="G441" s="31"/>
    </row>
    <row r="442" ht="15.75" customHeight="1">
      <c r="B442" s="31"/>
      <c r="C442" s="31"/>
      <c r="D442" s="31"/>
      <c r="E442" s="31"/>
      <c r="F442" s="31"/>
      <c r="G442" s="31"/>
    </row>
    <row r="443" ht="15.75" customHeight="1">
      <c r="B443" s="31"/>
      <c r="C443" s="31"/>
      <c r="D443" s="31"/>
      <c r="E443" s="31"/>
      <c r="F443" s="31"/>
      <c r="G443" s="31"/>
    </row>
    <row r="444" ht="15.75" customHeight="1">
      <c r="B444" s="31"/>
      <c r="C444" s="31"/>
      <c r="D444" s="31"/>
      <c r="E444" s="31"/>
      <c r="F444" s="31"/>
      <c r="G444" s="31"/>
    </row>
    <row r="445" ht="15.75" customHeight="1">
      <c r="B445" s="31"/>
      <c r="C445" s="31"/>
      <c r="D445" s="31"/>
      <c r="E445" s="31"/>
      <c r="F445" s="31"/>
      <c r="G445" s="31"/>
    </row>
    <row r="446" ht="15.75" customHeight="1">
      <c r="B446" s="31"/>
      <c r="C446" s="31"/>
      <c r="D446" s="31"/>
      <c r="E446" s="31"/>
      <c r="F446" s="31"/>
      <c r="G446" s="31"/>
    </row>
    <row r="447" ht="15.75" customHeight="1">
      <c r="B447" s="31"/>
      <c r="C447" s="31"/>
      <c r="D447" s="31"/>
      <c r="E447" s="31"/>
      <c r="F447" s="31"/>
      <c r="G447" s="31"/>
    </row>
    <row r="448" ht="15.75" customHeight="1">
      <c r="B448" s="31"/>
      <c r="C448" s="31"/>
      <c r="D448" s="31"/>
      <c r="E448" s="31"/>
      <c r="F448" s="31"/>
      <c r="G448" s="31"/>
    </row>
    <row r="449" ht="15.75" customHeight="1">
      <c r="B449" s="31"/>
      <c r="C449" s="31"/>
      <c r="D449" s="31"/>
      <c r="E449" s="31"/>
      <c r="F449" s="31"/>
      <c r="G449" s="31"/>
    </row>
    <row r="450" ht="15.75" customHeight="1">
      <c r="B450" s="31"/>
      <c r="C450" s="31"/>
      <c r="D450" s="31"/>
      <c r="E450" s="31"/>
      <c r="F450" s="31"/>
      <c r="G450" s="31"/>
    </row>
    <row r="451" ht="15.75" customHeight="1">
      <c r="B451" s="31"/>
      <c r="C451" s="31"/>
      <c r="D451" s="31"/>
      <c r="E451" s="31"/>
      <c r="F451" s="31"/>
      <c r="G451" s="31"/>
    </row>
    <row r="452" ht="15.75" customHeight="1">
      <c r="B452" s="31"/>
      <c r="C452" s="31"/>
      <c r="D452" s="31"/>
      <c r="E452" s="31"/>
      <c r="F452" s="31"/>
      <c r="G452" s="31"/>
    </row>
    <row r="453" ht="15.75" customHeight="1">
      <c r="B453" s="31"/>
      <c r="C453" s="31"/>
      <c r="D453" s="31"/>
      <c r="E453" s="31"/>
      <c r="F453" s="31"/>
      <c r="G453" s="31"/>
    </row>
    <row r="454" ht="15.75" customHeight="1">
      <c r="B454" s="31"/>
      <c r="C454" s="31"/>
      <c r="D454" s="31"/>
      <c r="E454" s="31"/>
      <c r="F454" s="31"/>
      <c r="G454" s="31"/>
    </row>
    <row r="455" ht="15.75" customHeight="1">
      <c r="B455" s="31"/>
      <c r="C455" s="31"/>
      <c r="D455" s="31"/>
      <c r="E455" s="31"/>
      <c r="F455" s="31"/>
      <c r="G455" s="31"/>
    </row>
    <row r="456" ht="15.75" customHeight="1">
      <c r="B456" s="31"/>
      <c r="C456" s="31"/>
      <c r="D456" s="31"/>
      <c r="E456" s="31"/>
      <c r="F456" s="31"/>
      <c r="G456" s="31"/>
    </row>
    <row r="457" ht="15.75" customHeight="1">
      <c r="B457" s="31"/>
      <c r="C457" s="31"/>
      <c r="D457" s="31"/>
      <c r="E457" s="31"/>
      <c r="F457" s="31"/>
      <c r="G457" s="31"/>
    </row>
    <row r="458" ht="15.75" customHeight="1">
      <c r="B458" s="31"/>
      <c r="C458" s="31"/>
      <c r="D458" s="31"/>
      <c r="E458" s="31"/>
      <c r="F458" s="31"/>
      <c r="G458" s="31"/>
    </row>
    <row r="459" ht="15.75" customHeight="1">
      <c r="B459" s="31"/>
      <c r="C459" s="31"/>
      <c r="D459" s="31"/>
      <c r="E459" s="31"/>
      <c r="F459" s="31"/>
      <c r="G459" s="31"/>
    </row>
    <row r="460" ht="15.75" customHeight="1">
      <c r="B460" s="31"/>
      <c r="C460" s="31"/>
      <c r="D460" s="31"/>
      <c r="E460" s="31"/>
      <c r="F460" s="31"/>
      <c r="G460" s="31"/>
    </row>
    <row r="461" ht="15.75" customHeight="1">
      <c r="B461" s="31"/>
      <c r="C461" s="31"/>
      <c r="D461" s="31"/>
      <c r="E461" s="31"/>
      <c r="F461" s="31"/>
      <c r="G461" s="31"/>
    </row>
    <row r="462" ht="15.75" customHeight="1">
      <c r="B462" s="31"/>
      <c r="C462" s="31"/>
      <c r="D462" s="31"/>
      <c r="E462" s="31"/>
      <c r="F462" s="31"/>
      <c r="G462" s="31"/>
    </row>
    <row r="463" ht="15.75" customHeight="1">
      <c r="B463" s="31"/>
      <c r="C463" s="31"/>
      <c r="D463" s="31"/>
      <c r="E463" s="31"/>
      <c r="F463" s="31"/>
      <c r="G463" s="31"/>
    </row>
    <row r="464" ht="15.75" customHeight="1">
      <c r="B464" s="31"/>
      <c r="C464" s="31"/>
      <c r="D464" s="31"/>
      <c r="E464" s="31"/>
      <c r="F464" s="31"/>
      <c r="G464" s="31"/>
    </row>
    <row r="465" ht="15.75" customHeight="1">
      <c r="B465" s="31"/>
      <c r="C465" s="31"/>
      <c r="D465" s="31"/>
      <c r="E465" s="31"/>
      <c r="F465" s="31"/>
      <c r="G465" s="31"/>
    </row>
    <row r="466" ht="15.75" customHeight="1">
      <c r="B466" s="31"/>
      <c r="C466" s="31"/>
      <c r="D466" s="31"/>
      <c r="E466" s="31"/>
      <c r="F466" s="31"/>
      <c r="G466" s="31"/>
    </row>
    <row r="467" ht="15.75" customHeight="1">
      <c r="B467" s="31"/>
      <c r="C467" s="31"/>
      <c r="D467" s="31"/>
      <c r="E467" s="31"/>
      <c r="F467" s="31"/>
      <c r="G467" s="31"/>
    </row>
    <row r="468" ht="15.75" customHeight="1">
      <c r="B468" s="31"/>
      <c r="C468" s="31"/>
      <c r="D468" s="31"/>
      <c r="E468" s="31"/>
      <c r="F468" s="31"/>
      <c r="G468" s="31"/>
    </row>
    <row r="469" ht="15.75" customHeight="1">
      <c r="B469" s="31"/>
      <c r="C469" s="31"/>
      <c r="D469" s="31"/>
      <c r="E469" s="31"/>
      <c r="F469" s="31"/>
      <c r="G469" s="31"/>
    </row>
    <row r="470" ht="15.75" customHeight="1">
      <c r="B470" s="31"/>
      <c r="C470" s="31"/>
      <c r="D470" s="31"/>
      <c r="E470" s="31"/>
      <c r="F470" s="31"/>
      <c r="G470" s="31"/>
    </row>
    <row r="471" ht="15.75" customHeight="1">
      <c r="B471" s="31"/>
      <c r="C471" s="31"/>
      <c r="D471" s="31"/>
      <c r="E471" s="31"/>
      <c r="F471" s="31"/>
      <c r="G471" s="31"/>
    </row>
    <row r="472" ht="15.75" customHeight="1">
      <c r="B472" s="31"/>
      <c r="C472" s="31"/>
      <c r="D472" s="31"/>
      <c r="E472" s="31"/>
      <c r="F472" s="31"/>
      <c r="G472" s="31"/>
    </row>
    <row r="473" ht="15.75" customHeight="1">
      <c r="B473" s="31"/>
      <c r="C473" s="31"/>
      <c r="D473" s="31"/>
      <c r="E473" s="31"/>
      <c r="F473" s="31"/>
      <c r="G473" s="31"/>
    </row>
    <row r="474" ht="15.75" customHeight="1">
      <c r="B474" s="31"/>
      <c r="C474" s="31"/>
      <c r="D474" s="31"/>
      <c r="E474" s="31"/>
      <c r="F474" s="31"/>
      <c r="G474" s="31"/>
    </row>
    <row r="475" ht="15.75" customHeight="1">
      <c r="B475" s="31"/>
      <c r="C475" s="31"/>
      <c r="D475" s="31"/>
      <c r="E475" s="31"/>
      <c r="F475" s="31"/>
      <c r="G475" s="31"/>
    </row>
    <row r="476" ht="15.75" customHeight="1">
      <c r="B476" s="31"/>
      <c r="C476" s="31"/>
      <c r="D476" s="31"/>
      <c r="E476" s="31"/>
      <c r="F476" s="31"/>
      <c r="G476" s="31"/>
    </row>
    <row r="477" ht="15.75" customHeight="1">
      <c r="B477" s="31"/>
      <c r="C477" s="31"/>
      <c r="D477" s="31"/>
      <c r="E477" s="31"/>
      <c r="F477" s="31"/>
      <c r="G477" s="31"/>
    </row>
    <row r="478" ht="15.75" customHeight="1">
      <c r="B478" s="31"/>
      <c r="C478" s="31"/>
      <c r="D478" s="31"/>
      <c r="E478" s="31"/>
      <c r="F478" s="31"/>
      <c r="G478" s="31"/>
    </row>
    <row r="479" ht="15.75" customHeight="1">
      <c r="B479" s="31"/>
      <c r="C479" s="31"/>
      <c r="D479" s="31"/>
      <c r="E479" s="31"/>
      <c r="F479" s="31"/>
      <c r="G479" s="31"/>
    </row>
    <row r="480" ht="15.75" customHeight="1">
      <c r="B480" s="31"/>
      <c r="C480" s="31"/>
      <c r="D480" s="31"/>
      <c r="E480" s="31"/>
      <c r="F480" s="31"/>
      <c r="G480" s="31"/>
    </row>
    <row r="481" ht="15.75" customHeight="1">
      <c r="B481" s="31"/>
      <c r="C481" s="31"/>
      <c r="D481" s="31"/>
      <c r="E481" s="31"/>
      <c r="F481" s="31"/>
      <c r="G481" s="31"/>
    </row>
    <row r="482" ht="15.75" customHeight="1">
      <c r="B482" s="31"/>
      <c r="C482" s="31"/>
      <c r="D482" s="31"/>
      <c r="E482" s="31"/>
      <c r="F482" s="31"/>
      <c r="G482" s="31"/>
    </row>
    <row r="483" ht="15.75" customHeight="1">
      <c r="B483" s="31"/>
      <c r="C483" s="31"/>
      <c r="D483" s="31"/>
      <c r="E483" s="31"/>
      <c r="F483" s="31"/>
      <c r="G483" s="31"/>
    </row>
    <row r="484" ht="15.75" customHeight="1">
      <c r="B484" s="31"/>
      <c r="C484" s="31"/>
      <c r="D484" s="31"/>
      <c r="E484" s="31"/>
      <c r="F484" s="31"/>
      <c r="G484" s="31"/>
    </row>
    <row r="485" ht="15.75" customHeight="1">
      <c r="B485" s="31"/>
      <c r="C485" s="31"/>
      <c r="D485" s="31"/>
      <c r="E485" s="31"/>
      <c r="F485" s="31"/>
      <c r="G485" s="31"/>
    </row>
    <row r="486" ht="15.75" customHeight="1">
      <c r="B486" s="31"/>
      <c r="C486" s="31"/>
      <c r="D486" s="31"/>
      <c r="E486" s="31"/>
      <c r="F486" s="31"/>
      <c r="G486" s="31"/>
    </row>
    <row r="487" ht="15.75" customHeight="1">
      <c r="B487" s="31"/>
      <c r="C487" s="31"/>
      <c r="D487" s="31"/>
      <c r="E487" s="31"/>
      <c r="F487" s="31"/>
      <c r="G487" s="31"/>
    </row>
    <row r="488" ht="15.75" customHeight="1">
      <c r="B488" s="31"/>
      <c r="C488" s="31"/>
      <c r="D488" s="31"/>
      <c r="E488" s="31"/>
      <c r="F488" s="31"/>
      <c r="G488" s="31"/>
    </row>
    <row r="489" ht="15.75" customHeight="1">
      <c r="B489" s="31"/>
      <c r="C489" s="31"/>
      <c r="D489" s="31"/>
      <c r="E489" s="31"/>
      <c r="F489" s="31"/>
      <c r="G489" s="31"/>
    </row>
    <row r="490" ht="15.75" customHeight="1">
      <c r="B490" s="31"/>
      <c r="C490" s="31"/>
      <c r="D490" s="31"/>
      <c r="E490" s="31"/>
      <c r="F490" s="31"/>
      <c r="G490" s="31"/>
    </row>
    <row r="491" ht="15.75" customHeight="1">
      <c r="B491" s="31"/>
      <c r="C491" s="31"/>
      <c r="D491" s="31"/>
      <c r="E491" s="31"/>
      <c r="F491" s="31"/>
      <c r="G491" s="31"/>
    </row>
    <row r="492" ht="15.75" customHeight="1">
      <c r="B492" s="31"/>
      <c r="C492" s="31"/>
      <c r="D492" s="31"/>
      <c r="E492" s="31"/>
      <c r="F492" s="31"/>
      <c r="G492" s="31"/>
    </row>
    <row r="493" ht="15.75" customHeight="1">
      <c r="B493" s="31"/>
      <c r="C493" s="31"/>
      <c r="D493" s="31"/>
      <c r="E493" s="31"/>
      <c r="F493" s="31"/>
      <c r="G493" s="31"/>
    </row>
    <row r="494" ht="15.75" customHeight="1">
      <c r="B494" s="31"/>
      <c r="C494" s="31"/>
      <c r="D494" s="31"/>
      <c r="E494" s="31"/>
      <c r="F494" s="31"/>
      <c r="G494" s="31"/>
    </row>
    <row r="495" ht="15.75" customHeight="1">
      <c r="B495" s="31"/>
      <c r="C495" s="31"/>
      <c r="D495" s="31"/>
      <c r="E495" s="31"/>
      <c r="F495" s="31"/>
      <c r="G495" s="31"/>
    </row>
    <row r="496" ht="15.75" customHeight="1">
      <c r="B496" s="31"/>
      <c r="C496" s="31"/>
      <c r="D496" s="31"/>
      <c r="E496" s="31"/>
      <c r="F496" s="31"/>
      <c r="G496" s="31"/>
    </row>
    <row r="497" ht="15.75" customHeight="1">
      <c r="B497" s="31"/>
      <c r="C497" s="31"/>
      <c r="D497" s="31"/>
      <c r="E497" s="31"/>
      <c r="F497" s="31"/>
      <c r="G497" s="31"/>
    </row>
    <row r="498" ht="15.75" customHeight="1">
      <c r="B498" s="31"/>
      <c r="C498" s="31"/>
      <c r="D498" s="31"/>
      <c r="E498" s="31"/>
      <c r="F498" s="31"/>
      <c r="G498" s="31"/>
    </row>
    <row r="499" ht="15.75" customHeight="1">
      <c r="B499" s="31"/>
      <c r="C499" s="31"/>
      <c r="D499" s="31"/>
      <c r="E499" s="31"/>
      <c r="F499" s="31"/>
      <c r="G499" s="31"/>
    </row>
    <row r="500" ht="15.75" customHeight="1">
      <c r="B500" s="31"/>
      <c r="C500" s="31"/>
      <c r="D500" s="31"/>
      <c r="E500" s="31"/>
      <c r="F500" s="31"/>
      <c r="G500" s="31"/>
    </row>
    <row r="501" ht="15.75" customHeight="1">
      <c r="B501" s="31"/>
      <c r="C501" s="31"/>
      <c r="D501" s="31"/>
      <c r="E501" s="31"/>
      <c r="F501" s="31"/>
      <c r="G501" s="31"/>
    </row>
    <row r="502" ht="15.75" customHeight="1">
      <c r="B502" s="31"/>
      <c r="C502" s="31"/>
      <c r="D502" s="31"/>
      <c r="E502" s="31"/>
      <c r="F502" s="31"/>
      <c r="G502" s="31"/>
    </row>
    <row r="503" ht="15.75" customHeight="1">
      <c r="B503" s="31"/>
      <c r="C503" s="31"/>
      <c r="D503" s="31"/>
      <c r="E503" s="31"/>
      <c r="F503" s="31"/>
      <c r="G503" s="31"/>
    </row>
    <row r="504" ht="15.75" customHeight="1">
      <c r="B504" s="31"/>
      <c r="C504" s="31"/>
      <c r="D504" s="31"/>
      <c r="E504" s="31"/>
      <c r="F504" s="31"/>
      <c r="G504" s="31"/>
    </row>
    <row r="505" ht="15.75" customHeight="1">
      <c r="B505" s="31"/>
      <c r="C505" s="31"/>
      <c r="D505" s="31"/>
      <c r="E505" s="31"/>
      <c r="F505" s="31"/>
      <c r="G505" s="31"/>
    </row>
    <row r="506" ht="15.75" customHeight="1">
      <c r="B506" s="31"/>
      <c r="C506" s="31"/>
      <c r="D506" s="31"/>
      <c r="E506" s="31"/>
      <c r="F506" s="31"/>
      <c r="G506" s="31"/>
    </row>
    <row r="507" ht="15.75" customHeight="1">
      <c r="B507" s="31"/>
      <c r="C507" s="31"/>
      <c r="D507" s="31"/>
      <c r="E507" s="31"/>
      <c r="F507" s="31"/>
      <c r="G507" s="31"/>
    </row>
    <row r="508" ht="15.75" customHeight="1">
      <c r="B508" s="31"/>
      <c r="C508" s="31"/>
      <c r="D508" s="31"/>
      <c r="E508" s="31"/>
      <c r="F508" s="31"/>
      <c r="G508" s="31"/>
    </row>
    <row r="509" ht="15.75" customHeight="1">
      <c r="B509" s="31"/>
      <c r="C509" s="31"/>
      <c r="D509" s="31"/>
      <c r="E509" s="31"/>
      <c r="F509" s="31"/>
      <c r="G509" s="31"/>
    </row>
    <row r="510" ht="15.75" customHeight="1">
      <c r="B510" s="31"/>
      <c r="C510" s="31"/>
      <c r="D510" s="31"/>
      <c r="E510" s="31"/>
      <c r="F510" s="31"/>
      <c r="G510" s="31"/>
    </row>
    <row r="511" ht="15.75" customHeight="1">
      <c r="B511" s="31"/>
      <c r="C511" s="31"/>
      <c r="D511" s="31"/>
      <c r="E511" s="31"/>
      <c r="F511" s="31"/>
      <c r="G511" s="31"/>
    </row>
    <row r="512" ht="15.75" customHeight="1">
      <c r="B512" s="31"/>
      <c r="C512" s="31"/>
      <c r="D512" s="31"/>
      <c r="E512" s="31"/>
      <c r="F512" s="31"/>
      <c r="G512" s="31"/>
    </row>
    <row r="513" ht="15.75" customHeight="1">
      <c r="B513" s="31"/>
      <c r="C513" s="31"/>
      <c r="D513" s="31"/>
      <c r="E513" s="31"/>
      <c r="F513" s="31"/>
      <c r="G513" s="31"/>
    </row>
    <row r="514" ht="15.75" customHeight="1">
      <c r="B514" s="31"/>
      <c r="C514" s="31"/>
      <c r="D514" s="31"/>
      <c r="E514" s="31"/>
      <c r="F514" s="31"/>
      <c r="G514" s="31"/>
    </row>
    <row r="515" ht="15.75" customHeight="1">
      <c r="B515" s="31"/>
      <c r="C515" s="31"/>
      <c r="D515" s="31"/>
      <c r="E515" s="31"/>
      <c r="F515" s="31"/>
      <c r="G515" s="31"/>
    </row>
    <row r="516" ht="15.75" customHeight="1">
      <c r="B516" s="31"/>
      <c r="C516" s="31"/>
      <c r="D516" s="31"/>
      <c r="E516" s="31"/>
      <c r="F516" s="31"/>
      <c r="G516" s="31"/>
    </row>
    <row r="517" ht="15.75" customHeight="1">
      <c r="B517" s="31"/>
      <c r="C517" s="31"/>
      <c r="D517" s="31"/>
      <c r="E517" s="31"/>
      <c r="F517" s="31"/>
      <c r="G517" s="31"/>
    </row>
    <row r="518" ht="15.75" customHeight="1">
      <c r="B518" s="31"/>
      <c r="C518" s="31"/>
      <c r="D518" s="31"/>
      <c r="E518" s="31"/>
      <c r="F518" s="31"/>
      <c r="G518" s="31"/>
    </row>
    <row r="519" ht="15.75" customHeight="1">
      <c r="B519" s="31"/>
      <c r="C519" s="31"/>
      <c r="D519" s="31"/>
      <c r="E519" s="31"/>
      <c r="F519" s="31"/>
      <c r="G519" s="31"/>
    </row>
    <row r="520" ht="15.75" customHeight="1">
      <c r="B520" s="31"/>
      <c r="C520" s="31"/>
      <c r="D520" s="31"/>
      <c r="E520" s="31"/>
      <c r="F520" s="31"/>
      <c r="G520" s="31"/>
    </row>
    <row r="521" ht="15.75" customHeight="1">
      <c r="B521" s="31"/>
      <c r="C521" s="31"/>
      <c r="D521" s="31"/>
      <c r="E521" s="31"/>
      <c r="F521" s="31"/>
      <c r="G521" s="31"/>
    </row>
    <row r="522" ht="15.75" customHeight="1">
      <c r="B522" s="31"/>
      <c r="C522" s="31"/>
      <c r="D522" s="31"/>
      <c r="E522" s="31"/>
      <c r="F522" s="31"/>
      <c r="G522" s="31"/>
    </row>
    <row r="523" ht="15.75" customHeight="1">
      <c r="B523" s="31"/>
      <c r="C523" s="31"/>
      <c r="D523" s="31"/>
      <c r="E523" s="31"/>
      <c r="F523" s="31"/>
      <c r="G523" s="31"/>
    </row>
    <row r="524" ht="15.75" customHeight="1">
      <c r="B524" s="31"/>
      <c r="C524" s="31"/>
      <c r="D524" s="31"/>
      <c r="E524" s="31"/>
      <c r="F524" s="31"/>
      <c r="G524" s="31"/>
    </row>
    <row r="525" ht="15.75" customHeight="1">
      <c r="B525" s="31"/>
      <c r="C525" s="31"/>
      <c r="D525" s="31"/>
      <c r="E525" s="31"/>
      <c r="F525" s="31"/>
      <c r="G525" s="31"/>
    </row>
    <row r="526" ht="15.75" customHeight="1">
      <c r="B526" s="31"/>
      <c r="C526" s="31"/>
      <c r="D526" s="31"/>
      <c r="E526" s="31"/>
      <c r="F526" s="31"/>
      <c r="G526" s="31"/>
    </row>
    <row r="527" ht="15.75" customHeight="1">
      <c r="B527" s="31"/>
      <c r="C527" s="31"/>
      <c r="D527" s="31"/>
      <c r="E527" s="31"/>
      <c r="F527" s="31"/>
      <c r="G527" s="31"/>
    </row>
    <row r="528" ht="15.75" customHeight="1">
      <c r="B528" s="31"/>
      <c r="C528" s="31"/>
      <c r="D528" s="31"/>
      <c r="E528" s="31"/>
      <c r="F528" s="31"/>
      <c r="G528" s="31"/>
    </row>
    <row r="529" ht="15.75" customHeight="1">
      <c r="B529" s="31"/>
      <c r="C529" s="31"/>
      <c r="D529" s="31"/>
      <c r="E529" s="31"/>
      <c r="F529" s="31"/>
      <c r="G529" s="31"/>
    </row>
    <row r="530" ht="15.75" customHeight="1">
      <c r="B530" s="31"/>
      <c r="C530" s="31"/>
      <c r="D530" s="31"/>
      <c r="E530" s="31"/>
      <c r="F530" s="31"/>
      <c r="G530" s="31"/>
    </row>
    <row r="531" ht="15.75" customHeight="1">
      <c r="B531" s="31"/>
      <c r="C531" s="31"/>
      <c r="D531" s="31"/>
      <c r="E531" s="31"/>
      <c r="F531" s="31"/>
      <c r="G531" s="31"/>
    </row>
    <row r="532" ht="15.75" customHeight="1">
      <c r="B532" s="31"/>
      <c r="C532" s="31"/>
      <c r="D532" s="31"/>
      <c r="E532" s="31"/>
      <c r="F532" s="31"/>
      <c r="G532" s="31"/>
    </row>
    <row r="533" ht="15.75" customHeight="1">
      <c r="B533" s="31"/>
      <c r="C533" s="31"/>
      <c r="D533" s="31"/>
      <c r="E533" s="31"/>
      <c r="F533" s="31"/>
      <c r="G533" s="31"/>
    </row>
    <row r="534" ht="15.75" customHeight="1">
      <c r="B534" s="31"/>
      <c r="C534" s="31"/>
      <c r="D534" s="31"/>
      <c r="E534" s="31"/>
      <c r="F534" s="31"/>
      <c r="G534" s="31"/>
    </row>
    <row r="535" ht="15.75" customHeight="1">
      <c r="B535" s="31"/>
      <c r="C535" s="31"/>
      <c r="D535" s="31"/>
      <c r="E535" s="31"/>
      <c r="F535" s="31"/>
      <c r="G535" s="31"/>
    </row>
    <row r="536" ht="15.75" customHeight="1">
      <c r="B536" s="31"/>
      <c r="C536" s="31"/>
      <c r="D536" s="31"/>
      <c r="E536" s="31"/>
      <c r="F536" s="31"/>
      <c r="G536" s="31"/>
    </row>
    <row r="537" ht="15.75" customHeight="1">
      <c r="B537" s="31"/>
      <c r="C537" s="31"/>
      <c r="D537" s="31"/>
      <c r="E537" s="31"/>
      <c r="F537" s="31"/>
      <c r="G537" s="31"/>
    </row>
    <row r="538" ht="15.75" customHeight="1">
      <c r="B538" s="31"/>
      <c r="C538" s="31"/>
      <c r="D538" s="31"/>
      <c r="E538" s="31"/>
      <c r="F538" s="31"/>
      <c r="G538" s="31"/>
    </row>
    <row r="539" ht="15.75" customHeight="1">
      <c r="B539" s="31"/>
      <c r="C539" s="31"/>
      <c r="D539" s="31"/>
      <c r="E539" s="31"/>
      <c r="F539" s="31"/>
      <c r="G539" s="31"/>
    </row>
    <row r="540" ht="15.75" customHeight="1">
      <c r="B540" s="31"/>
      <c r="C540" s="31"/>
      <c r="D540" s="31"/>
      <c r="E540" s="31"/>
      <c r="F540" s="31"/>
      <c r="G540" s="31"/>
    </row>
    <row r="541" ht="15.75" customHeight="1">
      <c r="B541" s="31"/>
      <c r="C541" s="31"/>
      <c r="D541" s="31"/>
      <c r="E541" s="31"/>
      <c r="F541" s="31"/>
      <c r="G541" s="31"/>
    </row>
    <row r="542" ht="15.75" customHeight="1">
      <c r="B542" s="31"/>
      <c r="C542" s="31"/>
      <c r="D542" s="31"/>
      <c r="E542" s="31"/>
      <c r="F542" s="31"/>
      <c r="G542" s="31"/>
    </row>
    <row r="543" ht="15.75" customHeight="1">
      <c r="B543" s="31"/>
      <c r="C543" s="31"/>
      <c r="D543" s="31"/>
      <c r="E543" s="31"/>
      <c r="F543" s="31"/>
      <c r="G543" s="31"/>
    </row>
    <row r="544" ht="15.75" customHeight="1">
      <c r="B544" s="31"/>
      <c r="C544" s="31"/>
      <c r="D544" s="31"/>
      <c r="E544" s="31"/>
      <c r="F544" s="31"/>
      <c r="G544" s="31"/>
    </row>
    <row r="545" ht="15.75" customHeight="1">
      <c r="B545" s="31"/>
      <c r="C545" s="31"/>
      <c r="D545" s="31"/>
      <c r="E545" s="31"/>
      <c r="F545" s="31"/>
      <c r="G545" s="31"/>
    </row>
    <row r="546" ht="15.75" customHeight="1">
      <c r="B546" s="31"/>
      <c r="C546" s="31"/>
      <c r="D546" s="31"/>
      <c r="E546" s="31"/>
      <c r="F546" s="31"/>
      <c r="G546" s="31"/>
    </row>
    <row r="547" ht="15.75" customHeight="1">
      <c r="B547" s="31"/>
      <c r="C547" s="31"/>
      <c r="D547" s="31"/>
      <c r="E547" s="31"/>
      <c r="F547" s="31"/>
      <c r="G547" s="31"/>
    </row>
    <row r="548" ht="15.75" customHeight="1">
      <c r="B548" s="31"/>
      <c r="C548" s="31"/>
      <c r="D548" s="31"/>
      <c r="E548" s="31"/>
      <c r="F548" s="31"/>
      <c r="G548" s="31"/>
    </row>
    <row r="549" ht="15.75" customHeight="1">
      <c r="B549" s="31"/>
      <c r="C549" s="31"/>
      <c r="D549" s="31"/>
      <c r="E549" s="31"/>
      <c r="F549" s="31"/>
      <c r="G549" s="31"/>
    </row>
    <row r="550" ht="15.75" customHeight="1">
      <c r="B550" s="31"/>
      <c r="C550" s="31"/>
      <c r="D550" s="31"/>
      <c r="E550" s="31"/>
      <c r="F550" s="31"/>
      <c r="G550" s="31"/>
    </row>
    <row r="551" ht="15.75" customHeight="1">
      <c r="B551" s="31"/>
      <c r="C551" s="31"/>
      <c r="D551" s="31"/>
      <c r="E551" s="31"/>
      <c r="F551" s="31"/>
      <c r="G551" s="31"/>
    </row>
    <row r="552" ht="15.75" customHeight="1">
      <c r="B552" s="31"/>
      <c r="C552" s="31"/>
      <c r="D552" s="31"/>
      <c r="E552" s="31"/>
      <c r="F552" s="31"/>
      <c r="G552" s="31"/>
    </row>
    <row r="553" ht="15.75" customHeight="1">
      <c r="B553" s="31"/>
      <c r="C553" s="31"/>
      <c r="D553" s="31"/>
      <c r="E553" s="31"/>
      <c r="F553" s="31"/>
      <c r="G553" s="31"/>
    </row>
    <row r="554" ht="15.75" customHeight="1">
      <c r="B554" s="31"/>
      <c r="C554" s="31"/>
      <c r="D554" s="31"/>
      <c r="E554" s="31"/>
      <c r="F554" s="31"/>
      <c r="G554" s="31"/>
    </row>
    <row r="555" ht="15.75" customHeight="1">
      <c r="B555" s="31"/>
      <c r="C555" s="31"/>
      <c r="D555" s="31"/>
      <c r="E555" s="31"/>
      <c r="F555" s="31"/>
      <c r="G555" s="31"/>
    </row>
    <row r="556" ht="15.75" customHeight="1">
      <c r="B556" s="31"/>
      <c r="C556" s="31"/>
      <c r="D556" s="31"/>
      <c r="E556" s="31"/>
      <c r="F556" s="31"/>
      <c r="G556" s="31"/>
    </row>
    <row r="557" ht="15.75" customHeight="1">
      <c r="B557" s="31"/>
      <c r="C557" s="31"/>
      <c r="D557" s="31"/>
      <c r="E557" s="31"/>
      <c r="F557" s="31"/>
      <c r="G557" s="31"/>
    </row>
    <row r="558" ht="15.75" customHeight="1">
      <c r="B558" s="31"/>
      <c r="C558" s="31"/>
      <c r="D558" s="31"/>
      <c r="E558" s="31"/>
      <c r="F558" s="31"/>
      <c r="G558" s="31"/>
    </row>
    <row r="559" ht="15.75" customHeight="1">
      <c r="B559" s="31"/>
      <c r="C559" s="31"/>
      <c r="D559" s="31"/>
      <c r="E559" s="31"/>
      <c r="F559" s="31"/>
      <c r="G559" s="31"/>
    </row>
    <row r="560" ht="15.75" customHeight="1">
      <c r="B560" s="31"/>
      <c r="C560" s="31"/>
      <c r="D560" s="31"/>
      <c r="E560" s="31"/>
      <c r="F560" s="31"/>
      <c r="G560" s="31"/>
    </row>
    <row r="561" ht="15.75" customHeight="1">
      <c r="B561" s="31"/>
      <c r="C561" s="31"/>
      <c r="D561" s="31"/>
      <c r="E561" s="31"/>
      <c r="F561" s="31"/>
      <c r="G561" s="31"/>
    </row>
    <row r="562" ht="15.75" customHeight="1">
      <c r="B562" s="31"/>
      <c r="C562" s="31"/>
      <c r="D562" s="31"/>
      <c r="E562" s="31"/>
      <c r="F562" s="31"/>
      <c r="G562" s="31"/>
    </row>
    <row r="563" ht="15.75" customHeight="1">
      <c r="B563" s="31"/>
      <c r="C563" s="31"/>
      <c r="D563" s="31"/>
      <c r="E563" s="31"/>
      <c r="F563" s="31"/>
      <c r="G563" s="31"/>
    </row>
    <row r="564" ht="15.75" customHeight="1">
      <c r="B564" s="31"/>
      <c r="C564" s="31"/>
      <c r="D564" s="31"/>
      <c r="E564" s="31"/>
      <c r="F564" s="31"/>
      <c r="G564" s="31"/>
    </row>
    <row r="565" ht="15.75" customHeight="1">
      <c r="B565" s="31"/>
      <c r="C565" s="31"/>
      <c r="D565" s="31"/>
      <c r="E565" s="31"/>
      <c r="F565" s="31"/>
      <c r="G565" s="31"/>
    </row>
    <row r="566" ht="15.75" customHeight="1">
      <c r="B566" s="31"/>
      <c r="C566" s="31"/>
      <c r="D566" s="31"/>
      <c r="E566" s="31"/>
      <c r="F566" s="31"/>
      <c r="G566" s="31"/>
    </row>
    <row r="567" ht="15.75" customHeight="1">
      <c r="B567" s="31"/>
      <c r="C567" s="31"/>
      <c r="D567" s="31"/>
      <c r="E567" s="31"/>
      <c r="F567" s="31"/>
      <c r="G567" s="31"/>
    </row>
    <row r="568" ht="15.75" customHeight="1">
      <c r="B568" s="31"/>
      <c r="C568" s="31"/>
      <c r="D568" s="31"/>
      <c r="E568" s="31"/>
      <c r="F568" s="31"/>
      <c r="G568" s="31"/>
    </row>
    <row r="569" ht="15.75" customHeight="1">
      <c r="B569" s="31"/>
      <c r="C569" s="31"/>
      <c r="D569" s="31"/>
      <c r="E569" s="31"/>
      <c r="F569" s="31"/>
      <c r="G569" s="31"/>
    </row>
    <row r="570" ht="15.75" customHeight="1">
      <c r="B570" s="31"/>
      <c r="C570" s="31"/>
      <c r="D570" s="31"/>
      <c r="E570" s="31"/>
      <c r="F570" s="31"/>
      <c r="G570" s="31"/>
    </row>
    <row r="571" ht="15.75" customHeight="1">
      <c r="B571" s="31"/>
      <c r="C571" s="31"/>
      <c r="D571" s="31"/>
      <c r="E571" s="31"/>
      <c r="F571" s="31"/>
      <c r="G571" s="31"/>
    </row>
    <row r="572" ht="15.75" customHeight="1">
      <c r="B572" s="31"/>
      <c r="C572" s="31"/>
      <c r="D572" s="31"/>
      <c r="E572" s="31"/>
      <c r="F572" s="31"/>
      <c r="G572" s="31"/>
    </row>
    <row r="573" ht="15.75" customHeight="1">
      <c r="B573" s="31"/>
      <c r="C573" s="31"/>
      <c r="D573" s="31"/>
      <c r="E573" s="31"/>
      <c r="F573" s="31"/>
      <c r="G573" s="31"/>
    </row>
    <row r="574" ht="15.75" customHeight="1">
      <c r="B574" s="31"/>
      <c r="C574" s="31"/>
      <c r="D574" s="31"/>
      <c r="E574" s="31"/>
      <c r="F574" s="31"/>
      <c r="G574" s="31"/>
    </row>
    <row r="575" ht="15.75" customHeight="1">
      <c r="B575" s="31"/>
      <c r="C575" s="31"/>
      <c r="D575" s="31"/>
      <c r="E575" s="31"/>
      <c r="F575" s="31"/>
      <c r="G575" s="31"/>
    </row>
    <row r="576" ht="15.75" customHeight="1">
      <c r="B576" s="31"/>
      <c r="C576" s="31"/>
      <c r="D576" s="31"/>
      <c r="E576" s="31"/>
      <c r="F576" s="31"/>
      <c r="G576" s="31"/>
    </row>
    <row r="577" ht="15.75" customHeight="1">
      <c r="B577" s="31"/>
      <c r="C577" s="31"/>
      <c r="D577" s="31"/>
      <c r="E577" s="31"/>
      <c r="F577" s="31"/>
      <c r="G577" s="31"/>
    </row>
    <row r="578" ht="15.75" customHeight="1">
      <c r="B578" s="31"/>
      <c r="C578" s="31"/>
      <c r="D578" s="31"/>
      <c r="E578" s="31"/>
      <c r="F578" s="31"/>
      <c r="G578" s="31"/>
    </row>
    <row r="579" ht="15.75" customHeight="1">
      <c r="B579" s="31"/>
      <c r="C579" s="31"/>
      <c r="D579" s="31"/>
      <c r="E579" s="31"/>
      <c r="F579" s="31"/>
      <c r="G579" s="31"/>
    </row>
    <row r="580" ht="15.75" customHeight="1">
      <c r="B580" s="31"/>
      <c r="C580" s="31"/>
      <c r="D580" s="31"/>
      <c r="E580" s="31"/>
      <c r="F580" s="31"/>
      <c r="G580" s="31"/>
    </row>
    <row r="581" ht="15.75" customHeight="1">
      <c r="B581" s="31"/>
      <c r="C581" s="31"/>
      <c r="D581" s="31"/>
      <c r="E581" s="31"/>
      <c r="F581" s="31"/>
      <c r="G581" s="31"/>
    </row>
    <row r="582" ht="15.75" customHeight="1">
      <c r="B582" s="31"/>
      <c r="C582" s="31"/>
      <c r="D582" s="31"/>
      <c r="E582" s="31"/>
      <c r="F582" s="31"/>
      <c r="G582" s="31"/>
    </row>
    <row r="583" ht="15.75" customHeight="1">
      <c r="B583" s="31"/>
      <c r="C583" s="31"/>
      <c r="D583" s="31"/>
      <c r="E583" s="31"/>
      <c r="F583" s="31"/>
      <c r="G583" s="31"/>
    </row>
    <row r="584" ht="15.75" customHeight="1">
      <c r="B584" s="31"/>
      <c r="C584" s="31"/>
      <c r="D584" s="31"/>
      <c r="E584" s="31"/>
      <c r="F584" s="31"/>
      <c r="G584" s="31"/>
    </row>
    <row r="585" ht="15.75" customHeight="1">
      <c r="B585" s="31"/>
      <c r="C585" s="31"/>
      <c r="D585" s="31"/>
      <c r="E585" s="31"/>
      <c r="F585" s="31"/>
      <c r="G585" s="31"/>
    </row>
    <row r="586" ht="15.75" customHeight="1">
      <c r="B586" s="31"/>
      <c r="C586" s="31"/>
      <c r="D586" s="31"/>
      <c r="E586" s="31"/>
      <c r="F586" s="31"/>
      <c r="G586" s="31"/>
    </row>
    <row r="587" ht="15.75" customHeight="1">
      <c r="B587" s="31"/>
      <c r="C587" s="31"/>
      <c r="D587" s="31"/>
      <c r="E587" s="31"/>
      <c r="F587" s="31"/>
      <c r="G587" s="31"/>
    </row>
    <row r="588" ht="15.75" customHeight="1">
      <c r="B588" s="31"/>
      <c r="C588" s="31"/>
      <c r="D588" s="31"/>
      <c r="E588" s="31"/>
      <c r="F588" s="31"/>
      <c r="G588" s="31"/>
    </row>
    <row r="589" ht="15.75" customHeight="1">
      <c r="B589" s="31"/>
      <c r="C589" s="31"/>
      <c r="D589" s="31"/>
      <c r="E589" s="31"/>
      <c r="F589" s="31"/>
      <c r="G589" s="31"/>
    </row>
    <row r="590" ht="15.75" customHeight="1">
      <c r="B590" s="31"/>
      <c r="C590" s="31"/>
      <c r="D590" s="31"/>
      <c r="E590" s="31"/>
      <c r="F590" s="31"/>
      <c r="G590" s="31"/>
    </row>
    <row r="591" ht="15.75" customHeight="1">
      <c r="B591" s="31"/>
      <c r="C591" s="31"/>
      <c r="D591" s="31"/>
      <c r="E591" s="31"/>
      <c r="F591" s="31"/>
      <c r="G591" s="31"/>
    </row>
    <row r="592" ht="15.75" customHeight="1">
      <c r="B592" s="31"/>
      <c r="C592" s="31"/>
      <c r="D592" s="31"/>
      <c r="E592" s="31"/>
      <c r="F592" s="31"/>
      <c r="G592" s="31"/>
    </row>
    <row r="593" ht="15.75" customHeight="1">
      <c r="B593" s="31"/>
      <c r="C593" s="31"/>
      <c r="D593" s="31"/>
      <c r="E593" s="31"/>
      <c r="F593" s="31"/>
      <c r="G593" s="31"/>
    </row>
    <row r="594" ht="15.75" customHeight="1">
      <c r="B594" s="31"/>
      <c r="C594" s="31"/>
      <c r="D594" s="31"/>
      <c r="E594" s="31"/>
      <c r="F594" s="31"/>
      <c r="G594" s="31"/>
    </row>
    <row r="595" ht="15.75" customHeight="1">
      <c r="B595" s="31"/>
      <c r="C595" s="31"/>
      <c r="D595" s="31"/>
      <c r="E595" s="31"/>
      <c r="F595" s="31"/>
      <c r="G595" s="31"/>
    </row>
    <row r="596" ht="15.75" customHeight="1">
      <c r="B596" s="31"/>
      <c r="C596" s="31"/>
      <c r="D596" s="31"/>
      <c r="E596" s="31"/>
      <c r="F596" s="31"/>
      <c r="G596" s="31"/>
    </row>
    <row r="597" ht="15.75" customHeight="1">
      <c r="B597" s="31"/>
      <c r="C597" s="31"/>
      <c r="D597" s="31"/>
      <c r="E597" s="31"/>
      <c r="F597" s="31"/>
      <c r="G597" s="31"/>
    </row>
    <row r="598" ht="15.75" customHeight="1">
      <c r="B598" s="31"/>
      <c r="C598" s="31"/>
      <c r="D598" s="31"/>
      <c r="E598" s="31"/>
      <c r="F598" s="31"/>
      <c r="G598" s="31"/>
    </row>
    <row r="599" ht="15.75" customHeight="1">
      <c r="B599" s="31"/>
      <c r="C599" s="31"/>
      <c r="D599" s="31"/>
      <c r="E599" s="31"/>
      <c r="F599" s="31"/>
      <c r="G599" s="31"/>
    </row>
    <row r="600" ht="15.75" customHeight="1">
      <c r="B600" s="31"/>
      <c r="C600" s="31"/>
      <c r="D600" s="31"/>
      <c r="E600" s="31"/>
      <c r="F600" s="31"/>
      <c r="G600" s="31"/>
    </row>
    <row r="601" ht="15.75" customHeight="1">
      <c r="B601" s="31"/>
      <c r="C601" s="31"/>
      <c r="D601" s="31"/>
      <c r="E601" s="31"/>
      <c r="F601" s="31"/>
      <c r="G601" s="31"/>
    </row>
    <row r="602" ht="15.75" customHeight="1">
      <c r="B602" s="31"/>
      <c r="C602" s="31"/>
      <c r="D602" s="31"/>
      <c r="E602" s="31"/>
      <c r="F602" s="31"/>
      <c r="G602" s="31"/>
    </row>
    <row r="603" ht="15.75" customHeight="1">
      <c r="B603" s="31"/>
      <c r="C603" s="31"/>
      <c r="D603" s="31"/>
      <c r="E603" s="31"/>
      <c r="F603" s="31"/>
      <c r="G603" s="31"/>
    </row>
    <row r="604" ht="15.75" customHeight="1">
      <c r="B604" s="31"/>
      <c r="C604" s="31"/>
      <c r="D604" s="31"/>
      <c r="E604" s="31"/>
      <c r="F604" s="31"/>
      <c r="G604" s="31"/>
    </row>
    <row r="605" ht="15.75" customHeight="1">
      <c r="B605" s="31"/>
      <c r="C605" s="31"/>
      <c r="D605" s="31"/>
      <c r="E605" s="31"/>
      <c r="F605" s="31"/>
      <c r="G605" s="31"/>
    </row>
    <row r="606" ht="15.75" customHeight="1">
      <c r="B606" s="31"/>
      <c r="C606" s="31"/>
      <c r="D606" s="31"/>
      <c r="E606" s="31"/>
      <c r="F606" s="31"/>
      <c r="G606" s="31"/>
    </row>
    <row r="607" ht="15.75" customHeight="1">
      <c r="B607" s="31"/>
      <c r="C607" s="31"/>
      <c r="D607" s="31"/>
      <c r="E607" s="31"/>
      <c r="F607" s="31"/>
      <c r="G607" s="31"/>
    </row>
    <row r="608" ht="15.75" customHeight="1">
      <c r="B608" s="31"/>
      <c r="C608" s="31"/>
      <c r="D608" s="31"/>
      <c r="E608" s="31"/>
      <c r="F608" s="31"/>
      <c r="G608" s="31"/>
    </row>
    <row r="609" ht="15.75" customHeight="1">
      <c r="B609" s="31"/>
      <c r="C609" s="31"/>
      <c r="D609" s="31"/>
      <c r="E609" s="31"/>
      <c r="F609" s="31"/>
      <c r="G609" s="31"/>
    </row>
    <row r="610" ht="15.75" customHeight="1">
      <c r="B610" s="31"/>
      <c r="C610" s="31"/>
      <c r="D610" s="31"/>
      <c r="E610" s="31"/>
      <c r="F610" s="31"/>
      <c r="G610" s="31"/>
    </row>
    <row r="611" ht="15.75" customHeight="1">
      <c r="B611" s="31"/>
      <c r="C611" s="31"/>
      <c r="D611" s="31"/>
      <c r="E611" s="31"/>
      <c r="F611" s="31"/>
      <c r="G611" s="31"/>
    </row>
    <row r="612" ht="15.75" customHeight="1">
      <c r="B612" s="31"/>
      <c r="C612" s="31"/>
      <c r="D612" s="31"/>
      <c r="E612" s="31"/>
      <c r="F612" s="31"/>
      <c r="G612" s="31"/>
    </row>
    <row r="613" ht="15.75" customHeight="1">
      <c r="B613" s="31"/>
      <c r="C613" s="31"/>
      <c r="D613" s="31"/>
      <c r="E613" s="31"/>
      <c r="F613" s="31"/>
      <c r="G613" s="31"/>
    </row>
    <row r="614" ht="15.75" customHeight="1">
      <c r="B614" s="31"/>
      <c r="C614" s="31"/>
      <c r="D614" s="31"/>
      <c r="E614" s="31"/>
      <c r="F614" s="31"/>
      <c r="G614" s="31"/>
    </row>
    <row r="615" ht="15.75" customHeight="1">
      <c r="B615" s="31"/>
      <c r="C615" s="31"/>
      <c r="D615" s="31"/>
      <c r="E615" s="31"/>
      <c r="F615" s="31"/>
      <c r="G615" s="31"/>
    </row>
    <row r="616" ht="15.75" customHeight="1">
      <c r="B616" s="31"/>
      <c r="C616" s="31"/>
      <c r="D616" s="31"/>
      <c r="E616" s="31"/>
      <c r="F616" s="31"/>
      <c r="G616" s="31"/>
    </row>
    <row r="617" ht="15.75" customHeight="1">
      <c r="B617" s="31"/>
      <c r="C617" s="31"/>
      <c r="D617" s="31"/>
      <c r="E617" s="31"/>
      <c r="F617" s="31"/>
      <c r="G617" s="31"/>
    </row>
    <row r="618" ht="15.75" customHeight="1">
      <c r="B618" s="31"/>
      <c r="C618" s="31"/>
      <c r="D618" s="31"/>
      <c r="E618" s="31"/>
      <c r="F618" s="31"/>
      <c r="G618" s="31"/>
    </row>
    <row r="619" ht="15.75" customHeight="1">
      <c r="B619" s="31"/>
      <c r="C619" s="31"/>
      <c r="D619" s="31"/>
      <c r="E619" s="31"/>
      <c r="F619" s="31"/>
      <c r="G619" s="31"/>
    </row>
    <row r="620" ht="15.75" customHeight="1">
      <c r="B620" s="31"/>
      <c r="C620" s="31"/>
      <c r="D620" s="31"/>
      <c r="E620" s="31"/>
      <c r="F620" s="31"/>
      <c r="G620" s="31"/>
    </row>
    <row r="621" ht="15.75" customHeight="1">
      <c r="B621" s="31"/>
      <c r="C621" s="31"/>
      <c r="D621" s="31"/>
      <c r="E621" s="31"/>
      <c r="F621" s="31"/>
      <c r="G621" s="31"/>
    </row>
    <row r="622" ht="15.75" customHeight="1">
      <c r="B622" s="31"/>
      <c r="C622" s="31"/>
      <c r="D622" s="31"/>
      <c r="E622" s="31"/>
      <c r="F622" s="31"/>
      <c r="G622" s="31"/>
    </row>
    <row r="623" ht="15.75" customHeight="1">
      <c r="B623" s="31"/>
      <c r="C623" s="31"/>
      <c r="D623" s="31"/>
      <c r="E623" s="31"/>
      <c r="F623" s="31"/>
      <c r="G623" s="31"/>
    </row>
    <row r="624" ht="15.75" customHeight="1">
      <c r="B624" s="31"/>
      <c r="C624" s="31"/>
      <c r="D624" s="31"/>
      <c r="E624" s="31"/>
      <c r="F624" s="31"/>
      <c r="G624" s="31"/>
    </row>
    <row r="625" ht="15.75" customHeight="1">
      <c r="B625" s="31"/>
      <c r="C625" s="31"/>
      <c r="D625" s="31"/>
      <c r="E625" s="31"/>
      <c r="F625" s="31"/>
      <c r="G625" s="31"/>
    </row>
    <row r="626" ht="15.75" customHeight="1">
      <c r="B626" s="31"/>
      <c r="C626" s="31"/>
      <c r="D626" s="31"/>
      <c r="E626" s="31"/>
      <c r="F626" s="31"/>
      <c r="G626" s="31"/>
    </row>
    <row r="627" ht="15.75" customHeight="1">
      <c r="B627" s="31"/>
      <c r="C627" s="31"/>
      <c r="D627" s="31"/>
      <c r="E627" s="31"/>
      <c r="F627" s="31"/>
      <c r="G627" s="31"/>
    </row>
    <row r="628" ht="15.75" customHeight="1">
      <c r="B628" s="31"/>
      <c r="C628" s="31"/>
      <c r="D628" s="31"/>
      <c r="E628" s="31"/>
      <c r="F628" s="31"/>
      <c r="G628" s="31"/>
    </row>
    <row r="629" ht="15.75" customHeight="1">
      <c r="B629" s="31"/>
      <c r="C629" s="31"/>
      <c r="D629" s="31"/>
      <c r="E629" s="31"/>
      <c r="F629" s="31"/>
      <c r="G629" s="31"/>
    </row>
    <row r="630" ht="15.75" customHeight="1">
      <c r="B630" s="31"/>
      <c r="C630" s="31"/>
      <c r="D630" s="31"/>
      <c r="E630" s="31"/>
      <c r="F630" s="31"/>
      <c r="G630" s="31"/>
    </row>
    <row r="631" ht="15.75" customHeight="1">
      <c r="B631" s="31"/>
      <c r="C631" s="31"/>
      <c r="D631" s="31"/>
      <c r="E631" s="31"/>
      <c r="F631" s="31"/>
      <c r="G631" s="31"/>
    </row>
    <row r="632" ht="15.75" customHeight="1">
      <c r="B632" s="31"/>
      <c r="C632" s="31"/>
      <c r="D632" s="31"/>
      <c r="E632" s="31"/>
      <c r="F632" s="31"/>
      <c r="G632" s="31"/>
    </row>
    <row r="633" ht="15.75" customHeight="1">
      <c r="B633" s="31"/>
      <c r="C633" s="31"/>
      <c r="D633" s="31"/>
      <c r="E633" s="31"/>
      <c r="F633" s="31"/>
      <c r="G633" s="31"/>
    </row>
    <row r="634" ht="15.75" customHeight="1">
      <c r="B634" s="31"/>
      <c r="C634" s="31"/>
      <c r="D634" s="31"/>
      <c r="E634" s="31"/>
      <c r="F634" s="31"/>
      <c r="G634" s="31"/>
    </row>
    <row r="635" ht="15.75" customHeight="1">
      <c r="B635" s="31"/>
      <c r="C635" s="31"/>
      <c r="D635" s="31"/>
      <c r="E635" s="31"/>
      <c r="F635" s="31"/>
      <c r="G635" s="31"/>
    </row>
    <row r="636" ht="15.75" customHeight="1">
      <c r="B636" s="31"/>
      <c r="C636" s="31"/>
      <c r="D636" s="31"/>
      <c r="E636" s="31"/>
      <c r="F636" s="31"/>
      <c r="G636" s="31"/>
    </row>
    <row r="637" ht="15.75" customHeight="1">
      <c r="B637" s="31"/>
      <c r="C637" s="31"/>
      <c r="D637" s="31"/>
      <c r="E637" s="31"/>
      <c r="F637" s="31"/>
      <c r="G637" s="31"/>
    </row>
    <row r="638" ht="15.75" customHeight="1">
      <c r="B638" s="31"/>
      <c r="C638" s="31"/>
      <c r="D638" s="31"/>
      <c r="E638" s="31"/>
      <c r="F638" s="31"/>
      <c r="G638" s="31"/>
    </row>
    <row r="639" ht="15.75" customHeight="1">
      <c r="B639" s="31"/>
      <c r="C639" s="31"/>
      <c r="D639" s="31"/>
      <c r="E639" s="31"/>
      <c r="F639" s="31"/>
      <c r="G639" s="31"/>
    </row>
    <row r="640" ht="15.75" customHeight="1">
      <c r="B640" s="31"/>
      <c r="C640" s="31"/>
      <c r="D640" s="31"/>
      <c r="E640" s="31"/>
      <c r="F640" s="31"/>
      <c r="G640" s="31"/>
    </row>
    <row r="641" ht="15.75" customHeight="1">
      <c r="B641" s="31"/>
      <c r="C641" s="31"/>
      <c r="D641" s="31"/>
      <c r="E641" s="31"/>
      <c r="F641" s="31"/>
      <c r="G641" s="31"/>
    </row>
    <row r="642" ht="15.75" customHeight="1">
      <c r="B642" s="31"/>
      <c r="C642" s="31"/>
      <c r="D642" s="31"/>
      <c r="E642" s="31"/>
      <c r="F642" s="31"/>
      <c r="G642" s="31"/>
    </row>
    <row r="643" ht="15.75" customHeight="1">
      <c r="B643" s="31"/>
      <c r="C643" s="31"/>
      <c r="D643" s="31"/>
      <c r="E643" s="31"/>
      <c r="F643" s="31"/>
      <c r="G643" s="31"/>
    </row>
    <row r="644" ht="15.75" customHeight="1">
      <c r="B644" s="31"/>
      <c r="C644" s="31"/>
      <c r="D644" s="31"/>
      <c r="E644" s="31"/>
      <c r="F644" s="31"/>
      <c r="G644" s="31"/>
    </row>
    <row r="645" ht="15.75" customHeight="1">
      <c r="B645" s="31"/>
      <c r="C645" s="31"/>
      <c r="D645" s="31"/>
      <c r="E645" s="31"/>
      <c r="F645" s="31"/>
      <c r="G645" s="31"/>
    </row>
    <row r="646" ht="15.75" customHeight="1">
      <c r="B646" s="31"/>
      <c r="C646" s="31"/>
      <c r="D646" s="31"/>
      <c r="E646" s="31"/>
      <c r="F646" s="31"/>
      <c r="G646" s="31"/>
    </row>
    <row r="647" ht="15.75" customHeight="1">
      <c r="B647" s="31"/>
      <c r="C647" s="31"/>
      <c r="D647" s="31"/>
      <c r="E647" s="31"/>
      <c r="F647" s="31"/>
      <c r="G647" s="31"/>
    </row>
    <row r="648" ht="15.75" customHeight="1">
      <c r="B648" s="31"/>
      <c r="C648" s="31"/>
      <c r="D648" s="31"/>
      <c r="E648" s="31"/>
      <c r="F648" s="31"/>
      <c r="G648" s="31"/>
    </row>
    <row r="649" ht="15.75" customHeight="1">
      <c r="B649" s="31"/>
      <c r="C649" s="31"/>
      <c r="D649" s="31"/>
      <c r="E649" s="31"/>
      <c r="F649" s="31"/>
      <c r="G649" s="31"/>
    </row>
    <row r="650" ht="15.75" customHeight="1">
      <c r="B650" s="31"/>
      <c r="C650" s="31"/>
      <c r="D650" s="31"/>
      <c r="E650" s="31"/>
      <c r="F650" s="31"/>
      <c r="G650" s="31"/>
    </row>
    <row r="651" ht="15.75" customHeight="1">
      <c r="B651" s="31"/>
      <c r="C651" s="31"/>
      <c r="D651" s="31"/>
      <c r="E651" s="31"/>
      <c r="F651" s="31"/>
      <c r="G651" s="31"/>
    </row>
    <row r="652" ht="15.75" customHeight="1">
      <c r="B652" s="31"/>
      <c r="C652" s="31"/>
      <c r="D652" s="31"/>
      <c r="E652" s="31"/>
      <c r="F652" s="31"/>
      <c r="G652" s="31"/>
    </row>
    <row r="653" ht="15.75" customHeight="1">
      <c r="B653" s="31"/>
      <c r="C653" s="31"/>
      <c r="D653" s="31"/>
      <c r="E653" s="31"/>
      <c r="F653" s="31"/>
      <c r="G653" s="31"/>
    </row>
    <row r="654" ht="15.75" customHeight="1">
      <c r="B654" s="31"/>
      <c r="C654" s="31"/>
      <c r="D654" s="31"/>
      <c r="E654" s="31"/>
      <c r="F654" s="31"/>
      <c r="G654" s="31"/>
    </row>
    <row r="655" ht="15.75" customHeight="1">
      <c r="B655" s="31"/>
      <c r="C655" s="31"/>
      <c r="D655" s="31"/>
      <c r="E655" s="31"/>
      <c r="F655" s="31"/>
      <c r="G655" s="31"/>
    </row>
    <row r="656" ht="15.75" customHeight="1">
      <c r="B656" s="31"/>
      <c r="C656" s="31"/>
      <c r="D656" s="31"/>
      <c r="E656" s="31"/>
      <c r="F656" s="31"/>
      <c r="G656" s="31"/>
    </row>
    <row r="657" ht="15.75" customHeight="1">
      <c r="B657" s="31"/>
      <c r="C657" s="31"/>
      <c r="D657" s="31"/>
      <c r="E657" s="31"/>
      <c r="F657" s="31"/>
      <c r="G657" s="31"/>
    </row>
    <row r="658" ht="15.75" customHeight="1">
      <c r="B658" s="31"/>
      <c r="C658" s="31"/>
      <c r="D658" s="31"/>
      <c r="E658" s="31"/>
      <c r="F658" s="31"/>
      <c r="G658" s="31"/>
    </row>
    <row r="659" ht="15.75" customHeight="1">
      <c r="B659" s="31"/>
      <c r="C659" s="31"/>
      <c r="D659" s="31"/>
      <c r="E659" s="31"/>
      <c r="F659" s="31"/>
      <c r="G659" s="31"/>
    </row>
    <row r="660" ht="15.75" customHeight="1">
      <c r="B660" s="31"/>
      <c r="C660" s="31"/>
      <c r="D660" s="31"/>
      <c r="E660" s="31"/>
      <c r="F660" s="31"/>
      <c r="G660" s="31"/>
    </row>
    <row r="661" ht="15.75" customHeight="1">
      <c r="B661" s="31"/>
      <c r="C661" s="31"/>
      <c r="D661" s="31"/>
      <c r="E661" s="31"/>
      <c r="F661" s="31"/>
      <c r="G661" s="31"/>
    </row>
    <row r="662" ht="15.75" customHeight="1">
      <c r="B662" s="31"/>
      <c r="C662" s="31"/>
      <c r="D662" s="31"/>
      <c r="E662" s="31"/>
      <c r="F662" s="31"/>
      <c r="G662" s="31"/>
    </row>
    <row r="663" ht="15.75" customHeight="1">
      <c r="B663" s="31"/>
      <c r="C663" s="31"/>
      <c r="D663" s="31"/>
      <c r="E663" s="31"/>
      <c r="F663" s="31"/>
      <c r="G663" s="31"/>
    </row>
    <row r="664" ht="15.75" customHeight="1">
      <c r="B664" s="31"/>
      <c r="C664" s="31"/>
      <c r="D664" s="31"/>
      <c r="E664" s="31"/>
      <c r="F664" s="31"/>
      <c r="G664" s="31"/>
    </row>
    <row r="665" ht="15.75" customHeight="1">
      <c r="B665" s="31"/>
      <c r="C665" s="31"/>
      <c r="D665" s="31"/>
      <c r="E665" s="31"/>
      <c r="F665" s="31"/>
      <c r="G665" s="31"/>
    </row>
    <row r="666" ht="15.75" customHeight="1">
      <c r="B666" s="31"/>
      <c r="C666" s="31"/>
      <c r="D666" s="31"/>
      <c r="E666" s="31"/>
      <c r="F666" s="31"/>
      <c r="G666" s="31"/>
    </row>
    <row r="667" ht="15.75" customHeight="1">
      <c r="B667" s="31"/>
      <c r="C667" s="31"/>
      <c r="D667" s="31"/>
      <c r="E667" s="31"/>
      <c r="F667" s="31"/>
      <c r="G667" s="31"/>
    </row>
    <row r="668" ht="15.75" customHeight="1">
      <c r="B668" s="31"/>
      <c r="C668" s="31"/>
      <c r="D668" s="31"/>
      <c r="E668" s="31"/>
      <c r="F668" s="31"/>
      <c r="G668" s="31"/>
    </row>
    <row r="669" ht="15.75" customHeight="1">
      <c r="B669" s="31"/>
      <c r="C669" s="31"/>
      <c r="D669" s="31"/>
      <c r="E669" s="31"/>
      <c r="F669" s="31"/>
      <c r="G669" s="31"/>
    </row>
    <row r="670" ht="15.75" customHeight="1">
      <c r="B670" s="31"/>
      <c r="C670" s="31"/>
      <c r="D670" s="31"/>
      <c r="E670" s="31"/>
      <c r="F670" s="31"/>
      <c r="G670" s="31"/>
    </row>
    <row r="671" ht="15.75" customHeight="1">
      <c r="B671" s="31"/>
      <c r="C671" s="31"/>
      <c r="D671" s="31"/>
      <c r="E671" s="31"/>
      <c r="F671" s="31"/>
      <c r="G671" s="31"/>
    </row>
    <row r="672" ht="15.75" customHeight="1">
      <c r="B672" s="31"/>
      <c r="C672" s="31"/>
      <c r="D672" s="31"/>
      <c r="E672" s="31"/>
      <c r="F672" s="31"/>
      <c r="G672" s="31"/>
    </row>
    <row r="673" ht="15.75" customHeight="1">
      <c r="B673" s="31"/>
      <c r="C673" s="31"/>
      <c r="D673" s="31"/>
      <c r="E673" s="31"/>
      <c r="F673" s="31"/>
      <c r="G673" s="31"/>
    </row>
    <row r="674" ht="15.75" customHeight="1">
      <c r="B674" s="31"/>
      <c r="C674" s="31"/>
      <c r="D674" s="31"/>
      <c r="E674" s="31"/>
      <c r="F674" s="31"/>
      <c r="G674" s="31"/>
    </row>
    <row r="675" ht="15.75" customHeight="1">
      <c r="B675" s="31"/>
      <c r="C675" s="31"/>
      <c r="D675" s="31"/>
      <c r="E675" s="31"/>
      <c r="F675" s="31"/>
      <c r="G675" s="31"/>
    </row>
    <row r="676" ht="15.75" customHeight="1">
      <c r="B676" s="31"/>
      <c r="C676" s="31"/>
      <c r="D676" s="31"/>
      <c r="E676" s="31"/>
      <c r="F676" s="31"/>
      <c r="G676" s="31"/>
    </row>
    <row r="677" ht="15.75" customHeight="1">
      <c r="B677" s="31"/>
      <c r="C677" s="31"/>
      <c r="D677" s="31"/>
      <c r="E677" s="31"/>
      <c r="F677" s="31"/>
      <c r="G677" s="31"/>
    </row>
    <row r="678" ht="15.75" customHeight="1">
      <c r="B678" s="31"/>
      <c r="C678" s="31"/>
      <c r="D678" s="31"/>
      <c r="E678" s="31"/>
      <c r="F678" s="31"/>
      <c r="G678" s="31"/>
    </row>
    <row r="679" ht="15.75" customHeight="1">
      <c r="B679" s="31"/>
      <c r="C679" s="31"/>
      <c r="D679" s="31"/>
      <c r="E679" s="31"/>
      <c r="F679" s="31"/>
      <c r="G679" s="31"/>
    </row>
    <row r="680" ht="15.75" customHeight="1">
      <c r="B680" s="31"/>
      <c r="C680" s="31"/>
      <c r="D680" s="31"/>
      <c r="E680" s="31"/>
      <c r="F680" s="31"/>
      <c r="G680" s="31"/>
    </row>
    <row r="681" ht="15.75" customHeight="1">
      <c r="B681" s="31"/>
      <c r="C681" s="31"/>
      <c r="D681" s="31"/>
      <c r="E681" s="31"/>
      <c r="F681" s="31"/>
      <c r="G681" s="31"/>
    </row>
    <row r="682" ht="15.75" customHeight="1">
      <c r="B682" s="31"/>
      <c r="C682" s="31"/>
      <c r="D682" s="31"/>
      <c r="E682" s="31"/>
      <c r="F682" s="31"/>
      <c r="G682" s="31"/>
    </row>
    <row r="683" ht="15.75" customHeight="1">
      <c r="B683" s="31"/>
      <c r="C683" s="31"/>
      <c r="D683" s="31"/>
      <c r="E683" s="31"/>
      <c r="F683" s="31"/>
      <c r="G683" s="31"/>
    </row>
    <row r="684" ht="15.75" customHeight="1">
      <c r="B684" s="31"/>
      <c r="C684" s="31"/>
      <c r="D684" s="31"/>
      <c r="E684" s="31"/>
      <c r="F684" s="31"/>
      <c r="G684" s="31"/>
    </row>
    <row r="685" ht="15.75" customHeight="1">
      <c r="B685" s="31"/>
      <c r="C685" s="31"/>
      <c r="D685" s="31"/>
      <c r="E685" s="31"/>
      <c r="F685" s="31"/>
      <c r="G685" s="31"/>
    </row>
    <row r="686" ht="15.75" customHeight="1">
      <c r="B686" s="31"/>
      <c r="C686" s="31"/>
      <c r="D686" s="31"/>
      <c r="E686" s="31"/>
      <c r="F686" s="31"/>
      <c r="G686" s="31"/>
    </row>
    <row r="687" ht="15.75" customHeight="1">
      <c r="B687" s="31"/>
      <c r="C687" s="31"/>
      <c r="D687" s="31"/>
      <c r="E687" s="31"/>
      <c r="F687" s="31"/>
      <c r="G687" s="31"/>
    </row>
    <row r="688" ht="15.75" customHeight="1">
      <c r="B688" s="31"/>
      <c r="C688" s="31"/>
      <c r="D688" s="31"/>
      <c r="E688" s="31"/>
      <c r="F688" s="31"/>
      <c r="G688" s="31"/>
    </row>
    <row r="689" ht="15.75" customHeight="1">
      <c r="B689" s="31"/>
      <c r="C689" s="31"/>
      <c r="D689" s="31"/>
      <c r="E689" s="31"/>
      <c r="F689" s="31"/>
      <c r="G689" s="31"/>
    </row>
    <row r="690" ht="15.75" customHeight="1">
      <c r="B690" s="31"/>
      <c r="C690" s="31"/>
      <c r="D690" s="31"/>
      <c r="E690" s="31"/>
      <c r="F690" s="31"/>
      <c r="G690" s="31"/>
    </row>
    <row r="691" ht="15.75" customHeight="1">
      <c r="B691" s="31"/>
      <c r="C691" s="31"/>
      <c r="D691" s="31"/>
      <c r="E691" s="31"/>
      <c r="F691" s="31"/>
      <c r="G691" s="31"/>
    </row>
    <row r="692" ht="15.75" customHeight="1">
      <c r="B692" s="31"/>
      <c r="C692" s="31"/>
      <c r="D692" s="31"/>
      <c r="E692" s="31"/>
      <c r="F692" s="31"/>
      <c r="G692" s="31"/>
    </row>
    <row r="693" ht="15.75" customHeight="1">
      <c r="B693" s="31"/>
      <c r="C693" s="31"/>
      <c r="D693" s="31"/>
      <c r="E693" s="31"/>
      <c r="F693" s="31"/>
      <c r="G693" s="31"/>
    </row>
    <row r="694" ht="15.75" customHeight="1">
      <c r="B694" s="31"/>
      <c r="C694" s="31"/>
      <c r="D694" s="31"/>
      <c r="E694" s="31"/>
      <c r="F694" s="31"/>
      <c r="G694" s="31"/>
    </row>
    <row r="695" ht="15.75" customHeight="1">
      <c r="B695" s="31"/>
      <c r="C695" s="31"/>
      <c r="D695" s="31"/>
      <c r="E695" s="31"/>
      <c r="F695" s="31"/>
      <c r="G695" s="31"/>
    </row>
    <row r="696" ht="15.75" customHeight="1">
      <c r="B696" s="31"/>
      <c r="C696" s="31"/>
      <c r="D696" s="31"/>
      <c r="E696" s="31"/>
      <c r="F696" s="31"/>
      <c r="G696" s="31"/>
    </row>
    <row r="697" ht="15.75" customHeight="1">
      <c r="B697" s="31"/>
      <c r="C697" s="31"/>
      <c r="D697" s="31"/>
      <c r="E697" s="31"/>
      <c r="F697" s="31"/>
      <c r="G697" s="31"/>
    </row>
    <row r="698" ht="15.75" customHeight="1">
      <c r="B698" s="31"/>
      <c r="C698" s="31"/>
      <c r="D698" s="31"/>
      <c r="E698" s="31"/>
      <c r="F698" s="31"/>
      <c r="G698" s="31"/>
    </row>
    <row r="699" ht="15.75" customHeight="1">
      <c r="B699" s="31"/>
      <c r="C699" s="31"/>
      <c r="D699" s="31"/>
      <c r="E699" s="31"/>
      <c r="F699" s="31"/>
      <c r="G699" s="31"/>
    </row>
    <row r="700" ht="15.75" customHeight="1">
      <c r="B700" s="31"/>
      <c r="C700" s="31"/>
      <c r="D700" s="31"/>
      <c r="E700" s="31"/>
      <c r="F700" s="31"/>
      <c r="G700" s="31"/>
    </row>
    <row r="701" ht="15.75" customHeight="1">
      <c r="B701" s="31"/>
      <c r="C701" s="31"/>
      <c r="D701" s="31"/>
      <c r="E701" s="31"/>
      <c r="F701" s="31"/>
      <c r="G701" s="31"/>
    </row>
    <row r="702" ht="15.75" customHeight="1">
      <c r="B702" s="31"/>
      <c r="C702" s="31"/>
      <c r="D702" s="31"/>
      <c r="E702" s="31"/>
      <c r="F702" s="31"/>
      <c r="G702" s="31"/>
    </row>
    <row r="703" ht="15.75" customHeight="1">
      <c r="B703" s="31"/>
      <c r="C703" s="31"/>
      <c r="D703" s="31"/>
      <c r="E703" s="31"/>
      <c r="F703" s="31"/>
      <c r="G703" s="31"/>
    </row>
    <row r="704" ht="15.75" customHeight="1">
      <c r="B704" s="31"/>
      <c r="C704" s="31"/>
      <c r="D704" s="31"/>
      <c r="E704" s="31"/>
      <c r="F704" s="31"/>
      <c r="G704" s="31"/>
    </row>
    <row r="705" ht="15.75" customHeight="1">
      <c r="B705" s="31"/>
      <c r="C705" s="31"/>
      <c r="D705" s="31"/>
      <c r="E705" s="31"/>
      <c r="F705" s="31"/>
      <c r="G705" s="31"/>
    </row>
    <row r="706" ht="15.75" customHeight="1">
      <c r="B706" s="31"/>
      <c r="C706" s="31"/>
      <c r="D706" s="31"/>
      <c r="E706" s="31"/>
      <c r="F706" s="31"/>
      <c r="G706" s="31"/>
    </row>
    <row r="707" ht="15.75" customHeight="1">
      <c r="B707" s="31"/>
      <c r="C707" s="31"/>
      <c r="D707" s="31"/>
      <c r="E707" s="31"/>
      <c r="F707" s="31"/>
      <c r="G707" s="31"/>
    </row>
    <row r="708" ht="15.75" customHeight="1">
      <c r="B708" s="31"/>
      <c r="C708" s="31"/>
      <c r="D708" s="31"/>
      <c r="E708" s="31"/>
      <c r="F708" s="31"/>
      <c r="G708" s="31"/>
    </row>
    <row r="709" ht="15.75" customHeight="1">
      <c r="B709" s="31"/>
      <c r="C709" s="31"/>
      <c r="D709" s="31"/>
      <c r="E709" s="31"/>
      <c r="F709" s="31"/>
      <c r="G709" s="31"/>
    </row>
    <row r="710" ht="15.75" customHeight="1">
      <c r="B710" s="31"/>
      <c r="C710" s="31"/>
      <c r="D710" s="31"/>
      <c r="E710" s="31"/>
      <c r="F710" s="31"/>
      <c r="G710" s="31"/>
    </row>
    <row r="711" ht="15.75" customHeight="1">
      <c r="B711" s="31"/>
      <c r="C711" s="31"/>
      <c r="D711" s="31"/>
      <c r="E711" s="31"/>
      <c r="F711" s="31"/>
      <c r="G711" s="31"/>
    </row>
    <row r="712" ht="15.75" customHeight="1">
      <c r="B712" s="31"/>
      <c r="C712" s="31"/>
      <c r="D712" s="31"/>
      <c r="E712" s="31"/>
      <c r="F712" s="31"/>
      <c r="G712" s="31"/>
    </row>
    <row r="713" ht="15.75" customHeight="1">
      <c r="B713" s="31"/>
      <c r="C713" s="31"/>
      <c r="D713" s="31"/>
      <c r="E713" s="31"/>
      <c r="F713" s="31"/>
      <c r="G713" s="31"/>
    </row>
    <row r="714" ht="15.75" customHeight="1">
      <c r="B714" s="31"/>
      <c r="C714" s="31"/>
      <c r="D714" s="31"/>
      <c r="E714" s="31"/>
      <c r="F714" s="31"/>
      <c r="G714" s="31"/>
    </row>
    <row r="715" ht="15.75" customHeight="1">
      <c r="B715" s="31"/>
      <c r="C715" s="31"/>
      <c r="D715" s="31"/>
      <c r="E715" s="31"/>
      <c r="F715" s="31"/>
      <c r="G715" s="31"/>
    </row>
    <row r="716" ht="15.75" customHeight="1">
      <c r="B716" s="31"/>
      <c r="C716" s="31"/>
      <c r="D716" s="31"/>
      <c r="E716" s="31"/>
      <c r="F716" s="31"/>
      <c r="G716" s="31"/>
    </row>
    <row r="717" ht="15.75" customHeight="1">
      <c r="B717" s="31"/>
      <c r="C717" s="31"/>
      <c r="D717" s="31"/>
      <c r="E717" s="31"/>
      <c r="F717" s="31"/>
      <c r="G717" s="31"/>
    </row>
    <row r="718" ht="15.75" customHeight="1">
      <c r="B718" s="31"/>
      <c r="C718" s="31"/>
      <c r="D718" s="31"/>
      <c r="E718" s="31"/>
      <c r="F718" s="31"/>
      <c r="G718" s="31"/>
    </row>
    <row r="719" ht="15.75" customHeight="1">
      <c r="B719" s="31"/>
      <c r="C719" s="31"/>
      <c r="D719" s="31"/>
      <c r="E719" s="31"/>
      <c r="F719" s="31"/>
      <c r="G719" s="31"/>
    </row>
    <row r="720" ht="15.75" customHeight="1">
      <c r="B720" s="31"/>
      <c r="C720" s="31"/>
      <c r="D720" s="31"/>
      <c r="E720" s="31"/>
      <c r="F720" s="31"/>
      <c r="G720" s="31"/>
    </row>
    <row r="721" ht="15.75" customHeight="1">
      <c r="B721" s="31"/>
      <c r="C721" s="31"/>
      <c r="D721" s="31"/>
      <c r="E721" s="31"/>
      <c r="F721" s="31"/>
      <c r="G721" s="31"/>
    </row>
    <row r="722" ht="15.75" customHeight="1">
      <c r="B722" s="31"/>
      <c r="C722" s="31"/>
      <c r="D722" s="31"/>
      <c r="E722" s="31"/>
      <c r="F722" s="31"/>
      <c r="G722" s="31"/>
    </row>
    <row r="723" ht="15.75" customHeight="1">
      <c r="B723" s="31"/>
      <c r="C723" s="31"/>
      <c r="D723" s="31"/>
      <c r="E723" s="31"/>
      <c r="F723" s="31"/>
      <c r="G723" s="31"/>
    </row>
    <row r="724" ht="15.75" customHeight="1">
      <c r="B724" s="31"/>
      <c r="C724" s="31"/>
      <c r="D724" s="31"/>
      <c r="E724" s="31"/>
      <c r="F724" s="31"/>
      <c r="G724" s="31"/>
    </row>
    <row r="725" ht="15.75" customHeight="1">
      <c r="B725" s="31"/>
      <c r="C725" s="31"/>
      <c r="D725" s="31"/>
      <c r="E725" s="31"/>
      <c r="F725" s="31"/>
      <c r="G725" s="31"/>
    </row>
    <row r="726" ht="15.75" customHeight="1">
      <c r="B726" s="31"/>
      <c r="C726" s="31"/>
      <c r="D726" s="31"/>
      <c r="E726" s="31"/>
      <c r="F726" s="31"/>
      <c r="G726" s="31"/>
    </row>
    <row r="727" ht="15.75" customHeight="1">
      <c r="B727" s="31"/>
      <c r="C727" s="31"/>
      <c r="D727" s="31"/>
      <c r="E727" s="31"/>
      <c r="F727" s="31"/>
      <c r="G727" s="31"/>
    </row>
    <row r="728" ht="15.75" customHeight="1">
      <c r="B728" s="31"/>
      <c r="C728" s="31"/>
      <c r="D728" s="31"/>
      <c r="E728" s="31"/>
      <c r="F728" s="31"/>
      <c r="G728" s="31"/>
    </row>
    <row r="729" ht="15.75" customHeight="1">
      <c r="B729" s="31"/>
      <c r="C729" s="31"/>
      <c r="D729" s="31"/>
      <c r="E729" s="31"/>
      <c r="F729" s="31"/>
      <c r="G729" s="31"/>
    </row>
    <row r="730" ht="15.75" customHeight="1">
      <c r="B730" s="31"/>
      <c r="C730" s="31"/>
      <c r="D730" s="31"/>
      <c r="E730" s="31"/>
      <c r="F730" s="31"/>
      <c r="G730" s="31"/>
    </row>
    <row r="731" ht="15.75" customHeight="1">
      <c r="B731" s="31"/>
      <c r="C731" s="31"/>
      <c r="D731" s="31"/>
      <c r="E731" s="31"/>
      <c r="F731" s="31"/>
      <c r="G731" s="31"/>
    </row>
    <row r="732" ht="15.75" customHeight="1">
      <c r="B732" s="31"/>
      <c r="C732" s="31"/>
      <c r="D732" s="31"/>
      <c r="E732" s="31"/>
      <c r="F732" s="31"/>
      <c r="G732" s="31"/>
    </row>
    <row r="733" ht="15.75" customHeight="1">
      <c r="B733" s="31"/>
      <c r="C733" s="31"/>
      <c r="D733" s="31"/>
      <c r="E733" s="31"/>
      <c r="F733" s="31"/>
      <c r="G733" s="31"/>
    </row>
    <row r="734" ht="15.75" customHeight="1">
      <c r="B734" s="31"/>
      <c r="C734" s="31"/>
      <c r="D734" s="31"/>
      <c r="E734" s="31"/>
      <c r="F734" s="31"/>
      <c r="G734" s="31"/>
    </row>
    <row r="735" ht="15.75" customHeight="1">
      <c r="B735" s="31"/>
      <c r="C735" s="31"/>
      <c r="D735" s="31"/>
      <c r="E735" s="31"/>
      <c r="F735" s="31"/>
      <c r="G735" s="31"/>
    </row>
    <row r="736" ht="15.75" customHeight="1">
      <c r="B736" s="31"/>
      <c r="C736" s="31"/>
      <c r="D736" s="31"/>
      <c r="E736" s="31"/>
      <c r="F736" s="31"/>
      <c r="G736" s="31"/>
    </row>
    <row r="737" ht="15.75" customHeight="1">
      <c r="B737" s="31"/>
      <c r="C737" s="31"/>
      <c r="D737" s="31"/>
      <c r="E737" s="31"/>
      <c r="F737" s="31"/>
      <c r="G737" s="31"/>
    </row>
    <row r="738" ht="15.75" customHeight="1">
      <c r="B738" s="31"/>
      <c r="C738" s="31"/>
      <c r="D738" s="31"/>
      <c r="E738" s="31"/>
      <c r="F738" s="31"/>
      <c r="G738" s="31"/>
    </row>
    <row r="739" ht="15.75" customHeight="1">
      <c r="B739" s="31"/>
      <c r="C739" s="31"/>
      <c r="D739" s="31"/>
      <c r="E739" s="31"/>
      <c r="F739" s="31"/>
      <c r="G739" s="31"/>
    </row>
    <row r="740" ht="15.75" customHeight="1">
      <c r="B740" s="31"/>
      <c r="C740" s="31"/>
      <c r="D740" s="31"/>
      <c r="E740" s="31"/>
      <c r="F740" s="31"/>
      <c r="G740" s="31"/>
    </row>
    <row r="741" ht="15.75" customHeight="1">
      <c r="B741" s="31"/>
      <c r="C741" s="31"/>
      <c r="D741" s="31"/>
      <c r="E741" s="31"/>
      <c r="F741" s="31"/>
      <c r="G741" s="31"/>
    </row>
    <row r="742" ht="15.75" customHeight="1">
      <c r="B742" s="31"/>
      <c r="C742" s="31"/>
      <c r="D742" s="31"/>
      <c r="E742" s="31"/>
      <c r="F742" s="31"/>
      <c r="G742" s="31"/>
    </row>
    <row r="743" ht="15.75" customHeight="1">
      <c r="B743" s="31"/>
      <c r="C743" s="31"/>
      <c r="D743" s="31"/>
      <c r="E743" s="31"/>
      <c r="F743" s="31"/>
      <c r="G743" s="31"/>
    </row>
    <row r="744" ht="15.75" customHeight="1">
      <c r="B744" s="31"/>
      <c r="C744" s="31"/>
      <c r="D744" s="31"/>
      <c r="E744" s="31"/>
      <c r="F744" s="31"/>
      <c r="G744" s="31"/>
    </row>
    <row r="745" ht="15.75" customHeight="1">
      <c r="B745" s="31"/>
      <c r="C745" s="31"/>
      <c r="D745" s="31"/>
      <c r="E745" s="31"/>
      <c r="F745" s="31"/>
      <c r="G745" s="31"/>
    </row>
    <row r="746" ht="15.75" customHeight="1">
      <c r="B746" s="31"/>
      <c r="C746" s="31"/>
      <c r="D746" s="31"/>
      <c r="E746" s="31"/>
      <c r="F746" s="31"/>
      <c r="G746" s="31"/>
    </row>
    <row r="747" ht="15.75" customHeight="1">
      <c r="B747" s="31"/>
      <c r="C747" s="31"/>
      <c r="D747" s="31"/>
      <c r="E747" s="31"/>
      <c r="F747" s="31"/>
      <c r="G747" s="31"/>
    </row>
    <row r="748" ht="15.75" customHeight="1">
      <c r="B748" s="31"/>
      <c r="C748" s="31"/>
      <c r="D748" s="31"/>
      <c r="E748" s="31"/>
      <c r="F748" s="31"/>
      <c r="G748" s="31"/>
    </row>
    <row r="749" ht="15.75" customHeight="1">
      <c r="B749" s="31"/>
      <c r="C749" s="31"/>
      <c r="D749" s="31"/>
      <c r="E749" s="31"/>
      <c r="F749" s="31"/>
      <c r="G749" s="31"/>
    </row>
    <row r="750" ht="15.75" customHeight="1">
      <c r="B750" s="31"/>
      <c r="C750" s="31"/>
      <c r="D750" s="31"/>
      <c r="E750" s="31"/>
      <c r="F750" s="31"/>
      <c r="G750" s="31"/>
    </row>
    <row r="751" ht="15.75" customHeight="1">
      <c r="B751" s="31"/>
      <c r="C751" s="31"/>
      <c r="D751" s="31"/>
      <c r="E751" s="31"/>
      <c r="F751" s="31"/>
      <c r="G751" s="31"/>
    </row>
    <row r="752" ht="15.75" customHeight="1">
      <c r="B752" s="31"/>
      <c r="C752" s="31"/>
      <c r="D752" s="31"/>
      <c r="E752" s="31"/>
      <c r="F752" s="31"/>
      <c r="G752" s="31"/>
    </row>
    <row r="753" ht="15.75" customHeight="1">
      <c r="B753" s="31"/>
      <c r="C753" s="31"/>
      <c r="D753" s="31"/>
      <c r="E753" s="31"/>
      <c r="F753" s="31"/>
      <c r="G753" s="31"/>
    </row>
    <row r="754" ht="15.75" customHeight="1">
      <c r="B754" s="31"/>
      <c r="C754" s="31"/>
      <c r="D754" s="31"/>
      <c r="E754" s="31"/>
      <c r="F754" s="31"/>
      <c r="G754" s="31"/>
    </row>
    <row r="755" ht="15.75" customHeight="1">
      <c r="B755" s="31"/>
      <c r="C755" s="31"/>
      <c r="D755" s="31"/>
      <c r="E755" s="31"/>
      <c r="F755" s="31"/>
      <c r="G755" s="31"/>
    </row>
    <row r="756" ht="15.75" customHeight="1">
      <c r="B756" s="31"/>
      <c r="C756" s="31"/>
      <c r="D756" s="31"/>
      <c r="E756" s="31"/>
      <c r="F756" s="31"/>
      <c r="G756" s="31"/>
    </row>
    <row r="757" ht="15.75" customHeight="1">
      <c r="B757" s="31"/>
      <c r="C757" s="31"/>
      <c r="D757" s="31"/>
      <c r="E757" s="31"/>
      <c r="F757" s="31"/>
      <c r="G757" s="31"/>
    </row>
    <row r="758" ht="15.75" customHeight="1">
      <c r="B758" s="31"/>
      <c r="C758" s="31"/>
      <c r="D758" s="31"/>
      <c r="E758" s="31"/>
      <c r="F758" s="31"/>
      <c r="G758" s="31"/>
    </row>
    <row r="759" ht="15.75" customHeight="1">
      <c r="B759" s="31"/>
      <c r="C759" s="31"/>
      <c r="D759" s="31"/>
      <c r="E759" s="31"/>
      <c r="F759" s="31"/>
      <c r="G759" s="31"/>
    </row>
    <row r="760" ht="15.75" customHeight="1">
      <c r="B760" s="31"/>
      <c r="C760" s="31"/>
      <c r="D760" s="31"/>
      <c r="E760" s="31"/>
      <c r="F760" s="31"/>
      <c r="G760" s="31"/>
    </row>
    <row r="761" ht="15.75" customHeight="1">
      <c r="B761" s="31"/>
      <c r="C761" s="31"/>
      <c r="D761" s="31"/>
      <c r="E761" s="31"/>
      <c r="F761" s="31"/>
      <c r="G761" s="31"/>
    </row>
    <row r="762" ht="15.75" customHeight="1">
      <c r="B762" s="31"/>
      <c r="C762" s="31"/>
      <c r="D762" s="31"/>
      <c r="E762" s="31"/>
      <c r="F762" s="31"/>
      <c r="G762" s="31"/>
    </row>
    <row r="763" ht="15.75" customHeight="1">
      <c r="B763" s="31"/>
      <c r="C763" s="31"/>
      <c r="D763" s="31"/>
      <c r="E763" s="31"/>
      <c r="F763" s="31"/>
      <c r="G763" s="31"/>
    </row>
    <row r="764" ht="15.75" customHeight="1">
      <c r="B764" s="31"/>
      <c r="C764" s="31"/>
      <c r="D764" s="31"/>
      <c r="E764" s="31"/>
      <c r="F764" s="31"/>
      <c r="G764" s="31"/>
    </row>
    <row r="765" ht="15.75" customHeight="1">
      <c r="B765" s="31"/>
      <c r="C765" s="31"/>
      <c r="D765" s="31"/>
      <c r="E765" s="31"/>
      <c r="F765" s="31"/>
      <c r="G765" s="31"/>
    </row>
    <row r="766" ht="15.75" customHeight="1">
      <c r="B766" s="31"/>
      <c r="C766" s="31"/>
      <c r="D766" s="31"/>
      <c r="E766" s="31"/>
      <c r="F766" s="31"/>
      <c r="G766" s="31"/>
    </row>
    <row r="767" ht="15.75" customHeight="1">
      <c r="B767" s="31"/>
      <c r="C767" s="31"/>
      <c r="D767" s="31"/>
      <c r="E767" s="31"/>
      <c r="F767" s="31"/>
      <c r="G767" s="31"/>
    </row>
    <row r="768" ht="15.75" customHeight="1">
      <c r="B768" s="31"/>
      <c r="C768" s="31"/>
      <c r="D768" s="31"/>
      <c r="E768" s="31"/>
      <c r="F768" s="31"/>
      <c r="G768" s="31"/>
    </row>
    <row r="769" ht="15.75" customHeight="1">
      <c r="B769" s="31"/>
      <c r="C769" s="31"/>
      <c r="D769" s="31"/>
      <c r="E769" s="31"/>
      <c r="F769" s="31"/>
      <c r="G769" s="31"/>
    </row>
    <row r="770" ht="15.75" customHeight="1">
      <c r="B770" s="31"/>
      <c r="C770" s="31"/>
      <c r="D770" s="31"/>
      <c r="E770" s="31"/>
      <c r="F770" s="31"/>
      <c r="G770" s="31"/>
    </row>
    <row r="771" ht="15.75" customHeight="1">
      <c r="B771" s="31"/>
      <c r="C771" s="31"/>
      <c r="D771" s="31"/>
      <c r="E771" s="31"/>
      <c r="F771" s="31"/>
      <c r="G771" s="31"/>
    </row>
    <row r="772" ht="15.75" customHeight="1">
      <c r="B772" s="31"/>
      <c r="C772" s="31"/>
      <c r="D772" s="31"/>
      <c r="E772" s="31"/>
      <c r="F772" s="31"/>
      <c r="G772" s="31"/>
    </row>
    <row r="773" ht="15.75" customHeight="1">
      <c r="B773" s="31"/>
      <c r="C773" s="31"/>
      <c r="D773" s="31"/>
      <c r="E773" s="31"/>
      <c r="F773" s="31"/>
      <c r="G773" s="31"/>
    </row>
    <row r="774" ht="15.75" customHeight="1">
      <c r="B774" s="31"/>
      <c r="C774" s="31"/>
      <c r="D774" s="31"/>
      <c r="E774" s="31"/>
      <c r="F774" s="31"/>
      <c r="G774" s="31"/>
    </row>
    <row r="775" ht="15.75" customHeight="1">
      <c r="B775" s="31"/>
      <c r="C775" s="31"/>
      <c r="D775" s="31"/>
      <c r="E775" s="31"/>
      <c r="F775" s="31"/>
      <c r="G775" s="31"/>
    </row>
    <row r="776" ht="15.75" customHeight="1">
      <c r="B776" s="31"/>
      <c r="C776" s="31"/>
      <c r="D776" s="31"/>
      <c r="E776" s="31"/>
      <c r="F776" s="31"/>
      <c r="G776" s="31"/>
    </row>
    <row r="777" ht="15.75" customHeight="1">
      <c r="B777" s="31"/>
      <c r="C777" s="31"/>
      <c r="D777" s="31"/>
      <c r="E777" s="31"/>
      <c r="F777" s="31"/>
      <c r="G777" s="31"/>
    </row>
    <row r="778" ht="15.75" customHeight="1">
      <c r="B778" s="31"/>
      <c r="C778" s="31"/>
      <c r="D778" s="31"/>
      <c r="E778" s="31"/>
      <c r="F778" s="31"/>
      <c r="G778" s="31"/>
    </row>
    <row r="779" ht="15.75" customHeight="1">
      <c r="B779" s="31"/>
      <c r="C779" s="31"/>
      <c r="D779" s="31"/>
      <c r="E779" s="31"/>
      <c r="F779" s="31"/>
      <c r="G779" s="31"/>
    </row>
    <row r="780" ht="15.75" customHeight="1">
      <c r="B780" s="31"/>
      <c r="C780" s="31"/>
      <c r="D780" s="31"/>
      <c r="E780" s="31"/>
      <c r="F780" s="31"/>
      <c r="G780" s="31"/>
    </row>
    <row r="781" ht="15.75" customHeight="1">
      <c r="B781" s="31"/>
      <c r="C781" s="31"/>
      <c r="D781" s="31"/>
      <c r="E781" s="31"/>
      <c r="F781" s="31"/>
      <c r="G781" s="31"/>
    </row>
    <row r="782" ht="15.75" customHeight="1">
      <c r="B782" s="31"/>
      <c r="C782" s="31"/>
      <c r="D782" s="31"/>
      <c r="E782" s="31"/>
      <c r="F782" s="31"/>
      <c r="G782" s="31"/>
    </row>
    <row r="783" ht="15.75" customHeight="1">
      <c r="B783" s="31"/>
      <c r="C783" s="31"/>
      <c r="D783" s="31"/>
      <c r="E783" s="31"/>
      <c r="F783" s="31"/>
      <c r="G783" s="31"/>
    </row>
    <row r="784" ht="15.75" customHeight="1">
      <c r="B784" s="31"/>
      <c r="C784" s="31"/>
      <c r="D784" s="31"/>
      <c r="E784" s="31"/>
      <c r="F784" s="31"/>
      <c r="G784" s="31"/>
    </row>
    <row r="785" ht="15.75" customHeight="1">
      <c r="B785" s="31"/>
      <c r="C785" s="31"/>
      <c r="D785" s="31"/>
      <c r="E785" s="31"/>
      <c r="F785" s="31"/>
      <c r="G785" s="31"/>
    </row>
    <row r="786" ht="15.75" customHeight="1">
      <c r="B786" s="31"/>
      <c r="C786" s="31"/>
      <c r="D786" s="31"/>
      <c r="E786" s="31"/>
      <c r="F786" s="31"/>
      <c r="G786" s="31"/>
    </row>
    <row r="787" ht="15.75" customHeight="1">
      <c r="B787" s="31"/>
      <c r="C787" s="31"/>
      <c r="D787" s="31"/>
      <c r="E787" s="31"/>
      <c r="F787" s="31"/>
      <c r="G787" s="31"/>
    </row>
    <row r="788" ht="15.75" customHeight="1">
      <c r="B788" s="31"/>
      <c r="C788" s="31"/>
      <c r="D788" s="31"/>
      <c r="E788" s="31"/>
      <c r="F788" s="31"/>
      <c r="G788" s="31"/>
    </row>
    <row r="789" ht="15.75" customHeight="1">
      <c r="B789" s="31"/>
      <c r="C789" s="31"/>
      <c r="D789" s="31"/>
      <c r="E789" s="31"/>
      <c r="F789" s="31"/>
      <c r="G789" s="31"/>
    </row>
    <row r="790" ht="15.75" customHeight="1">
      <c r="B790" s="31"/>
      <c r="C790" s="31"/>
      <c r="D790" s="31"/>
      <c r="E790" s="31"/>
      <c r="F790" s="31"/>
      <c r="G790" s="31"/>
    </row>
    <row r="791" ht="15.75" customHeight="1">
      <c r="B791" s="31"/>
      <c r="C791" s="31"/>
      <c r="D791" s="31"/>
      <c r="E791" s="31"/>
      <c r="F791" s="31"/>
      <c r="G791" s="31"/>
    </row>
    <row r="792" ht="15.75" customHeight="1">
      <c r="B792" s="31"/>
      <c r="C792" s="31"/>
      <c r="D792" s="31"/>
      <c r="E792" s="31"/>
      <c r="F792" s="31"/>
      <c r="G792" s="31"/>
    </row>
    <row r="793" ht="15.75" customHeight="1">
      <c r="B793" s="31"/>
      <c r="C793" s="31"/>
      <c r="D793" s="31"/>
      <c r="E793" s="31"/>
      <c r="F793" s="31"/>
      <c r="G793" s="31"/>
    </row>
    <row r="794" ht="15.75" customHeight="1">
      <c r="B794" s="31"/>
      <c r="C794" s="31"/>
      <c r="D794" s="31"/>
      <c r="E794" s="31"/>
      <c r="F794" s="31"/>
      <c r="G794" s="31"/>
    </row>
    <row r="795" ht="15.75" customHeight="1">
      <c r="B795" s="31"/>
      <c r="C795" s="31"/>
      <c r="D795" s="31"/>
      <c r="E795" s="31"/>
      <c r="F795" s="31"/>
      <c r="G795" s="31"/>
    </row>
    <row r="796" ht="15.75" customHeight="1">
      <c r="B796" s="31"/>
      <c r="C796" s="31"/>
      <c r="D796" s="31"/>
      <c r="E796" s="31"/>
      <c r="F796" s="31"/>
      <c r="G796" s="31"/>
    </row>
    <row r="797" ht="15.75" customHeight="1">
      <c r="B797" s="31"/>
      <c r="C797" s="31"/>
      <c r="D797" s="31"/>
      <c r="E797" s="31"/>
      <c r="F797" s="31"/>
      <c r="G797" s="31"/>
    </row>
    <row r="798" ht="15.75" customHeight="1">
      <c r="B798" s="31"/>
      <c r="C798" s="31"/>
      <c r="D798" s="31"/>
      <c r="E798" s="31"/>
      <c r="F798" s="31"/>
      <c r="G798" s="31"/>
    </row>
    <row r="799" ht="15.75" customHeight="1">
      <c r="B799" s="31"/>
      <c r="C799" s="31"/>
      <c r="D799" s="31"/>
      <c r="E799" s="31"/>
      <c r="F799" s="31"/>
      <c r="G799" s="31"/>
    </row>
    <row r="800" ht="15.75" customHeight="1">
      <c r="B800" s="31"/>
      <c r="C800" s="31"/>
      <c r="D800" s="31"/>
      <c r="E800" s="31"/>
      <c r="F800" s="31"/>
      <c r="G800" s="31"/>
    </row>
    <row r="801" ht="15.75" customHeight="1">
      <c r="B801" s="31"/>
      <c r="C801" s="31"/>
      <c r="D801" s="31"/>
      <c r="E801" s="31"/>
      <c r="F801" s="31"/>
      <c r="G801" s="31"/>
    </row>
    <row r="802" ht="15.75" customHeight="1">
      <c r="B802" s="31"/>
      <c r="C802" s="31"/>
      <c r="D802" s="31"/>
      <c r="E802" s="31"/>
      <c r="F802" s="31"/>
      <c r="G802" s="31"/>
    </row>
    <row r="803" ht="15.75" customHeight="1">
      <c r="B803" s="31"/>
      <c r="C803" s="31"/>
      <c r="D803" s="31"/>
      <c r="E803" s="31"/>
      <c r="F803" s="31"/>
      <c r="G803" s="31"/>
    </row>
    <row r="804" ht="15.75" customHeight="1">
      <c r="B804" s="31"/>
      <c r="C804" s="31"/>
      <c r="D804" s="31"/>
      <c r="E804" s="31"/>
      <c r="F804" s="31"/>
      <c r="G804" s="31"/>
    </row>
    <row r="805" ht="15.75" customHeight="1">
      <c r="B805" s="31"/>
      <c r="C805" s="31"/>
      <c r="D805" s="31"/>
      <c r="E805" s="31"/>
      <c r="F805" s="31"/>
      <c r="G805" s="31"/>
    </row>
    <row r="806" ht="15.75" customHeight="1">
      <c r="B806" s="31"/>
      <c r="C806" s="31"/>
      <c r="D806" s="31"/>
      <c r="E806" s="31"/>
      <c r="F806" s="31"/>
      <c r="G806" s="31"/>
    </row>
    <row r="807" ht="15.75" customHeight="1">
      <c r="B807" s="31"/>
      <c r="C807" s="31"/>
      <c r="D807" s="31"/>
      <c r="E807" s="31"/>
      <c r="F807" s="31"/>
      <c r="G807" s="31"/>
    </row>
    <row r="808" ht="15.75" customHeight="1">
      <c r="B808" s="31"/>
      <c r="C808" s="31"/>
      <c r="D808" s="31"/>
      <c r="E808" s="31"/>
      <c r="F808" s="31"/>
      <c r="G808" s="31"/>
    </row>
    <row r="809" ht="15.75" customHeight="1">
      <c r="B809" s="31"/>
      <c r="C809" s="31"/>
      <c r="D809" s="31"/>
      <c r="E809" s="31"/>
      <c r="F809" s="31"/>
      <c r="G809" s="31"/>
    </row>
    <row r="810" ht="15.75" customHeight="1">
      <c r="B810" s="31"/>
      <c r="C810" s="31"/>
      <c r="D810" s="31"/>
      <c r="E810" s="31"/>
      <c r="F810" s="31"/>
      <c r="G810" s="31"/>
    </row>
    <row r="811" ht="15.75" customHeight="1">
      <c r="B811" s="31"/>
      <c r="C811" s="31"/>
      <c r="D811" s="31"/>
      <c r="E811" s="31"/>
      <c r="F811" s="31"/>
      <c r="G811" s="31"/>
    </row>
    <row r="812" ht="15.75" customHeight="1">
      <c r="B812" s="31"/>
      <c r="C812" s="31"/>
      <c r="D812" s="31"/>
      <c r="E812" s="31"/>
      <c r="F812" s="31"/>
      <c r="G812" s="31"/>
    </row>
    <row r="813" ht="15.75" customHeight="1">
      <c r="B813" s="31"/>
      <c r="C813" s="31"/>
      <c r="D813" s="31"/>
      <c r="E813" s="31"/>
      <c r="F813" s="31"/>
      <c r="G813" s="31"/>
    </row>
    <row r="814" ht="15.75" customHeight="1">
      <c r="B814" s="31"/>
      <c r="C814" s="31"/>
      <c r="D814" s="31"/>
      <c r="E814" s="31"/>
      <c r="F814" s="31"/>
      <c r="G814" s="31"/>
    </row>
    <row r="815" ht="15.75" customHeight="1">
      <c r="B815" s="31"/>
      <c r="C815" s="31"/>
      <c r="D815" s="31"/>
      <c r="E815" s="31"/>
      <c r="F815" s="31"/>
      <c r="G815" s="31"/>
    </row>
    <row r="816" ht="15.75" customHeight="1">
      <c r="B816" s="31"/>
      <c r="C816" s="31"/>
      <c r="D816" s="31"/>
      <c r="E816" s="31"/>
      <c r="F816" s="31"/>
      <c r="G816" s="31"/>
    </row>
    <row r="817" ht="15.75" customHeight="1">
      <c r="B817" s="31"/>
      <c r="C817" s="31"/>
      <c r="D817" s="31"/>
      <c r="E817" s="31"/>
      <c r="F817" s="31"/>
      <c r="G817" s="31"/>
    </row>
    <row r="818" ht="15.75" customHeight="1">
      <c r="B818" s="31"/>
      <c r="C818" s="31"/>
      <c r="D818" s="31"/>
      <c r="E818" s="31"/>
      <c r="F818" s="31"/>
      <c r="G818" s="31"/>
    </row>
    <row r="819" ht="15.75" customHeight="1">
      <c r="B819" s="31"/>
      <c r="C819" s="31"/>
      <c r="D819" s="31"/>
      <c r="E819" s="31"/>
      <c r="F819" s="31"/>
      <c r="G819" s="31"/>
    </row>
    <row r="820" ht="15.75" customHeight="1">
      <c r="B820" s="31"/>
      <c r="C820" s="31"/>
      <c r="D820" s="31"/>
      <c r="E820" s="31"/>
      <c r="F820" s="31"/>
      <c r="G820" s="31"/>
    </row>
    <row r="821" ht="15.75" customHeight="1">
      <c r="B821" s="31"/>
      <c r="C821" s="31"/>
      <c r="D821" s="31"/>
      <c r="E821" s="31"/>
      <c r="F821" s="31"/>
      <c r="G821" s="31"/>
    </row>
    <row r="822" ht="15.75" customHeight="1">
      <c r="B822" s="31"/>
      <c r="C822" s="31"/>
      <c r="D822" s="31"/>
      <c r="E822" s="31"/>
      <c r="F822" s="31"/>
      <c r="G822" s="31"/>
    </row>
    <row r="823" ht="15.75" customHeight="1">
      <c r="B823" s="31"/>
      <c r="C823" s="31"/>
      <c r="D823" s="31"/>
      <c r="E823" s="31"/>
      <c r="F823" s="31"/>
      <c r="G823" s="31"/>
    </row>
    <row r="824" ht="15.75" customHeight="1">
      <c r="B824" s="31"/>
      <c r="C824" s="31"/>
      <c r="D824" s="31"/>
      <c r="E824" s="31"/>
      <c r="F824" s="31"/>
      <c r="G824" s="31"/>
    </row>
    <row r="825" ht="15.75" customHeight="1">
      <c r="B825" s="31"/>
      <c r="C825" s="31"/>
      <c r="D825" s="31"/>
      <c r="E825" s="31"/>
      <c r="F825" s="31"/>
      <c r="G825" s="31"/>
    </row>
    <row r="826" ht="15.75" customHeight="1">
      <c r="B826" s="31"/>
      <c r="C826" s="31"/>
      <c r="D826" s="31"/>
      <c r="E826" s="31"/>
      <c r="F826" s="31"/>
      <c r="G826" s="31"/>
    </row>
    <row r="827" ht="15.75" customHeight="1">
      <c r="B827" s="31"/>
      <c r="C827" s="31"/>
      <c r="D827" s="31"/>
      <c r="E827" s="31"/>
      <c r="F827" s="31"/>
      <c r="G827" s="31"/>
    </row>
    <row r="828" ht="15.75" customHeight="1">
      <c r="B828" s="31"/>
      <c r="C828" s="31"/>
      <c r="D828" s="31"/>
      <c r="E828" s="31"/>
      <c r="F828" s="31"/>
      <c r="G828" s="31"/>
    </row>
    <row r="829" ht="15.75" customHeight="1">
      <c r="B829" s="31"/>
      <c r="C829" s="31"/>
      <c r="D829" s="31"/>
      <c r="E829" s="31"/>
      <c r="F829" s="31"/>
      <c r="G829" s="31"/>
    </row>
    <row r="830" ht="15.75" customHeight="1">
      <c r="B830" s="31"/>
      <c r="C830" s="31"/>
      <c r="D830" s="31"/>
      <c r="E830" s="31"/>
      <c r="F830" s="31"/>
      <c r="G830" s="31"/>
    </row>
    <row r="831" ht="15.75" customHeight="1">
      <c r="B831" s="31"/>
      <c r="C831" s="31"/>
      <c r="D831" s="31"/>
      <c r="E831" s="31"/>
      <c r="F831" s="31"/>
      <c r="G831" s="31"/>
    </row>
    <row r="832" ht="15.75" customHeight="1">
      <c r="B832" s="31"/>
      <c r="C832" s="31"/>
      <c r="D832" s="31"/>
      <c r="E832" s="31"/>
      <c r="F832" s="31"/>
      <c r="G832" s="31"/>
    </row>
    <row r="833" ht="15.75" customHeight="1">
      <c r="B833" s="31"/>
      <c r="C833" s="31"/>
      <c r="D833" s="31"/>
      <c r="E833" s="31"/>
      <c r="F833" s="31"/>
      <c r="G833" s="31"/>
    </row>
    <row r="834" ht="15.75" customHeight="1">
      <c r="B834" s="31"/>
      <c r="C834" s="31"/>
      <c r="D834" s="31"/>
      <c r="E834" s="31"/>
      <c r="F834" s="31"/>
      <c r="G834" s="31"/>
    </row>
    <row r="835" ht="15.75" customHeight="1">
      <c r="B835" s="31"/>
      <c r="C835" s="31"/>
      <c r="D835" s="31"/>
      <c r="E835" s="31"/>
      <c r="F835" s="31"/>
      <c r="G835" s="31"/>
    </row>
    <row r="836" ht="15.75" customHeight="1">
      <c r="B836" s="31"/>
      <c r="C836" s="31"/>
      <c r="D836" s="31"/>
      <c r="E836" s="31"/>
      <c r="F836" s="31"/>
      <c r="G836" s="31"/>
    </row>
    <row r="837" ht="15.75" customHeight="1">
      <c r="B837" s="31"/>
      <c r="C837" s="31"/>
      <c r="D837" s="31"/>
      <c r="E837" s="31"/>
      <c r="F837" s="31"/>
      <c r="G837" s="31"/>
    </row>
    <row r="838" ht="15.75" customHeight="1">
      <c r="B838" s="31"/>
      <c r="C838" s="31"/>
      <c r="D838" s="31"/>
      <c r="E838" s="31"/>
      <c r="F838" s="31"/>
      <c r="G838" s="31"/>
    </row>
    <row r="839" ht="15.75" customHeight="1">
      <c r="B839" s="31"/>
      <c r="C839" s="31"/>
      <c r="D839" s="31"/>
      <c r="E839" s="31"/>
      <c r="F839" s="31"/>
      <c r="G839" s="31"/>
    </row>
    <row r="840" ht="15.75" customHeight="1">
      <c r="B840" s="31"/>
      <c r="C840" s="31"/>
      <c r="D840" s="31"/>
      <c r="E840" s="31"/>
      <c r="F840" s="31"/>
      <c r="G840" s="31"/>
    </row>
    <row r="841" ht="15.75" customHeight="1">
      <c r="B841" s="31"/>
      <c r="C841" s="31"/>
      <c r="D841" s="31"/>
      <c r="E841" s="31"/>
      <c r="F841" s="31"/>
      <c r="G841" s="31"/>
    </row>
    <row r="842" ht="15.75" customHeight="1">
      <c r="B842" s="31"/>
      <c r="C842" s="31"/>
      <c r="D842" s="31"/>
      <c r="E842" s="31"/>
      <c r="F842" s="31"/>
      <c r="G842" s="31"/>
    </row>
    <row r="843" ht="15.75" customHeight="1">
      <c r="B843" s="31"/>
      <c r="C843" s="31"/>
      <c r="D843" s="31"/>
      <c r="E843" s="31"/>
      <c r="F843" s="31"/>
      <c r="G843" s="31"/>
    </row>
    <row r="844" ht="15.75" customHeight="1">
      <c r="B844" s="31"/>
      <c r="C844" s="31"/>
      <c r="D844" s="31"/>
      <c r="E844" s="31"/>
      <c r="F844" s="31"/>
      <c r="G844" s="31"/>
    </row>
    <row r="845" ht="15.75" customHeight="1">
      <c r="B845" s="31"/>
      <c r="C845" s="31"/>
      <c r="D845" s="31"/>
      <c r="E845" s="31"/>
      <c r="F845" s="31"/>
      <c r="G845" s="31"/>
    </row>
    <row r="846" ht="15.75" customHeight="1">
      <c r="B846" s="31"/>
      <c r="C846" s="31"/>
      <c r="D846" s="31"/>
      <c r="E846" s="31"/>
      <c r="F846" s="31"/>
      <c r="G846" s="31"/>
    </row>
    <row r="847" ht="15.75" customHeight="1">
      <c r="B847" s="31"/>
      <c r="C847" s="31"/>
      <c r="D847" s="31"/>
      <c r="E847" s="31"/>
      <c r="F847" s="31"/>
      <c r="G847" s="31"/>
    </row>
    <row r="848" ht="15.75" customHeight="1">
      <c r="B848" s="31"/>
      <c r="C848" s="31"/>
      <c r="D848" s="31"/>
      <c r="E848" s="31"/>
      <c r="F848" s="31"/>
      <c r="G848" s="31"/>
    </row>
    <row r="849" ht="15.75" customHeight="1">
      <c r="B849" s="31"/>
      <c r="C849" s="31"/>
      <c r="D849" s="31"/>
      <c r="E849" s="31"/>
      <c r="F849" s="31"/>
      <c r="G849" s="31"/>
    </row>
    <row r="850" ht="15.75" customHeight="1">
      <c r="B850" s="31"/>
      <c r="C850" s="31"/>
      <c r="D850" s="31"/>
      <c r="E850" s="31"/>
      <c r="F850" s="31"/>
      <c r="G850" s="31"/>
    </row>
    <row r="851" ht="15.75" customHeight="1">
      <c r="B851" s="31"/>
      <c r="C851" s="31"/>
      <c r="D851" s="31"/>
      <c r="E851" s="31"/>
      <c r="F851" s="31"/>
      <c r="G851" s="31"/>
    </row>
    <row r="852" ht="15.75" customHeight="1">
      <c r="B852" s="31"/>
      <c r="C852" s="31"/>
      <c r="D852" s="31"/>
      <c r="E852" s="31"/>
      <c r="F852" s="31"/>
      <c r="G852" s="31"/>
    </row>
    <row r="853" ht="15.75" customHeight="1">
      <c r="B853" s="31"/>
      <c r="C853" s="31"/>
      <c r="D853" s="31"/>
      <c r="E853" s="31"/>
      <c r="F853" s="31"/>
      <c r="G853" s="31"/>
    </row>
    <row r="854" ht="15.75" customHeight="1">
      <c r="B854" s="31"/>
      <c r="C854" s="31"/>
      <c r="D854" s="31"/>
      <c r="E854" s="31"/>
      <c r="F854" s="31"/>
      <c r="G854" s="31"/>
    </row>
    <row r="855" ht="15.75" customHeight="1">
      <c r="B855" s="31"/>
      <c r="C855" s="31"/>
      <c r="D855" s="31"/>
      <c r="E855" s="31"/>
      <c r="F855" s="31"/>
      <c r="G855" s="31"/>
    </row>
    <row r="856" ht="15.75" customHeight="1">
      <c r="B856" s="31"/>
      <c r="C856" s="31"/>
      <c r="D856" s="31"/>
      <c r="E856" s="31"/>
      <c r="F856" s="31"/>
      <c r="G856" s="31"/>
    </row>
    <row r="857" ht="15.75" customHeight="1">
      <c r="B857" s="31"/>
      <c r="C857" s="31"/>
      <c r="D857" s="31"/>
      <c r="E857" s="31"/>
      <c r="F857" s="31"/>
      <c r="G857" s="31"/>
    </row>
    <row r="858" ht="15.75" customHeight="1">
      <c r="B858" s="31"/>
      <c r="C858" s="31"/>
      <c r="D858" s="31"/>
      <c r="E858" s="31"/>
      <c r="F858" s="31"/>
      <c r="G858" s="31"/>
    </row>
    <row r="859" ht="15.75" customHeight="1">
      <c r="B859" s="31"/>
      <c r="C859" s="31"/>
      <c r="D859" s="31"/>
      <c r="E859" s="31"/>
      <c r="F859" s="31"/>
      <c r="G859" s="31"/>
    </row>
    <row r="860" ht="15.75" customHeight="1">
      <c r="B860" s="31"/>
      <c r="C860" s="31"/>
      <c r="D860" s="31"/>
      <c r="E860" s="31"/>
      <c r="F860" s="31"/>
      <c r="G860" s="31"/>
    </row>
    <row r="861" ht="15.75" customHeight="1">
      <c r="B861" s="31"/>
      <c r="C861" s="31"/>
      <c r="D861" s="31"/>
      <c r="E861" s="31"/>
      <c r="F861" s="31"/>
      <c r="G861" s="31"/>
    </row>
    <row r="862" ht="15.75" customHeight="1">
      <c r="B862" s="31"/>
      <c r="C862" s="31"/>
      <c r="D862" s="31"/>
      <c r="E862" s="31"/>
      <c r="F862" s="31"/>
      <c r="G862" s="31"/>
    </row>
    <row r="863" ht="15.75" customHeight="1">
      <c r="B863" s="31"/>
      <c r="C863" s="31"/>
      <c r="D863" s="31"/>
      <c r="E863" s="31"/>
      <c r="F863" s="31"/>
      <c r="G863" s="31"/>
    </row>
    <row r="864" ht="15.75" customHeight="1">
      <c r="B864" s="31"/>
      <c r="C864" s="31"/>
      <c r="D864" s="31"/>
      <c r="E864" s="31"/>
      <c r="F864" s="31"/>
      <c r="G864" s="31"/>
    </row>
    <row r="865" ht="15.75" customHeight="1">
      <c r="B865" s="31"/>
      <c r="C865" s="31"/>
      <c r="D865" s="31"/>
      <c r="E865" s="31"/>
      <c r="F865" s="31"/>
      <c r="G865" s="31"/>
    </row>
    <row r="866" ht="15.75" customHeight="1">
      <c r="B866" s="31"/>
      <c r="C866" s="31"/>
      <c r="D866" s="31"/>
      <c r="E866" s="31"/>
      <c r="F866" s="31"/>
      <c r="G866" s="31"/>
    </row>
    <row r="867" ht="15.75" customHeight="1">
      <c r="B867" s="31"/>
      <c r="C867" s="31"/>
      <c r="D867" s="31"/>
      <c r="E867" s="31"/>
      <c r="F867" s="31"/>
      <c r="G867" s="31"/>
    </row>
    <row r="868" ht="15.75" customHeight="1">
      <c r="B868" s="31"/>
      <c r="C868" s="31"/>
      <c r="D868" s="31"/>
      <c r="E868" s="31"/>
      <c r="F868" s="31"/>
      <c r="G868" s="31"/>
    </row>
    <row r="869" ht="15.75" customHeight="1">
      <c r="B869" s="31"/>
      <c r="C869" s="31"/>
      <c r="D869" s="31"/>
      <c r="E869" s="31"/>
      <c r="F869" s="31"/>
      <c r="G869" s="31"/>
    </row>
    <row r="870" ht="15.75" customHeight="1">
      <c r="B870" s="31"/>
      <c r="C870" s="31"/>
      <c r="D870" s="31"/>
      <c r="E870" s="31"/>
      <c r="F870" s="31"/>
      <c r="G870" s="31"/>
    </row>
    <row r="871" ht="15.75" customHeight="1">
      <c r="B871" s="31"/>
      <c r="C871" s="31"/>
      <c r="D871" s="31"/>
      <c r="E871" s="31"/>
      <c r="F871" s="31"/>
      <c r="G871" s="31"/>
    </row>
    <row r="872" ht="15.75" customHeight="1">
      <c r="B872" s="31"/>
      <c r="C872" s="31"/>
      <c r="D872" s="31"/>
      <c r="E872" s="31"/>
      <c r="F872" s="31"/>
      <c r="G872" s="31"/>
    </row>
    <row r="873" ht="15.75" customHeight="1">
      <c r="B873" s="31"/>
      <c r="C873" s="31"/>
      <c r="D873" s="31"/>
      <c r="E873" s="31"/>
      <c r="F873" s="31"/>
      <c r="G873" s="31"/>
    </row>
    <row r="874" ht="15.75" customHeight="1">
      <c r="B874" s="31"/>
      <c r="C874" s="31"/>
      <c r="D874" s="31"/>
      <c r="E874" s="31"/>
      <c r="F874" s="31"/>
      <c r="G874" s="31"/>
    </row>
    <row r="875" ht="15.75" customHeight="1">
      <c r="B875" s="31"/>
      <c r="C875" s="31"/>
      <c r="D875" s="31"/>
      <c r="E875" s="31"/>
      <c r="F875" s="31"/>
      <c r="G875" s="31"/>
    </row>
    <row r="876" ht="15.75" customHeight="1">
      <c r="B876" s="31"/>
      <c r="C876" s="31"/>
      <c r="D876" s="31"/>
      <c r="E876" s="31"/>
      <c r="F876" s="31"/>
      <c r="G876" s="31"/>
    </row>
    <row r="877" ht="15.75" customHeight="1">
      <c r="B877" s="31"/>
      <c r="C877" s="31"/>
      <c r="D877" s="31"/>
      <c r="E877" s="31"/>
      <c r="F877" s="31"/>
      <c r="G877" s="31"/>
    </row>
    <row r="878" ht="15.75" customHeight="1">
      <c r="B878" s="31"/>
      <c r="C878" s="31"/>
      <c r="D878" s="31"/>
      <c r="E878" s="31"/>
      <c r="F878" s="31"/>
      <c r="G878" s="31"/>
    </row>
    <row r="879" ht="15.75" customHeight="1">
      <c r="B879" s="31"/>
      <c r="C879" s="31"/>
      <c r="D879" s="31"/>
      <c r="E879" s="31"/>
      <c r="F879" s="31"/>
      <c r="G879" s="31"/>
    </row>
    <row r="880" ht="15.75" customHeight="1">
      <c r="B880" s="31"/>
      <c r="C880" s="31"/>
      <c r="D880" s="31"/>
      <c r="E880" s="31"/>
      <c r="F880" s="31"/>
      <c r="G880" s="31"/>
    </row>
    <row r="881" ht="15.75" customHeight="1">
      <c r="B881" s="31"/>
      <c r="C881" s="31"/>
      <c r="D881" s="31"/>
      <c r="E881" s="31"/>
      <c r="F881" s="31"/>
      <c r="G881" s="31"/>
    </row>
    <row r="882" ht="15.75" customHeight="1">
      <c r="B882" s="31"/>
      <c r="C882" s="31"/>
      <c r="D882" s="31"/>
      <c r="E882" s="31"/>
      <c r="F882" s="31"/>
      <c r="G882" s="31"/>
    </row>
    <row r="883" ht="15.75" customHeight="1">
      <c r="B883" s="31"/>
      <c r="C883" s="31"/>
      <c r="D883" s="31"/>
      <c r="E883" s="31"/>
      <c r="F883" s="31"/>
      <c r="G883" s="31"/>
    </row>
    <row r="884" ht="15.75" customHeight="1">
      <c r="B884" s="31"/>
      <c r="C884" s="31"/>
      <c r="D884" s="31"/>
      <c r="E884" s="31"/>
      <c r="F884" s="31"/>
      <c r="G884" s="31"/>
    </row>
    <row r="885" ht="15.75" customHeight="1">
      <c r="B885" s="31"/>
      <c r="C885" s="31"/>
      <c r="D885" s="31"/>
      <c r="E885" s="31"/>
      <c r="F885" s="31"/>
      <c r="G885" s="31"/>
    </row>
    <row r="886" ht="15.75" customHeight="1">
      <c r="B886" s="31"/>
      <c r="C886" s="31"/>
      <c r="D886" s="31"/>
      <c r="E886" s="31"/>
      <c r="F886" s="31"/>
      <c r="G886" s="31"/>
    </row>
    <row r="887" ht="15.75" customHeight="1">
      <c r="B887" s="31"/>
      <c r="C887" s="31"/>
      <c r="D887" s="31"/>
      <c r="E887" s="31"/>
      <c r="F887" s="31"/>
      <c r="G887" s="31"/>
    </row>
    <row r="888" ht="15.75" customHeight="1">
      <c r="B888" s="31"/>
      <c r="C888" s="31"/>
      <c r="D888" s="31"/>
      <c r="E888" s="31"/>
      <c r="F888" s="31"/>
      <c r="G888" s="31"/>
    </row>
    <row r="889" ht="15.75" customHeight="1">
      <c r="B889" s="31"/>
      <c r="C889" s="31"/>
      <c r="D889" s="31"/>
      <c r="E889" s="31"/>
      <c r="F889" s="31"/>
      <c r="G889" s="31"/>
    </row>
    <row r="890" ht="15.75" customHeight="1">
      <c r="B890" s="31"/>
      <c r="C890" s="31"/>
      <c r="D890" s="31"/>
      <c r="E890" s="31"/>
      <c r="F890" s="31"/>
      <c r="G890" s="31"/>
    </row>
    <row r="891" ht="15.75" customHeight="1">
      <c r="B891" s="31"/>
      <c r="C891" s="31"/>
      <c r="D891" s="31"/>
      <c r="E891" s="31"/>
      <c r="F891" s="31"/>
      <c r="G891" s="31"/>
    </row>
    <row r="892" ht="15.75" customHeight="1">
      <c r="B892" s="31"/>
      <c r="C892" s="31"/>
      <c r="D892" s="31"/>
      <c r="E892" s="31"/>
      <c r="F892" s="31"/>
      <c r="G892" s="31"/>
    </row>
    <row r="893" ht="15.75" customHeight="1">
      <c r="B893" s="31"/>
      <c r="C893" s="31"/>
      <c r="D893" s="31"/>
      <c r="E893" s="31"/>
      <c r="F893" s="31"/>
      <c r="G893" s="31"/>
    </row>
    <row r="894" ht="15.75" customHeight="1">
      <c r="B894" s="31"/>
      <c r="C894" s="31"/>
      <c r="D894" s="31"/>
      <c r="E894" s="31"/>
      <c r="F894" s="31"/>
      <c r="G894" s="31"/>
    </row>
    <row r="895" ht="15.75" customHeight="1">
      <c r="B895" s="31"/>
      <c r="C895" s="31"/>
      <c r="D895" s="31"/>
      <c r="E895" s="31"/>
      <c r="F895" s="31"/>
      <c r="G895" s="31"/>
    </row>
    <row r="896" ht="15.75" customHeight="1">
      <c r="B896" s="31"/>
      <c r="C896" s="31"/>
      <c r="D896" s="31"/>
      <c r="E896" s="31"/>
      <c r="F896" s="31"/>
      <c r="G896" s="31"/>
    </row>
    <row r="897" ht="15.75" customHeight="1">
      <c r="B897" s="31"/>
      <c r="C897" s="31"/>
      <c r="D897" s="31"/>
      <c r="E897" s="31"/>
      <c r="F897" s="31"/>
      <c r="G897" s="31"/>
    </row>
    <row r="898" ht="15.75" customHeight="1">
      <c r="B898" s="31"/>
      <c r="C898" s="31"/>
      <c r="D898" s="31"/>
      <c r="E898" s="31"/>
      <c r="F898" s="31"/>
      <c r="G898" s="31"/>
    </row>
    <row r="899" ht="15.75" customHeight="1">
      <c r="B899" s="31"/>
      <c r="C899" s="31"/>
      <c r="D899" s="31"/>
      <c r="E899" s="31"/>
      <c r="F899" s="31"/>
      <c r="G899" s="31"/>
    </row>
    <row r="900" ht="15.75" customHeight="1">
      <c r="B900" s="31"/>
      <c r="C900" s="31"/>
      <c r="D900" s="31"/>
      <c r="E900" s="31"/>
      <c r="F900" s="31"/>
      <c r="G900" s="31"/>
    </row>
    <row r="901" ht="15.75" customHeight="1">
      <c r="B901" s="31"/>
      <c r="C901" s="31"/>
      <c r="D901" s="31"/>
      <c r="E901" s="31"/>
      <c r="F901" s="31"/>
      <c r="G901" s="31"/>
    </row>
    <row r="902" ht="15.75" customHeight="1">
      <c r="B902" s="31"/>
      <c r="C902" s="31"/>
      <c r="D902" s="31"/>
      <c r="E902" s="31"/>
      <c r="F902" s="31"/>
      <c r="G902" s="31"/>
    </row>
    <row r="903" ht="15.75" customHeight="1">
      <c r="B903" s="31"/>
      <c r="C903" s="31"/>
      <c r="D903" s="31"/>
      <c r="E903" s="31"/>
      <c r="F903" s="31"/>
      <c r="G903" s="31"/>
    </row>
    <row r="904" ht="15.75" customHeight="1">
      <c r="B904" s="31"/>
      <c r="C904" s="31"/>
      <c r="D904" s="31"/>
      <c r="E904" s="31"/>
      <c r="F904" s="31"/>
      <c r="G904" s="31"/>
    </row>
    <row r="905" ht="15.75" customHeight="1">
      <c r="B905" s="31"/>
      <c r="C905" s="31"/>
      <c r="D905" s="31"/>
      <c r="E905" s="31"/>
      <c r="F905" s="31"/>
      <c r="G905" s="31"/>
    </row>
    <row r="906" ht="15.75" customHeight="1">
      <c r="B906" s="31"/>
      <c r="C906" s="31"/>
      <c r="D906" s="31"/>
      <c r="E906" s="31"/>
      <c r="F906" s="31"/>
      <c r="G906" s="31"/>
    </row>
    <row r="907" ht="15.75" customHeight="1">
      <c r="B907" s="31"/>
      <c r="C907" s="31"/>
      <c r="D907" s="31"/>
      <c r="E907" s="31"/>
      <c r="F907" s="31"/>
      <c r="G907" s="31"/>
    </row>
    <row r="908" ht="15.75" customHeight="1">
      <c r="B908" s="31"/>
      <c r="C908" s="31"/>
      <c r="D908" s="31"/>
      <c r="E908" s="31"/>
      <c r="F908" s="31"/>
      <c r="G908" s="31"/>
    </row>
    <row r="909" ht="15.75" customHeight="1">
      <c r="B909" s="31"/>
      <c r="C909" s="31"/>
      <c r="D909" s="31"/>
      <c r="E909" s="31"/>
      <c r="F909" s="31"/>
      <c r="G909" s="31"/>
    </row>
    <row r="910" ht="15.75" customHeight="1">
      <c r="B910" s="31"/>
      <c r="C910" s="31"/>
      <c r="D910" s="31"/>
      <c r="E910" s="31"/>
      <c r="F910" s="31"/>
      <c r="G910" s="31"/>
    </row>
    <row r="911" ht="15.75" customHeight="1">
      <c r="B911" s="31"/>
      <c r="C911" s="31"/>
      <c r="D911" s="31"/>
      <c r="E911" s="31"/>
      <c r="F911" s="31"/>
      <c r="G911" s="31"/>
    </row>
    <row r="912" ht="15.75" customHeight="1">
      <c r="B912" s="31"/>
      <c r="C912" s="31"/>
      <c r="D912" s="31"/>
      <c r="E912" s="31"/>
      <c r="F912" s="31"/>
      <c r="G912" s="31"/>
    </row>
    <row r="913" ht="15.75" customHeight="1">
      <c r="B913" s="31"/>
      <c r="C913" s="31"/>
      <c r="D913" s="31"/>
      <c r="E913" s="31"/>
      <c r="F913" s="31"/>
      <c r="G913" s="31"/>
    </row>
    <row r="914" ht="15.75" customHeight="1">
      <c r="B914" s="31"/>
      <c r="C914" s="31"/>
      <c r="D914" s="31"/>
      <c r="E914" s="31"/>
      <c r="F914" s="31"/>
      <c r="G914" s="31"/>
    </row>
    <row r="915" ht="15.75" customHeight="1">
      <c r="B915" s="31"/>
      <c r="C915" s="31"/>
      <c r="D915" s="31"/>
      <c r="E915" s="31"/>
      <c r="F915" s="31"/>
      <c r="G915" s="31"/>
    </row>
    <row r="916" ht="15.75" customHeight="1">
      <c r="B916" s="31"/>
      <c r="C916" s="31"/>
      <c r="D916" s="31"/>
      <c r="E916" s="31"/>
      <c r="F916" s="31"/>
      <c r="G916" s="31"/>
    </row>
    <row r="917" ht="15.75" customHeight="1">
      <c r="B917" s="31"/>
      <c r="C917" s="31"/>
      <c r="D917" s="31"/>
      <c r="E917" s="31"/>
      <c r="F917" s="31"/>
      <c r="G917" s="31"/>
    </row>
    <row r="918" ht="15.75" customHeight="1">
      <c r="B918" s="31"/>
      <c r="C918" s="31"/>
      <c r="D918" s="31"/>
      <c r="E918" s="31"/>
      <c r="F918" s="31"/>
      <c r="G918" s="31"/>
    </row>
    <row r="919" ht="15.75" customHeight="1">
      <c r="B919" s="31"/>
      <c r="C919" s="31"/>
      <c r="D919" s="31"/>
      <c r="E919" s="31"/>
      <c r="F919" s="31"/>
      <c r="G919" s="31"/>
    </row>
    <row r="920" ht="15.75" customHeight="1">
      <c r="B920" s="31"/>
      <c r="C920" s="31"/>
      <c r="D920" s="31"/>
      <c r="E920" s="31"/>
      <c r="F920" s="31"/>
      <c r="G920" s="31"/>
    </row>
    <row r="921" ht="15.75" customHeight="1">
      <c r="B921" s="31"/>
      <c r="C921" s="31"/>
      <c r="D921" s="31"/>
      <c r="E921" s="31"/>
      <c r="F921" s="31"/>
      <c r="G921" s="31"/>
    </row>
    <row r="922" ht="15.75" customHeight="1">
      <c r="B922" s="31"/>
      <c r="C922" s="31"/>
      <c r="D922" s="31"/>
      <c r="E922" s="31"/>
      <c r="F922" s="31"/>
      <c r="G922" s="31"/>
    </row>
    <row r="923" ht="15.75" customHeight="1">
      <c r="B923" s="31"/>
      <c r="C923" s="31"/>
      <c r="D923" s="31"/>
      <c r="E923" s="31"/>
      <c r="F923" s="31"/>
      <c r="G923" s="31"/>
    </row>
    <row r="924" ht="15.75" customHeight="1">
      <c r="B924" s="31"/>
      <c r="C924" s="31"/>
      <c r="D924" s="31"/>
      <c r="E924" s="31"/>
      <c r="F924" s="31"/>
      <c r="G924" s="31"/>
    </row>
    <row r="925" ht="15.75" customHeight="1">
      <c r="B925" s="31"/>
      <c r="C925" s="31"/>
      <c r="D925" s="31"/>
      <c r="E925" s="31"/>
      <c r="F925" s="31"/>
      <c r="G925" s="31"/>
    </row>
    <row r="926" ht="15.75" customHeight="1">
      <c r="B926" s="31"/>
      <c r="C926" s="31"/>
      <c r="D926" s="31"/>
      <c r="E926" s="31"/>
      <c r="F926" s="31"/>
      <c r="G926" s="31"/>
    </row>
    <row r="927" ht="15.75" customHeight="1">
      <c r="B927" s="31"/>
      <c r="C927" s="31"/>
      <c r="D927" s="31"/>
      <c r="E927" s="31"/>
      <c r="F927" s="31"/>
      <c r="G927" s="31"/>
    </row>
    <row r="928" ht="15.75" customHeight="1">
      <c r="B928" s="31"/>
      <c r="C928" s="31"/>
      <c r="D928" s="31"/>
      <c r="E928" s="31"/>
      <c r="F928" s="31"/>
      <c r="G928" s="31"/>
    </row>
    <row r="929" ht="15.75" customHeight="1">
      <c r="B929" s="31"/>
      <c r="C929" s="31"/>
      <c r="D929" s="31"/>
      <c r="E929" s="31"/>
      <c r="F929" s="31"/>
      <c r="G929" s="31"/>
    </row>
    <row r="930" ht="15.75" customHeight="1">
      <c r="B930" s="31"/>
      <c r="C930" s="31"/>
      <c r="D930" s="31"/>
      <c r="E930" s="31"/>
      <c r="F930" s="31"/>
      <c r="G930" s="31"/>
    </row>
    <row r="931" ht="15.75" customHeight="1">
      <c r="B931" s="31"/>
      <c r="C931" s="31"/>
      <c r="D931" s="31"/>
      <c r="E931" s="31"/>
      <c r="F931" s="31"/>
      <c r="G931" s="31"/>
    </row>
    <row r="932" ht="15.75" customHeight="1">
      <c r="B932" s="31"/>
      <c r="C932" s="31"/>
      <c r="D932" s="31"/>
      <c r="E932" s="31"/>
      <c r="F932" s="31"/>
      <c r="G932" s="31"/>
    </row>
    <row r="933" ht="15.75" customHeight="1">
      <c r="B933" s="31"/>
      <c r="C933" s="31"/>
      <c r="D933" s="31"/>
      <c r="E933" s="31"/>
      <c r="F933" s="31"/>
      <c r="G933" s="31"/>
    </row>
    <row r="934" ht="15.75" customHeight="1">
      <c r="B934" s="31"/>
      <c r="C934" s="31"/>
      <c r="D934" s="31"/>
      <c r="E934" s="31"/>
      <c r="F934" s="31"/>
      <c r="G934" s="31"/>
    </row>
    <row r="935" ht="15.75" customHeight="1">
      <c r="B935" s="31"/>
      <c r="C935" s="31"/>
      <c r="D935" s="31"/>
      <c r="E935" s="31"/>
      <c r="F935" s="31"/>
      <c r="G935" s="31"/>
    </row>
    <row r="936" ht="15.75" customHeight="1">
      <c r="B936" s="31"/>
      <c r="C936" s="31"/>
      <c r="D936" s="31"/>
      <c r="E936" s="31"/>
      <c r="F936" s="31"/>
      <c r="G936" s="31"/>
    </row>
    <row r="937" ht="15.75" customHeight="1">
      <c r="B937" s="31"/>
      <c r="C937" s="31"/>
      <c r="D937" s="31"/>
      <c r="E937" s="31"/>
      <c r="F937" s="31"/>
      <c r="G937" s="31"/>
    </row>
    <row r="938" ht="15.75" customHeight="1">
      <c r="B938" s="31"/>
      <c r="C938" s="31"/>
      <c r="D938" s="31"/>
      <c r="E938" s="31"/>
      <c r="F938" s="31"/>
      <c r="G938" s="31"/>
    </row>
    <row r="939" ht="15.75" customHeight="1">
      <c r="B939" s="31"/>
      <c r="C939" s="31"/>
      <c r="D939" s="31"/>
      <c r="E939" s="31"/>
      <c r="F939" s="31"/>
      <c r="G939" s="31"/>
    </row>
    <row r="940" ht="15.75" customHeight="1">
      <c r="B940" s="31"/>
      <c r="C940" s="31"/>
      <c r="D940" s="31"/>
      <c r="E940" s="31"/>
      <c r="F940" s="31"/>
      <c r="G940" s="31"/>
    </row>
    <row r="941" ht="15.75" customHeight="1">
      <c r="B941" s="31"/>
      <c r="C941" s="31"/>
      <c r="D941" s="31"/>
      <c r="E941" s="31"/>
      <c r="F941" s="31"/>
      <c r="G941" s="31"/>
    </row>
    <row r="942" ht="15.75" customHeight="1">
      <c r="B942" s="31"/>
      <c r="C942" s="31"/>
      <c r="D942" s="31"/>
      <c r="E942" s="31"/>
      <c r="F942" s="31"/>
      <c r="G942" s="31"/>
    </row>
    <row r="943" ht="15.75" customHeight="1">
      <c r="B943" s="31"/>
      <c r="C943" s="31"/>
      <c r="D943" s="31"/>
      <c r="E943" s="31"/>
      <c r="F943" s="31"/>
      <c r="G943" s="31"/>
    </row>
    <row r="944" ht="15.75" customHeight="1">
      <c r="B944" s="31"/>
      <c r="C944" s="31"/>
      <c r="D944" s="31"/>
      <c r="E944" s="31"/>
      <c r="F944" s="31"/>
      <c r="G944" s="31"/>
    </row>
    <row r="945" ht="15.75" customHeight="1">
      <c r="B945" s="31"/>
      <c r="C945" s="31"/>
      <c r="D945" s="31"/>
      <c r="E945" s="31"/>
      <c r="F945" s="31"/>
      <c r="G945" s="31"/>
    </row>
    <row r="946" ht="15.75" customHeight="1">
      <c r="B946" s="31"/>
      <c r="C946" s="31"/>
      <c r="D946" s="31"/>
      <c r="E946" s="31"/>
      <c r="F946" s="31"/>
      <c r="G946" s="31"/>
    </row>
    <row r="947" ht="15.75" customHeight="1">
      <c r="B947" s="31"/>
      <c r="C947" s="31"/>
      <c r="D947" s="31"/>
      <c r="E947" s="31"/>
      <c r="F947" s="31"/>
      <c r="G947" s="31"/>
    </row>
    <row r="948" ht="15.75" customHeight="1">
      <c r="B948" s="31"/>
      <c r="C948" s="31"/>
      <c r="D948" s="31"/>
      <c r="E948" s="31"/>
      <c r="F948" s="31"/>
      <c r="G948" s="31"/>
    </row>
    <row r="949" ht="15.75" customHeight="1">
      <c r="B949" s="31"/>
      <c r="C949" s="31"/>
      <c r="D949" s="31"/>
      <c r="E949" s="31"/>
      <c r="F949" s="31"/>
      <c r="G949" s="31"/>
    </row>
    <row r="950" ht="15.75" customHeight="1">
      <c r="B950" s="31"/>
      <c r="C950" s="31"/>
      <c r="D950" s="31"/>
      <c r="E950" s="31"/>
      <c r="F950" s="31"/>
      <c r="G950" s="31"/>
    </row>
    <row r="951" ht="15.75" customHeight="1">
      <c r="B951" s="31"/>
      <c r="C951" s="31"/>
      <c r="D951" s="31"/>
      <c r="E951" s="31"/>
      <c r="F951" s="31"/>
      <c r="G951" s="31"/>
    </row>
    <row r="952" ht="15.75" customHeight="1">
      <c r="B952" s="31"/>
      <c r="C952" s="31"/>
      <c r="D952" s="31"/>
      <c r="E952" s="31"/>
      <c r="F952" s="31"/>
      <c r="G952" s="31"/>
    </row>
    <row r="953" ht="15.75" customHeight="1">
      <c r="B953" s="31"/>
      <c r="C953" s="31"/>
      <c r="D953" s="31"/>
      <c r="E953" s="31"/>
      <c r="F953" s="31"/>
      <c r="G953" s="31"/>
    </row>
    <row r="954" ht="15.75" customHeight="1">
      <c r="B954" s="31"/>
      <c r="C954" s="31"/>
      <c r="D954" s="31"/>
      <c r="E954" s="31"/>
      <c r="F954" s="31"/>
      <c r="G954" s="31"/>
    </row>
    <row r="955" ht="15.75" customHeight="1">
      <c r="B955" s="31"/>
      <c r="C955" s="31"/>
      <c r="D955" s="31"/>
      <c r="E955" s="31"/>
      <c r="F955" s="31"/>
      <c r="G955" s="31"/>
    </row>
    <row r="956" ht="15.75" customHeight="1">
      <c r="B956" s="31"/>
      <c r="C956" s="31"/>
      <c r="D956" s="31"/>
      <c r="E956" s="31"/>
      <c r="F956" s="31"/>
      <c r="G956" s="31"/>
    </row>
    <row r="957" ht="15.75" customHeight="1">
      <c r="B957" s="31"/>
      <c r="C957" s="31"/>
      <c r="D957" s="31"/>
      <c r="E957" s="31"/>
      <c r="F957" s="31"/>
      <c r="G957" s="31"/>
    </row>
    <row r="958" ht="15.75" customHeight="1">
      <c r="B958" s="31"/>
      <c r="C958" s="31"/>
      <c r="D958" s="31"/>
      <c r="E958" s="31"/>
      <c r="F958" s="31"/>
      <c r="G958" s="31"/>
    </row>
    <row r="959" ht="15.75" customHeight="1">
      <c r="B959" s="31"/>
      <c r="C959" s="31"/>
      <c r="D959" s="31"/>
      <c r="E959" s="31"/>
      <c r="F959" s="31"/>
      <c r="G959" s="31"/>
    </row>
    <row r="960" ht="15.75" customHeight="1">
      <c r="B960" s="31"/>
      <c r="C960" s="31"/>
      <c r="D960" s="31"/>
      <c r="E960" s="31"/>
      <c r="F960" s="31"/>
      <c r="G960" s="31"/>
    </row>
    <row r="961" ht="15.75" customHeight="1">
      <c r="B961" s="31"/>
      <c r="C961" s="31"/>
      <c r="D961" s="31"/>
      <c r="E961" s="31"/>
      <c r="F961" s="31"/>
      <c r="G961" s="31"/>
    </row>
    <row r="962" ht="15.75" customHeight="1">
      <c r="B962" s="31"/>
      <c r="C962" s="31"/>
      <c r="D962" s="31"/>
      <c r="E962" s="31"/>
      <c r="F962" s="31"/>
      <c r="G962" s="31"/>
    </row>
    <row r="963" ht="15.75" customHeight="1">
      <c r="B963" s="31"/>
      <c r="C963" s="31"/>
      <c r="D963" s="31"/>
      <c r="E963" s="31"/>
      <c r="F963" s="31"/>
      <c r="G963" s="31"/>
    </row>
    <row r="964" ht="15.75" customHeight="1">
      <c r="B964" s="31"/>
      <c r="C964" s="31"/>
      <c r="D964" s="31"/>
      <c r="E964" s="31"/>
      <c r="F964" s="31"/>
      <c r="G964" s="31"/>
    </row>
    <row r="965" ht="15.75" customHeight="1">
      <c r="B965" s="31"/>
      <c r="C965" s="31"/>
      <c r="D965" s="31"/>
      <c r="E965" s="31"/>
      <c r="F965" s="31"/>
      <c r="G965" s="31"/>
    </row>
    <row r="966" ht="15.75" customHeight="1">
      <c r="B966" s="31"/>
      <c r="C966" s="31"/>
      <c r="D966" s="31"/>
      <c r="E966" s="31"/>
      <c r="F966" s="31"/>
      <c r="G966" s="31"/>
    </row>
    <row r="967" ht="15.75" customHeight="1">
      <c r="B967" s="31"/>
      <c r="C967" s="31"/>
      <c r="D967" s="31"/>
      <c r="E967" s="31"/>
      <c r="F967" s="31"/>
      <c r="G967" s="31"/>
    </row>
    <row r="968" ht="15.75" customHeight="1">
      <c r="B968" s="31"/>
      <c r="C968" s="31"/>
      <c r="D968" s="31"/>
      <c r="E968" s="31"/>
      <c r="F968" s="31"/>
      <c r="G968" s="31"/>
    </row>
    <row r="969" ht="15.75" customHeight="1">
      <c r="B969" s="31"/>
      <c r="C969" s="31"/>
      <c r="D969" s="31"/>
      <c r="E969" s="31"/>
      <c r="F969" s="31"/>
      <c r="G969" s="31"/>
    </row>
    <row r="970" ht="15.75" customHeight="1">
      <c r="B970" s="31"/>
      <c r="C970" s="31"/>
      <c r="D970" s="31"/>
      <c r="E970" s="31"/>
      <c r="F970" s="31"/>
      <c r="G970" s="31"/>
    </row>
    <row r="971" ht="15.75" customHeight="1">
      <c r="B971" s="31"/>
      <c r="C971" s="31"/>
      <c r="D971" s="31"/>
      <c r="E971" s="31"/>
      <c r="F971" s="31"/>
      <c r="G971" s="31"/>
    </row>
    <row r="972" ht="15.75" customHeight="1">
      <c r="B972" s="31"/>
      <c r="C972" s="31"/>
      <c r="D972" s="31"/>
      <c r="E972" s="31"/>
      <c r="F972" s="31"/>
      <c r="G972" s="31"/>
    </row>
    <row r="973" ht="15.75" customHeight="1">
      <c r="B973" s="31"/>
      <c r="C973" s="31"/>
      <c r="D973" s="31"/>
      <c r="E973" s="31"/>
      <c r="F973" s="31"/>
      <c r="G973" s="31"/>
    </row>
    <row r="974" ht="15.75" customHeight="1">
      <c r="B974" s="31"/>
      <c r="C974" s="31"/>
      <c r="D974" s="31"/>
      <c r="E974" s="31"/>
      <c r="F974" s="31"/>
      <c r="G974" s="31"/>
    </row>
    <row r="975" ht="15.75" customHeight="1">
      <c r="B975" s="31"/>
      <c r="C975" s="31"/>
      <c r="D975" s="31"/>
      <c r="E975" s="31"/>
      <c r="F975" s="31"/>
      <c r="G975" s="31"/>
    </row>
    <row r="976" ht="15.75" customHeight="1">
      <c r="B976" s="31"/>
      <c r="C976" s="31"/>
      <c r="D976" s="31"/>
      <c r="E976" s="31"/>
      <c r="F976" s="31"/>
      <c r="G976" s="31"/>
    </row>
    <row r="977" ht="15.75" customHeight="1">
      <c r="B977" s="31"/>
      <c r="C977" s="31"/>
      <c r="D977" s="31"/>
      <c r="E977" s="31"/>
      <c r="F977" s="31"/>
      <c r="G977" s="31"/>
    </row>
    <row r="978" ht="15.75" customHeight="1">
      <c r="B978" s="31"/>
      <c r="C978" s="31"/>
      <c r="D978" s="31"/>
      <c r="E978" s="31"/>
      <c r="F978" s="31"/>
      <c r="G978" s="31"/>
    </row>
    <row r="979" ht="15.75" customHeight="1">
      <c r="B979" s="31"/>
      <c r="C979" s="31"/>
      <c r="D979" s="31"/>
      <c r="E979" s="31"/>
      <c r="F979" s="31"/>
      <c r="G979" s="31"/>
    </row>
    <row r="980" ht="15.75" customHeight="1">
      <c r="B980" s="31"/>
      <c r="C980" s="31"/>
      <c r="D980" s="31"/>
      <c r="E980" s="31"/>
      <c r="F980" s="31"/>
      <c r="G980" s="31"/>
    </row>
    <row r="981" ht="15.75" customHeight="1">
      <c r="B981" s="31"/>
      <c r="C981" s="31"/>
      <c r="D981" s="31"/>
      <c r="E981" s="31"/>
      <c r="F981" s="31"/>
      <c r="G981" s="31"/>
    </row>
    <row r="982" ht="15.75" customHeight="1">
      <c r="B982" s="31"/>
      <c r="C982" s="31"/>
      <c r="D982" s="31"/>
      <c r="E982" s="31"/>
      <c r="F982" s="31"/>
      <c r="G982" s="31"/>
    </row>
    <row r="983" ht="15.75" customHeight="1">
      <c r="B983" s="31"/>
      <c r="C983" s="31"/>
      <c r="D983" s="31"/>
      <c r="E983" s="31"/>
      <c r="F983" s="31"/>
      <c r="G983" s="31"/>
    </row>
    <row r="984" ht="15.75" customHeight="1">
      <c r="B984" s="31"/>
      <c r="C984" s="31"/>
      <c r="D984" s="31"/>
      <c r="E984" s="31"/>
      <c r="F984" s="31"/>
      <c r="G984" s="31"/>
    </row>
    <row r="985" ht="15.75" customHeight="1">
      <c r="B985" s="31"/>
      <c r="C985" s="31"/>
      <c r="D985" s="31"/>
      <c r="E985" s="31"/>
      <c r="F985" s="31"/>
      <c r="G985" s="31"/>
    </row>
    <row r="986" ht="15.75" customHeight="1">
      <c r="B986" s="31"/>
      <c r="C986" s="31"/>
      <c r="D986" s="31"/>
      <c r="E986" s="31"/>
      <c r="F986" s="31"/>
      <c r="G986" s="31"/>
    </row>
    <row r="987" ht="15.75" customHeight="1">
      <c r="B987" s="31"/>
      <c r="C987" s="31"/>
      <c r="D987" s="31"/>
      <c r="E987" s="31"/>
      <c r="F987" s="31"/>
      <c r="G987" s="31"/>
    </row>
    <row r="988" ht="15.75" customHeight="1">
      <c r="B988" s="31"/>
      <c r="C988" s="31"/>
      <c r="D988" s="31"/>
      <c r="E988" s="31"/>
      <c r="F988" s="31"/>
      <c r="G988" s="31"/>
    </row>
    <row r="989" ht="15.75" customHeight="1">
      <c r="B989" s="31"/>
      <c r="C989" s="31"/>
      <c r="D989" s="31"/>
      <c r="E989" s="31"/>
      <c r="F989" s="31"/>
      <c r="G989" s="31"/>
    </row>
    <row r="990" ht="15.75" customHeight="1">
      <c r="B990" s="31"/>
      <c r="C990" s="31"/>
      <c r="D990" s="31"/>
      <c r="E990" s="31"/>
      <c r="F990" s="31"/>
      <c r="G990" s="31"/>
    </row>
    <row r="991" ht="15.75" customHeight="1">
      <c r="B991" s="31"/>
      <c r="C991" s="31"/>
      <c r="D991" s="31"/>
      <c r="E991" s="31"/>
      <c r="F991" s="31"/>
      <c r="G991" s="31"/>
    </row>
    <row r="992" ht="15.75" customHeight="1">
      <c r="B992" s="31"/>
      <c r="C992" s="31"/>
      <c r="D992" s="31"/>
      <c r="E992" s="31"/>
      <c r="F992" s="31"/>
      <c r="G992" s="31"/>
    </row>
    <row r="993" ht="15.75" customHeight="1">
      <c r="B993" s="31"/>
      <c r="C993" s="31"/>
      <c r="D993" s="31"/>
      <c r="E993" s="31"/>
      <c r="F993" s="31"/>
      <c r="G993" s="31"/>
    </row>
    <row r="994" ht="15.75" customHeight="1">
      <c r="B994" s="31"/>
      <c r="C994" s="31"/>
      <c r="D994" s="31"/>
      <c r="E994" s="31"/>
      <c r="F994" s="31"/>
      <c r="G994" s="31"/>
    </row>
    <row r="995" ht="15.75" customHeight="1">
      <c r="B995" s="31"/>
      <c r="C995" s="31"/>
      <c r="D995" s="31"/>
      <c r="E995" s="31"/>
      <c r="F995" s="31"/>
      <c r="G995" s="31"/>
    </row>
    <row r="996" ht="15.75" customHeight="1">
      <c r="B996" s="31"/>
      <c r="C996" s="31"/>
      <c r="D996" s="31"/>
      <c r="E996" s="31"/>
      <c r="F996" s="31"/>
      <c r="G996" s="31"/>
    </row>
    <row r="997" ht="15.75" customHeight="1">
      <c r="B997" s="31"/>
      <c r="C997" s="31"/>
      <c r="D997" s="31"/>
      <c r="E997" s="31"/>
      <c r="F997" s="31"/>
      <c r="G997" s="31"/>
    </row>
    <row r="998" ht="15.75" customHeight="1">
      <c r="B998" s="31"/>
      <c r="C998" s="31"/>
      <c r="D998" s="31"/>
      <c r="E998" s="31"/>
      <c r="F998" s="31"/>
      <c r="G998" s="31"/>
    </row>
    <row r="999" ht="15.75" customHeight="1">
      <c r="B999" s="31"/>
      <c r="C999" s="31"/>
      <c r="D999" s="31"/>
      <c r="E999" s="31"/>
      <c r="F999" s="31"/>
      <c r="G999" s="31"/>
    </row>
    <row r="1000" ht="15.75" customHeight="1">
      <c r="B1000" s="31"/>
      <c r="C1000" s="31"/>
      <c r="D1000" s="31"/>
      <c r="E1000" s="31"/>
      <c r="F1000" s="31"/>
      <c r="G1000" s="31"/>
    </row>
  </sheetData>
  <autoFilter ref="$A$1:$G$100"/>
  <conditionalFormatting sqref="D2:D100">
    <cfRule type="cellIs" dxfId="5" priority="1" operator="equal">
      <formula>"Major"</formula>
    </cfRule>
  </conditionalFormatting>
  <conditionalFormatting sqref="D2:D100">
    <cfRule type="cellIs" dxfId="7" priority="2" operator="equal">
      <formula>"Critical"</formula>
    </cfRule>
  </conditionalFormatting>
  <dataValidations>
    <dataValidation type="list" allowBlank="1" showErrorMessage="1" sqref="E2:E100">
      <formula1>"Open,In Progress,Retest Required,Closed,Accepted Limitation"</formula1>
    </dataValidation>
    <dataValidation type="list" allowBlank="1" showErrorMessage="1" sqref="D2:D100">
      <formula1>"Critical,Major,Minor,Cosmetic"</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1.43"/>
    <col customWidth="1" min="3" max="3" width="36.43"/>
    <col customWidth="1" min="4" max="4" width="38.86"/>
    <col customWidth="1" min="5" max="5" width="32.57"/>
    <col customWidth="1" min="6" max="6" width="17.0"/>
    <col customWidth="1" min="7" max="7" width="42.57"/>
    <col customWidth="1" min="8" max="26" width="12.57"/>
  </cols>
  <sheetData>
    <row r="1" ht="31.5" customHeight="1">
      <c r="A1" s="18" t="s">
        <v>1577</v>
      </c>
      <c r="B1" s="18" t="s">
        <v>1578</v>
      </c>
      <c r="C1" s="18" t="s">
        <v>2</v>
      </c>
      <c r="D1" s="18" t="s">
        <v>1579</v>
      </c>
      <c r="E1" s="18" t="s">
        <v>1580</v>
      </c>
      <c r="F1" s="18" t="s">
        <v>1581</v>
      </c>
      <c r="G1" s="18" t="s">
        <v>79</v>
      </c>
    </row>
    <row r="2" ht="23.25" customHeight="1">
      <c r="A2" s="77" t="s">
        <v>1582</v>
      </c>
      <c r="B2" s="77" t="s">
        <v>1583</v>
      </c>
      <c r="C2" s="77" t="s">
        <v>1584</v>
      </c>
      <c r="D2" s="77" t="s">
        <v>1585</v>
      </c>
      <c r="E2" s="77" t="s">
        <v>1586</v>
      </c>
      <c r="F2" s="77" t="s">
        <v>1587</v>
      </c>
      <c r="G2" s="77" t="s">
        <v>1588</v>
      </c>
    </row>
    <row r="3" ht="23.25" customHeight="1">
      <c r="A3" s="76" t="s">
        <v>1582</v>
      </c>
      <c r="B3" s="76" t="s">
        <v>1589</v>
      </c>
      <c r="C3" s="76" t="s">
        <v>1590</v>
      </c>
      <c r="D3" s="76" t="s">
        <v>1591</v>
      </c>
      <c r="E3" s="76" t="s">
        <v>1586</v>
      </c>
      <c r="F3" s="76" t="s">
        <v>1587</v>
      </c>
      <c r="G3" s="76" t="s">
        <v>1588</v>
      </c>
    </row>
    <row r="4" ht="23.25" customHeight="1">
      <c r="A4" s="77" t="s">
        <v>1582</v>
      </c>
      <c r="B4" s="77" t="s">
        <v>1592</v>
      </c>
      <c r="C4" s="77" t="s">
        <v>1593</v>
      </c>
      <c r="D4" s="77" t="s">
        <v>1472</v>
      </c>
      <c r="E4" s="77" t="s">
        <v>1586</v>
      </c>
      <c r="F4" s="77" t="s">
        <v>1587</v>
      </c>
      <c r="G4" s="77" t="s">
        <v>1588</v>
      </c>
    </row>
    <row r="5" ht="23.25" customHeight="1">
      <c r="A5" s="76" t="s">
        <v>1582</v>
      </c>
      <c r="B5" s="76" t="s">
        <v>1594</v>
      </c>
      <c r="C5" s="76" t="s">
        <v>1595</v>
      </c>
      <c r="D5" s="76" t="s">
        <v>1422</v>
      </c>
      <c r="E5" s="76" t="s">
        <v>1586</v>
      </c>
      <c r="F5" s="76" t="s">
        <v>1587</v>
      </c>
      <c r="G5" s="76" t="s">
        <v>1588</v>
      </c>
    </row>
    <row r="6" ht="23.25" customHeight="1">
      <c r="A6" s="77" t="s">
        <v>1582</v>
      </c>
      <c r="B6" s="77" t="s">
        <v>1596</v>
      </c>
      <c r="C6" s="77" t="s">
        <v>1597</v>
      </c>
      <c r="D6" s="77" t="s">
        <v>1422</v>
      </c>
      <c r="E6" s="77" t="s">
        <v>1586</v>
      </c>
      <c r="F6" s="77" t="s">
        <v>1587</v>
      </c>
      <c r="G6" s="77" t="s">
        <v>1588</v>
      </c>
    </row>
    <row r="7" ht="23.25" customHeight="1">
      <c r="A7" s="76" t="s">
        <v>1582</v>
      </c>
      <c r="B7" s="76" t="s">
        <v>1598</v>
      </c>
      <c r="C7" s="76" t="s">
        <v>1599</v>
      </c>
      <c r="D7" s="76" t="s">
        <v>1422</v>
      </c>
      <c r="E7" s="76" t="s">
        <v>1586</v>
      </c>
      <c r="F7" s="76" t="s">
        <v>1587</v>
      </c>
      <c r="G7" s="76" t="s">
        <v>1588</v>
      </c>
    </row>
    <row r="8" ht="45.75" customHeight="1">
      <c r="A8" s="77" t="s">
        <v>1582</v>
      </c>
      <c r="B8" s="77" t="s">
        <v>1600</v>
      </c>
      <c r="C8" s="77" t="s">
        <v>1601</v>
      </c>
      <c r="D8" s="78" t="s">
        <v>1602</v>
      </c>
      <c r="E8" s="78" t="s">
        <v>1586</v>
      </c>
      <c r="F8" s="78" t="s">
        <v>1587</v>
      </c>
      <c r="G8" s="78" t="s">
        <v>1603</v>
      </c>
    </row>
    <row r="9" ht="23.25" customHeight="1">
      <c r="A9" s="76" t="s">
        <v>1582</v>
      </c>
      <c r="B9" s="76" t="s">
        <v>1604</v>
      </c>
      <c r="C9" s="76" t="s">
        <v>1605</v>
      </c>
      <c r="D9" s="76" t="s">
        <v>1410</v>
      </c>
      <c r="E9" s="76" t="s">
        <v>1586</v>
      </c>
      <c r="F9" s="76" t="s">
        <v>1587</v>
      </c>
      <c r="G9" s="76" t="s">
        <v>1588</v>
      </c>
    </row>
    <row r="10" ht="23.25" customHeight="1">
      <c r="A10" s="77" t="s">
        <v>1582</v>
      </c>
      <c r="B10" s="77" t="s">
        <v>1606</v>
      </c>
      <c r="C10" s="77" t="s">
        <v>1607</v>
      </c>
      <c r="D10" s="77" t="s">
        <v>1608</v>
      </c>
      <c r="E10" s="77" t="s">
        <v>1586</v>
      </c>
      <c r="F10" s="77" t="s">
        <v>1587</v>
      </c>
      <c r="G10" s="77" t="s">
        <v>1588</v>
      </c>
    </row>
    <row r="11" ht="23.25" customHeight="1">
      <c r="A11" s="76" t="s">
        <v>1582</v>
      </c>
      <c r="B11" s="76" t="s">
        <v>1609</v>
      </c>
      <c r="C11" s="76" t="s">
        <v>1610</v>
      </c>
      <c r="D11" s="76" t="s">
        <v>1436</v>
      </c>
      <c r="E11" s="76" t="s">
        <v>1586</v>
      </c>
      <c r="F11" s="76" t="s">
        <v>1587</v>
      </c>
      <c r="G11" s="76" t="s">
        <v>1588</v>
      </c>
    </row>
    <row r="12" ht="23.25" customHeight="1">
      <c r="A12" s="77" t="s">
        <v>1582</v>
      </c>
      <c r="B12" s="77" t="s">
        <v>1611</v>
      </c>
      <c r="C12" s="77" t="s">
        <v>1612</v>
      </c>
      <c r="D12" s="77" t="s">
        <v>1613</v>
      </c>
      <c r="E12" s="77" t="s">
        <v>1586</v>
      </c>
      <c r="F12" s="77" t="s">
        <v>1587</v>
      </c>
      <c r="G12" s="77" t="s">
        <v>1588</v>
      </c>
    </row>
    <row r="13" ht="23.25" customHeight="1">
      <c r="A13" s="76" t="s">
        <v>1582</v>
      </c>
      <c r="B13" s="76" t="s">
        <v>1614</v>
      </c>
      <c r="C13" s="76" t="s">
        <v>1615</v>
      </c>
      <c r="D13" s="76" t="s">
        <v>1616</v>
      </c>
      <c r="E13" s="76" t="s">
        <v>1586</v>
      </c>
      <c r="F13" s="76" t="s">
        <v>1587</v>
      </c>
      <c r="G13" s="76" t="s">
        <v>1588</v>
      </c>
    </row>
    <row r="14" ht="23.25" customHeight="1">
      <c r="A14" s="77" t="s">
        <v>1582</v>
      </c>
      <c r="B14" s="77" t="s">
        <v>1617</v>
      </c>
      <c r="C14" s="77" t="s">
        <v>1618</v>
      </c>
      <c r="D14" s="77" t="s">
        <v>1619</v>
      </c>
      <c r="E14" s="77" t="s">
        <v>1586</v>
      </c>
      <c r="F14" s="77" t="s">
        <v>1587</v>
      </c>
      <c r="G14" s="77" t="s">
        <v>1588</v>
      </c>
    </row>
    <row r="15" ht="23.25" customHeight="1">
      <c r="A15" s="76" t="s">
        <v>1582</v>
      </c>
      <c r="B15" s="76" t="s">
        <v>1620</v>
      </c>
      <c r="C15" s="76" t="s">
        <v>1621</v>
      </c>
      <c r="D15" s="76" t="s">
        <v>1622</v>
      </c>
      <c r="E15" s="76" t="s">
        <v>1586</v>
      </c>
      <c r="F15" s="76" t="s">
        <v>1587</v>
      </c>
      <c r="G15" s="76" t="s">
        <v>1588</v>
      </c>
    </row>
    <row r="16" ht="23.25" customHeight="1">
      <c r="A16" s="77" t="s">
        <v>1582</v>
      </c>
      <c r="B16" s="77" t="s">
        <v>1623</v>
      </c>
      <c r="C16" s="77" t="s">
        <v>1624</v>
      </c>
      <c r="D16" s="77" t="s">
        <v>1622</v>
      </c>
      <c r="E16" s="77" t="s">
        <v>1586</v>
      </c>
      <c r="F16" s="77" t="s">
        <v>1587</v>
      </c>
      <c r="G16" s="77" t="s">
        <v>1588</v>
      </c>
    </row>
    <row r="17" ht="34.5" customHeight="1">
      <c r="A17" s="76" t="s">
        <v>1582</v>
      </c>
      <c r="B17" s="76" t="s">
        <v>1625</v>
      </c>
      <c r="C17" s="76" t="s">
        <v>1626</v>
      </c>
      <c r="D17" s="76" t="s">
        <v>1466</v>
      </c>
      <c r="E17" s="76" t="s">
        <v>1586</v>
      </c>
      <c r="F17" s="76" t="s">
        <v>1587</v>
      </c>
      <c r="G17" s="76" t="s">
        <v>1627</v>
      </c>
    </row>
    <row r="18" ht="23.25" customHeight="1">
      <c r="A18" s="77" t="s">
        <v>1582</v>
      </c>
      <c r="B18" s="77" t="s">
        <v>1628</v>
      </c>
      <c r="C18" s="77" t="s">
        <v>1629</v>
      </c>
      <c r="D18" s="77" t="s">
        <v>1454</v>
      </c>
      <c r="E18" s="77" t="s">
        <v>1586</v>
      </c>
      <c r="F18" s="77" t="s">
        <v>1587</v>
      </c>
      <c r="G18" s="77" t="s">
        <v>1588</v>
      </c>
    </row>
    <row r="19" ht="23.25" customHeight="1">
      <c r="A19" s="76" t="s">
        <v>1582</v>
      </c>
      <c r="B19" s="76" t="s">
        <v>1630</v>
      </c>
      <c r="C19" s="76" t="s">
        <v>1631</v>
      </c>
      <c r="D19" s="76" t="s">
        <v>1454</v>
      </c>
      <c r="E19" s="76" t="s">
        <v>1586</v>
      </c>
      <c r="F19" s="76" t="s">
        <v>1587</v>
      </c>
      <c r="G19" s="76" t="s">
        <v>1588</v>
      </c>
    </row>
    <row r="20" ht="34.5" customHeight="1">
      <c r="A20" s="77" t="s">
        <v>1582</v>
      </c>
      <c r="B20" s="77" t="s">
        <v>1632</v>
      </c>
      <c r="C20" s="77" t="s">
        <v>1633</v>
      </c>
      <c r="D20" s="78" t="s">
        <v>1634</v>
      </c>
      <c r="E20" s="78" t="s">
        <v>1586</v>
      </c>
      <c r="F20" s="78" t="s">
        <v>1587</v>
      </c>
      <c r="G20" s="78" t="s">
        <v>1635</v>
      </c>
    </row>
    <row r="21" ht="23.25" customHeight="1">
      <c r="A21" s="76" t="s">
        <v>1582</v>
      </c>
      <c r="B21" s="76" t="s">
        <v>1636</v>
      </c>
      <c r="C21" s="76" t="s">
        <v>1637</v>
      </c>
      <c r="D21" s="76" t="s">
        <v>1490</v>
      </c>
      <c r="E21" s="76" t="s">
        <v>1586</v>
      </c>
      <c r="F21" s="76" t="s">
        <v>1587</v>
      </c>
      <c r="G21" s="76" t="s">
        <v>1588</v>
      </c>
    </row>
    <row r="22" ht="23.25" customHeight="1">
      <c r="A22" s="77" t="s">
        <v>1638</v>
      </c>
      <c r="B22" s="77" t="s">
        <v>1639</v>
      </c>
      <c r="C22" s="77" t="s">
        <v>1640</v>
      </c>
      <c r="D22" s="77" t="s">
        <v>240</v>
      </c>
      <c r="E22" s="77" t="s">
        <v>1641</v>
      </c>
      <c r="F22" s="77" t="s">
        <v>1587</v>
      </c>
      <c r="G22" s="77" t="s">
        <v>1642</v>
      </c>
    </row>
    <row r="23" ht="23.25" customHeight="1">
      <c r="A23" s="76" t="s">
        <v>1638</v>
      </c>
      <c r="B23" s="76" t="s">
        <v>1643</v>
      </c>
      <c r="C23" s="76" t="s">
        <v>1644</v>
      </c>
      <c r="D23" s="76" t="s">
        <v>278</v>
      </c>
      <c r="E23" s="76" t="s">
        <v>1641</v>
      </c>
      <c r="F23" s="76" t="s">
        <v>1587</v>
      </c>
      <c r="G23" s="76" t="s">
        <v>1642</v>
      </c>
    </row>
    <row r="24" ht="23.25" customHeight="1">
      <c r="A24" s="77" t="s">
        <v>1638</v>
      </c>
      <c r="B24" s="77" t="s">
        <v>1645</v>
      </c>
      <c r="C24" s="77" t="s">
        <v>1646</v>
      </c>
      <c r="D24" s="77" t="s">
        <v>278</v>
      </c>
      <c r="E24" s="77" t="s">
        <v>1641</v>
      </c>
      <c r="F24" s="77" t="s">
        <v>1587</v>
      </c>
      <c r="G24" s="77" t="s">
        <v>1642</v>
      </c>
    </row>
    <row r="25" ht="23.25" customHeight="1">
      <c r="A25" s="76" t="s">
        <v>1638</v>
      </c>
      <c r="B25" s="76" t="s">
        <v>1647</v>
      </c>
      <c r="C25" s="76" t="s">
        <v>1648</v>
      </c>
      <c r="D25" s="76" t="s">
        <v>1649</v>
      </c>
      <c r="E25" s="76" t="s">
        <v>1641</v>
      </c>
      <c r="F25" s="76" t="s">
        <v>1587</v>
      </c>
      <c r="G25" s="76" t="s">
        <v>1642</v>
      </c>
    </row>
    <row r="26" ht="23.25" customHeight="1">
      <c r="A26" s="77" t="s">
        <v>1638</v>
      </c>
      <c r="B26" s="77" t="s">
        <v>1650</v>
      </c>
      <c r="C26" s="77" t="s">
        <v>1651</v>
      </c>
      <c r="D26" s="77" t="s">
        <v>1652</v>
      </c>
      <c r="E26" s="77" t="s">
        <v>1641</v>
      </c>
      <c r="F26" s="77" t="s">
        <v>1587</v>
      </c>
      <c r="G26" s="77" t="s">
        <v>1642</v>
      </c>
    </row>
    <row r="27" ht="23.25" customHeight="1">
      <c r="A27" s="76" t="s">
        <v>1638</v>
      </c>
      <c r="B27" s="76" t="s">
        <v>1653</v>
      </c>
      <c r="C27" s="76" t="s">
        <v>1654</v>
      </c>
      <c r="D27" s="76" t="s">
        <v>278</v>
      </c>
      <c r="E27" s="76" t="s">
        <v>1641</v>
      </c>
      <c r="F27" s="76" t="s">
        <v>1587</v>
      </c>
      <c r="G27" s="76" t="s">
        <v>1642</v>
      </c>
    </row>
    <row r="28" ht="23.25" customHeight="1">
      <c r="A28" s="77" t="s">
        <v>1638</v>
      </c>
      <c r="B28" s="77" t="s">
        <v>1655</v>
      </c>
      <c r="C28" s="77" t="s">
        <v>1656</v>
      </c>
      <c r="D28" s="77" t="s">
        <v>278</v>
      </c>
      <c r="E28" s="77" t="s">
        <v>1641</v>
      </c>
      <c r="F28" s="77" t="s">
        <v>1587</v>
      </c>
      <c r="G28" s="77" t="s">
        <v>1642</v>
      </c>
    </row>
    <row r="29" ht="23.25" customHeight="1">
      <c r="A29" s="76" t="s">
        <v>1638</v>
      </c>
      <c r="B29" s="76" t="s">
        <v>1657</v>
      </c>
      <c r="C29" s="76" t="s">
        <v>1658</v>
      </c>
      <c r="D29" s="76" t="s">
        <v>278</v>
      </c>
      <c r="E29" s="76" t="s">
        <v>1641</v>
      </c>
      <c r="F29" s="76" t="s">
        <v>1587</v>
      </c>
      <c r="G29" s="76" t="s">
        <v>1642</v>
      </c>
    </row>
    <row r="30" ht="102.0" customHeight="1">
      <c r="A30" s="77" t="s">
        <v>1638</v>
      </c>
      <c r="B30" s="77" t="s">
        <v>1659</v>
      </c>
      <c r="C30" s="77" t="s">
        <v>1660</v>
      </c>
      <c r="D30" s="78" t="s">
        <v>1661</v>
      </c>
      <c r="E30" s="78" t="s">
        <v>1662</v>
      </c>
      <c r="F30" s="78" t="s">
        <v>1587</v>
      </c>
      <c r="G30" s="78" t="s">
        <v>1663</v>
      </c>
    </row>
    <row r="31" ht="23.25" customHeight="1">
      <c r="A31" s="77" t="s">
        <v>1638</v>
      </c>
      <c r="B31" s="77" t="s">
        <v>1664</v>
      </c>
      <c r="C31" s="77" t="s">
        <v>1665</v>
      </c>
      <c r="D31" s="77" t="s">
        <v>1666</v>
      </c>
      <c r="E31" s="77" t="s">
        <v>1667</v>
      </c>
      <c r="F31" s="77" t="s">
        <v>1587</v>
      </c>
      <c r="G31" s="77" t="s">
        <v>1668</v>
      </c>
    </row>
    <row r="32" ht="23.25" customHeight="1">
      <c r="A32" s="76" t="s">
        <v>1638</v>
      </c>
      <c r="B32" s="76" t="s">
        <v>1669</v>
      </c>
      <c r="C32" s="76" t="s">
        <v>1670</v>
      </c>
      <c r="D32" s="76" t="s">
        <v>1671</v>
      </c>
      <c r="E32" s="76" t="s">
        <v>1667</v>
      </c>
      <c r="F32" s="76" t="s">
        <v>1587</v>
      </c>
      <c r="G32" s="76" t="s">
        <v>1668</v>
      </c>
    </row>
    <row r="33" ht="23.25" customHeight="1">
      <c r="A33" s="77" t="s">
        <v>1638</v>
      </c>
      <c r="B33" s="77" t="s">
        <v>1672</v>
      </c>
      <c r="C33" s="77" t="s">
        <v>1673</v>
      </c>
      <c r="D33" s="77" t="s">
        <v>317</v>
      </c>
      <c r="E33" s="77" t="s">
        <v>1641</v>
      </c>
      <c r="F33" s="77" t="s">
        <v>1587</v>
      </c>
      <c r="G33" s="77" t="s">
        <v>1642</v>
      </c>
    </row>
    <row r="34" ht="23.25" customHeight="1">
      <c r="A34" s="76" t="s">
        <v>1638</v>
      </c>
      <c r="B34" s="76" t="s">
        <v>1674</v>
      </c>
      <c r="C34" s="76" t="s">
        <v>1675</v>
      </c>
      <c r="D34" s="76" t="s">
        <v>317</v>
      </c>
      <c r="E34" s="76" t="s">
        <v>1641</v>
      </c>
      <c r="F34" s="76" t="s">
        <v>1587</v>
      </c>
      <c r="G34" s="76" t="s">
        <v>1642</v>
      </c>
    </row>
    <row r="35" ht="23.25" customHeight="1">
      <c r="A35" s="77" t="s">
        <v>1638</v>
      </c>
      <c r="B35" s="77" t="s">
        <v>1676</v>
      </c>
      <c r="C35" s="77" t="s">
        <v>1677</v>
      </c>
      <c r="D35" s="77" t="s">
        <v>317</v>
      </c>
      <c r="E35" s="77" t="s">
        <v>1641</v>
      </c>
      <c r="F35" s="77" t="s">
        <v>1587</v>
      </c>
      <c r="G35" s="77" t="s">
        <v>1642</v>
      </c>
    </row>
    <row r="36" ht="23.25" customHeight="1">
      <c r="A36" s="76" t="s">
        <v>1638</v>
      </c>
      <c r="B36" s="76" t="s">
        <v>1678</v>
      </c>
      <c r="C36" s="76" t="s">
        <v>1679</v>
      </c>
      <c r="D36" s="76" t="s">
        <v>317</v>
      </c>
      <c r="E36" s="76" t="s">
        <v>1641</v>
      </c>
      <c r="F36" s="76" t="s">
        <v>1587</v>
      </c>
      <c r="G36" s="76" t="s">
        <v>1642</v>
      </c>
    </row>
    <row r="37" ht="34.5" customHeight="1">
      <c r="A37" s="77" t="s">
        <v>1638</v>
      </c>
      <c r="B37" s="77" t="s">
        <v>1680</v>
      </c>
      <c r="C37" s="77" t="s">
        <v>1681</v>
      </c>
      <c r="D37" s="78" t="s">
        <v>1448</v>
      </c>
      <c r="E37" s="78" t="s">
        <v>1667</v>
      </c>
      <c r="F37" s="78" t="s">
        <v>1587</v>
      </c>
      <c r="G37" s="78" t="s">
        <v>1682</v>
      </c>
    </row>
    <row r="38" ht="79.5" customHeight="1">
      <c r="A38" s="76" t="s">
        <v>1638</v>
      </c>
      <c r="B38" s="76" t="s">
        <v>1683</v>
      </c>
      <c r="C38" s="76" t="s">
        <v>1684</v>
      </c>
      <c r="D38" s="78" t="s">
        <v>1685</v>
      </c>
      <c r="E38" s="78" t="s">
        <v>1686</v>
      </c>
      <c r="F38" s="78" t="s">
        <v>1587</v>
      </c>
      <c r="G38" s="78" t="s">
        <v>1687</v>
      </c>
    </row>
    <row r="39" ht="23.25" customHeight="1">
      <c r="A39" s="77" t="s">
        <v>1638</v>
      </c>
      <c r="B39" s="77" t="s">
        <v>1688</v>
      </c>
      <c r="C39" s="77" t="s">
        <v>1689</v>
      </c>
      <c r="D39" s="77" t="s">
        <v>392</v>
      </c>
      <c r="E39" s="77"/>
      <c r="F39" s="77" t="s">
        <v>1587</v>
      </c>
      <c r="G39" s="77" t="s">
        <v>1642</v>
      </c>
    </row>
    <row r="40" ht="23.25" customHeight="1">
      <c r="A40" s="76" t="s">
        <v>1638</v>
      </c>
      <c r="B40" s="76" t="s">
        <v>1690</v>
      </c>
      <c r="C40" s="76" t="s">
        <v>1691</v>
      </c>
      <c r="D40" s="76" t="s">
        <v>392</v>
      </c>
      <c r="E40" s="76" t="s">
        <v>1641</v>
      </c>
      <c r="F40" s="76" t="s">
        <v>1587</v>
      </c>
      <c r="G40" s="76" t="s">
        <v>1642</v>
      </c>
    </row>
    <row r="41" ht="23.25" customHeight="1">
      <c r="A41" s="77" t="s">
        <v>1638</v>
      </c>
      <c r="B41" s="77" t="s">
        <v>1692</v>
      </c>
      <c r="C41" s="77" t="s">
        <v>1693</v>
      </c>
      <c r="D41" s="77" t="s">
        <v>1694</v>
      </c>
      <c r="E41" s="77" t="s">
        <v>1667</v>
      </c>
      <c r="F41" s="77" t="s">
        <v>1587</v>
      </c>
      <c r="G41" s="77" t="s">
        <v>1668</v>
      </c>
    </row>
    <row r="42" ht="23.25" customHeight="1">
      <c r="A42" s="76" t="s">
        <v>1638</v>
      </c>
      <c r="B42" s="76" t="s">
        <v>1695</v>
      </c>
      <c r="C42" s="76" t="s">
        <v>1696</v>
      </c>
      <c r="D42" s="76" t="s">
        <v>1697</v>
      </c>
      <c r="E42" s="76" t="s">
        <v>1641</v>
      </c>
      <c r="F42" s="76" t="s">
        <v>1587</v>
      </c>
      <c r="G42" s="76" t="s">
        <v>1642</v>
      </c>
    </row>
    <row r="43" ht="23.25" customHeight="1">
      <c r="A43" s="77" t="s">
        <v>1530</v>
      </c>
      <c r="B43" s="77" t="s">
        <v>1698</v>
      </c>
      <c r="C43" s="77" t="s">
        <v>1699</v>
      </c>
      <c r="D43" s="77" t="s">
        <v>1700</v>
      </c>
      <c r="E43" s="77" t="s">
        <v>1701</v>
      </c>
      <c r="F43" s="77" t="s">
        <v>1587</v>
      </c>
      <c r="G43" s="77" t="s">
        <v>1702</v>
      </c>
    </row>
    <row r="44" ht="23.25" customHeight="1">
      <c r="A44" s="76" t="s">
        <v>1530</v>
      </c>
      <c r="B44" s="76" t="s">
        <v>1703</v>
      </c>
      <c r="C44" s="76" t="s">
        <v>1704</v>
      </c>
      <c r="D44" s="76" t="s">
        <v>1533</v>
      </c>
      <c r="E44" s="76" t="s">
        <v>1705</v>
      </c>
      <c r="F44" s="76" t="s">
        <v>1706</v>
      </c>
      <c r="G44" s="76" t="s">
        <v>1707</v>
      </c>
    </row>
    <row r="45" ht="15.0" customHeight="1">
      <c r="A45" s="17"/>
      <c r="B45" s="17"/>
      <c r="C45" s="17"/>
      <c r="D45" s="17"/>
      <c r="E45" s="17"/>
      <c r="F45" s="17"/>
      <c r="G45" s="17"/>
    </row>
    <row r="46" ht="15.0" customHeight="1">
      <c r="A46" s="17"/>
      <c r="B46" s="17"/>
      <c r="C46" s="17"/>
      <c r="D46" s="17"/>
      <c r="E46" s="17"/>
      <c r="F46" s="17"/>
      <c r="G46" s="17"/>
    </row>
    <row r="47" ht="15.0" customHeight="1">
      <c r="A47" s="17"/>
      <c r="B47" s="17"/>
      <c r="C47" s="17"/>
      <c r="D47" s="17"/>
      <c r="E47" s="17"/>
      <c r="F47" s="17"/>
      <c r="G47" s="17"/>
    </row>
    <row r="48" ht="15.0" customHeight="1">
      <c r="A48" s="17"/>
      <c r="B48" s="17"/>
      <c r="C48" s="17"/>
      <c r="D48" s="17"/>
      <c r="E48" s="17"/>
      <c r="F48" s="17"/>
      <c r="G48" s="17"/>
    </row>
    <row r="49" ht="15.0" customHeight="1">
      <c r="A49" s="17"/>
      <c r="B49" s="17"/>
      <c r="C49" s="17"/>
      <c r="D49" s="17"/>
      <c r="E49" s="17"/>
      <c r="F49" s="17"/>
      <c r="G49" s="17"/>
    </row>
    <row r="50" ht="15.0" customHeight="1">
      <c r="A50" s="17"/>
      <c r="B50" s="17"/>
      <c r="C50" s="17"/>
      <c r="D50" s="17"/>
      <c r="E50" s="17"/>
      <c r="F50" s="17"/>
      <c r="G50" s="17"/>
    </row>
    <row r="51" ht="15.0" customHeight="1">
      <c r="A51" s="17"/>
      <c r="B51" s="17"/>
      <c r="C51" s="17"/>
      <c r="D51" s="17"/>
      <c r="E51" s="17"/>
      <c r="F51" s="17"/>
      <c r="G51" s="17"/>
    </row>
    <row r="52" ht="15.0" customHeight="1">
      <c r="A52" s="17"/>
      <c r="B52" s="17"/>
      <c r="C52" s="17"/>
      <c r="D52" s="17"/>
      <c r="E52" s="17"/>
      <c r="F52" s="17"/>
      <c r="G52" s="17"/>
    </row>
    <row r="53" ht="15.0" customHeight="1">
      <c r="A53" s="17"/>
      <c r="B53" s="17"/>
      <c r="C53" s="17"/>
      <c r="D53" s="17"/>
      <c r="E53" s="17"/>
      <c r="F53" s="17"/>
      <c r="G53" s="17"/>
    </row>
    <row r="54" ht="15.0" customHeight="1">
      <c r="A54" s="17"/>
      <c r="B54" s="17"/>
      <c r="C54" s="17"/>
      <c r="D54" s="17"/>
      <c r="E54" s="17"/>
      <c r="F54" s="17"/>
      <c r="G54" s="17"/>
    </row>
    <row r="55" ht="15.0" customHeight="1">
      <c r="A55" s="17"/>
      <c r="B55" s="17"/>
      <c r="C55" s="17"/>
      <c r="D55" s="17"/>
      <c r="E55" s="17"/>
      <c r="F55" s="17"/>
      <c r="G55" s="17"/>
    </row>
    <row r="56" ht="15.0" customHeight="1">
      <c r="A56" s="17"/>
      <c r="B56" s="17"/>
      <c r="C56" s="17"/>
      <c r="D56" s="17"/>
      <c r="E56" s="17"/>
      <c r="F56" s="17"/>
      <c r="G56" s="17"/>
    </row>
    <row r="57" ht="15.0" customHeight="1">
      <c r="A57" s="17"/>
      <c r="B57" s="17"/>
      <c r="C57" s="17"/>
      <c r="D57" s="17"/>
      <c r="E57" s="17"/>
      <c r="F57" s="17"/>
      <c r="G57" s="17"/>
    </row>
    <row r="58" ht="15.0" customHeight="1">
      <c r="A58" s="17"/>
      <c r="B58" s="17"/>
      <c r="C58" s="17"/>
      <c r="D58" s="17"/>
      <c r="E58" s="17"/>
      <c r="F58" s="17"/>
      <c r="G58" s="17"/>
    </row>
    <row r="59" ht="15.0" customHeight="1">
      <c r="A59" s="17"/>
      <c r="B59" s="17"/>
      <c r="C59" s="17"/>
      <c r="D59" s="17"/>
      <c r="E59" s="17"/>
      <c r="F59" s="17"/>
      <c r="G59" s="17"/>
    </row>
    <row r="60" ht="15.0" customHeight="1">
      <c r="A60" s="17"/>
      <c r="B60" s="17"/>
      <c r="C60" s="17"/>
      <c r="D60" s="17"/>
      <c r="E60" s="17"/>
      <c r="F60" s="17"/>
      <c r="G60" s="17"/>
    </row>
    <row r="61" ht="15.0" customHeight="1">
      <c r="A61" s="17"/>
      <c r="B61" s="17"/>
      <c r="C61" s="17"/>
      <c r="D61" s="17"/>
      <c r="E61" s="17"/>
      <c r="F61" s="17"/>
      <c r="G61" s="17"/>
    </row>
    <row r="62" ht="15.0" customHeight="1">
      <c r="A62" s="17"/>
      <c r="B62" s="17"/>
      <c r="C62" s="17"/>
      <c r="D62" s="17"/>
      <c r="E62" s="17"/>
      <c r="F62" s="17"/>
      <c r="G62" s="17"/>
    </row>
    <row r="63" ht="15.0" customHeight="1">
      <c r="A63" s="17"/>
      <c r="B63" s="17"/>
      <c r="C63" s="17"/>
      <c r="D63" s="17"/>
      <c r="E63" s="17"/>
      <c r="F63" s="17"/>
      <c r="G63" s="17"/>
    </row>
    <row r="64" ht="15.0" customHeight="1">
      <c r="A64" s="17"/>
      <c r="B64" s="17"/>
      <c r="C64" s="17"/>
      <c r="D64" s="17"/>
      <c r="E64" s="17"/>
      <c r="F64" s="17"/>
      <c r="G64" s="17"/>
    </row>
    <row r="65" ht="15.0" customHeight="1">
      <c r="A65" s="17"/>
      <c r="B65" s="17"/>
      <c r="C65" s="17"/>
      <c r="D65" s="17"/>
      <c r="E65" s="17"/>
      <c r="F65" s="17"/>
      <c r="G65" s="17"/>
    </row>
    <row r="66" ht="15.0" customHeight="1">
      <c r="A66" s="17"/>
      <c r="B66" s="17"/>
      <c r="C66" s="17"/>
      <c r="D66" s="17"/>
      <c r="E66" s="17"/>
      <c r="F66" s="17"/>
      <c r="G66" s="17"/>
    </row>
    <row r="67" ht="15.0" customHeight="1">
      <c r="A67" s="17"/>
      <c r="B67" s="17"/>
      <c r="C67" s="17"/>
      <c r="D67" s="17"/>
      <c r="E67" s="17"/>
      <c r="F67" s="17"/>
      <c r="G67" s="17"/>
    </row>
    <row r="68" ht="15.0" customHeight="1">
      <c r="A68" s="17"/>
      <c r="B68" s="17"/>
      <c r="C68" s="17"/>
      <c r="D68" s="17"/>
      <c r="E68" s="17"/>
      <c r="F68" s="17"/>
      <c r="G68" s="17"/>
    </row>
    <row r="69" ht="15.0" customHeight="1">
      <c r="A69" s="17"/>
      <c r="B69" s="17"/>
      <c r="C69" s="17"/>
      <c r="D69" s="17"/>
      <c r="E69" s="17"/>
      <c r="F69" s="17"/>
      <c r="G69" s="17"/>
    </row>
    <row r="70" ht="15.0" customHeight="1">
      <c r="A70" s="17"/>
      <c r="B70" s="17"/>
      <c r="C70" s="17"/>
      <c r="D70" s="17"/>
      <c r="E70" s="17"/>
      <c r="F70" s="17"/>
      <c r="G70" s="17"/>
    </row>
    <row r="71" ht="15.0" customHeight="1">
      <c r="A71" s="17"/>
      <c r="B71" s="17"/>
      <c r="C71" s="17"/>
      <c r="D71" s="17"/>
      <c r="E71" s="17"/>
      <c r="F71" s="17"/>
      <c r="G71" s="17"/>
    </row>
    <row r="72" ht="15.0" customHeight="1">
      <c r="A72" s="17"/>
      <c r="B72" s="17"/>
      <c r="C72" s="17"/>
      <c r="D72" s="17"/>
      <c r="E72" s="17"/>
      <c r="F72" s="17"/>
      <c r="G72" s="17"/>
    </row>
    <row r="73" ht="15.0" customHeight="1">
      <c r="A73" s="17"/>
      <c r="B73" s="17"/>
      <c r="C73" s="17"/>
      <c r="D73" s="17"/>
      <c r="E73" s="17"/>
      <c r="F73" s="17"/>
      <c r="G73" s="17"/>
    </row>
    <row r="74" ht="15.0" customHeight="1">
      <c r="A74" s="17"/>
      <c r="B74" s="17"/>
      <c r="C74" s="17"/>
      <c r="D74" s="17"/>
      <c r="E74" s="17"/>
      <c r="F74" s="17"/>
      <c r="G74" s="17"/>
    </row>
    <row r="75" ht="15.0" customHeight="1">
      <c r="A75" s="17"/>
      <c r="B75" s="17"/>
      <c r="C75" s="17"/>
      <c r="D75" s="17"/>
      <c r="E75" s="17"/>
      <c r="F75" s="17"/>
      <c r="G75" s="17"/>
    </row>
    <row r="76" ht="15.0" customHeight="1">
      <c r="A76" s="17"/>
      <c r="B76" s="17"/>
      <c r="C76" s="17"/>
      <c r="D76" s="17"/>
      <c r="E76" s="17"/>
      <c r="F76" s="17"/>
      <c r="G76" s="17"/>
    </row>
    <row r="77" ht="15.0" customHeight="1">
      <c r="A77" s="17"/>
      <c r="B77" s="17"/>
      <c r="C77" s="17"/>
      <c r="D77" s="17"/>
      <c r="E77" s="17"/>
      <c r="F77" s="17"/>
      <c r="G77" s="17"/>
    </row>
    <row r="78" ht="15.0" customHeight="1">
      <c r="A78" s="17"/>
      <c r="B78" s="17"/>
      <c r="C78" s="17"/>
      <c r="D78" s="17"/>
      <c r="E78" s="17"/>
      <c r="F78" s="17"/>
      <c r="G78" s="17"/>
    </row>
    <row r="79" ht="15.0" customHeight="1">
      <c r="A79" s="17"/>
      <c r="B79" s="17"/>
      <c r="C79" s="17"/>
      <c r="D79" s="17"/>
      <c r="E79" s="17"/>
      <c r="F79" s="17"/>
      <c r="G79" s="17"/>
    </row>
    <row r="80" ht="15.75" customHeight="1">
      <c r="A80" s="31"/>
      <c r="B80" s="31"/>
      <c r="C80" s="31"/>
      <c r="D80" s="31"/>
      <c r="E80" s="31"/>
      <c r="F80" s="31"/>
      <c r="G80" s="31"/>
    </row>
    <row r="81" ht="15.75" customHeight="1">
      <c r="A81" s="31"/>
      <c r="B81" s="31"/>
      <c r="C81" s="31"/>
      <c r="D81" s="31"/>
      <c r="E81" s="31"/>
      <c r="F81" s="31"/>
      <c r="G81" s="31"/>
    </row>
    <row r="82" ht="15.75" customHeight="1">
      <c r="A82" s="31"/>
      <c r="B82" s="31"/>
      <c r="C82" s="31"/>
      <c r="D82" s="31"/>
      <c r="E82" s="31"/>
      <c r="F82" s="31"/>
      <c r="G82" s="31"/>
    </row>
    <row r="83" ht="15.75" customHeight="1">
      <c r="A83" s="31"/>
      <c r="B83" s="31"/>
      <c r="C83" s="31"/>
      <c r="D83" s="31"/>
      <c r="E83" s="31"/>
      <c r="F83" s="31"/>
      <c r="G83" s="31"/>
    </row>
    <row r="84" ht="15.75" customHeight="1">
      <c r="A84" s="31"/>
      <c r="B84" s="31"/>
      <c r="C84" s="31"/>
      <c r="D84" s="31"/>
      <c r="E84" s="31"/>
      <c r="F84" s="31"/>
      <c r="G84" s="31"/>
    </row>
    <row r="85" ht="15.75" customHeight="1">
      <c r="A85" s="31"/>
      <c r="B85" s="31"/>
      <c r="C85" s="31"/>
      <c r="D85" s="31"/>
      <c r="E85" s="31"/>
      <c r="F85" s="31"/>
      <c r="G85" s="31"/>
    </row>
    <row r="86" ht="15.75" customHeight="1">
      <c r="A86" s="31"/>
      <c r="B86" s="31"/>
      <c r="C86" s="31"/>
      <c r="D86" s="31"/>
      <c r="E86" s="31"/>
      <c r="F86" s="31"/>
      <c r="G86" s="31"/>
    </row>
    <row r="87" ht="15.75" customHeight="1">
      <c r="A87" s="31"/>
      <c r="B87" s="31"/>
      <c r="C87" s="31"/>
      <c r="D87" s="31"/>
      <c r="E87" s="31"/>
      <c r="F87" s="31"/>
      <c r="G87" s="31"/>
    </row>
    <row r="88" ht="15.75" customHeight="1">
      <c r="A88" s="31"/>
      <c r="B88" s="31"/>
      <c r="C88" s="31"/>
      <c r="D88" s="31"/>
      <c r="E88" s="31"/>
      <c r="F88" s="31"/>
      <c r="G88" s="31"/>
    </row>
    <row r="89" ht="15.75" customHeight="1">
      <c r="A89" s="31"/>
      <c r="B89" s="31"/>
      <c r="C89" s="31"/>
      <c r="D89" s="31"/>
      <c r="E89" s="31"/>
      <c r="F89" s="31"/>
      <c r="G89" s="31"/>
    </row>
    <row r="90" ht="15.75" customHeight="1">
      <c r="A90" s="31"/>
      <c r="B90" s="31"/>
      <c r="C90" s="31"/>
      <c r="D90" s="31"/>
      <c r="E90" s="31"/>
      <c r="F90" s="31"/>
      <c r="G90" s="31"/>
    </row>
    <row r="91" ht="15.75" customHeight="1">
      <c r="A91" s="31"/>
      <c r="B91" s="31"/>
      <c r="C91" s="31"/>
      <c r="D91" s="31"/>
      <c r="E91" s="31"/>
      <c r="F91" s="31"/>
      <c r="G91" s="31"/>
    </row>
    <row r="92" ht="15.75" customHeight="1">
      <c r="A92" s="31"/>
      <c r="B92" s="31"/>
      <c r="C92" s="31"/>
      <c r="D92" s="31"/>
      <c r="E92" s="31"/>
      <c r="F92" s="31"/>
      <c r="G92" s="31"/>
    </row>
    <row r="93" ht="15.75" customHeight="1">
      <c r="A93" s="31"/>
      <c r="B93" s="31"/>
      <c r="C93" s="31"/>
      <c r="D93" s="31"/>
      <c r="E93" s="31"/>
      <c r="F93" s="31"/>
      <c r="G93" s="31"/>
    </row>
    <row r="94" ht="15.75" customHeight="1">
      <c r="A94" s="31"/>
      <c r="B94" s="31"/>
      <c r="C94" s="31"/>
      <c r="D94" s="31"/>
      <c r="E94" s="31"/>
      <c r="F94" s="31"/>
      <c r="G94" s="31"/>
    </row>
    <row r="95" ht="15.75" customHeight="1">
      <c r="A95" s="31"/>
      <c r="B95" s="31"/>
      <c r="C95" s="31"/>
      <c r="D95" s="31"/>
      <c r="E95" s="31"/>
      <c r="F95" s="31"/>
      <c r="G95" s="31"/>
    </row>
    <row r="96" ht="15.75" customHeight="1">
      <c r="A96" s="31"/>
      <c r="B96" s="31"/>
      <c r="C96" s="31"/>
      <c r="D96" s="31"/>
      <c r="E96" s="31"/>
      <c r="F96" s="31"/>
      <c r="G96" s="31"/>
    </row>
    <row r="97" ht="15.75" customHeight="1">
      <c r="A97" s="31"/>
      <c r="B97" s="31"/>
      <c r="C97" s="31"/>
      <c r="D97" s="31"/>
      <c r="E97" s="31"/>
      <c r="F97" s="31"/>
      <c r="G97" s="31"/>
    </row>
    <row r="98" ht="15.75" customHeight="1">
      <c r="A98" s="31"/>
      <c r="B98" s="31"/>
      <c r="C98" s="31"/>
      <c r="D98" s="31"/>
      <c r="E98" s="31"/>
      <c r="F98" s="31"/>
      <c r="G98" s="31"/>
    </row>
    <row r="99" ht="15.75" customHeight="1">
      <c r="A99" s="31"/>
      <c r="B99" s="31"/>
      <c r="C99" s="31"/>
      <c r="D99" s="31"/>
      <c r="E99" s="31"/>
      <c r="F99" s="31"/>
      <c r="G99" s="31"/>
    </row>
    <row r="100" ht="15.75" customHeight="1">
      <c r="A100" s="31"/>
      <c r="B100" s="31"/>
      <c r="C100" s="31"/>
      <c r="D100" s="31"/>
      <c r="E100" s="31"/>
      <c r="F100" s="31"/>
      <c r="G100" s="31"/>
    </row>
    <row r="101" ht="15.75" customHeight="1">
      <c r="A101" s="31"/>
      <c r="B101" s="31"/>
      <c r="C101" s="31"/>
      <c r="D101" s="31"/>
      <c r="E101" s="31"/>
      <c r="F101" s="31"/>
      <c r="G101" s="31"/>
    </row>
    <row r="102" ht="15.75" customHeight="1">
      <c r="A102" s="31"/>
      <c r="B102" s="31"/>
      <c r="C102" s="31"/>
      <c r="D102" s="31"/>
      <c r="E102" s="31"/>
      <c r="F102" s="31"/>
      <c r="G102" s="31"/>
    </row>
    <row r="103" ht="15.75" customHeight="1">
      <c r="A103" s="31"/>
      <c r="B103" s="31"/>
      <c r="C103" s="31"/>
      <c r="D103" s="31"/>
      <c r="E103" s="31"/>
      <c r="F103" s="31"/>
      <c r="G103" s="31"/>
    </row>
    <row r="104" ht="15.75" customHeight="1">
      <c r="A104" s="31"/>
      <c r="B104" s="31"/>
      <c r="C104" s="31"/>
      <c r="D104" s="31"/>
      <c r="E104" s="31"/>
      <c r="F104" s="31"/>
      <c r="G104" s="31"/>
    </row>
    <row r="105" ht="15.75" customHeight="1">
      <c r="A105" s="31"/>
      <c r="B105" s="31"/>
      <c r="C105" s="31"/>
      <c r="D105" s="31"/>
      <c r="E105" s="31"/>
      <c r="F105" s="31"/>
      <c r="G105" s="31"/>
    </row>
    <row r="106" ht="15.75" customHeight="1">
      <c r="A106" s="31"/>
      <c r="B106" s="31"/>
      <c r="C106" s="31"/>
      <c r="D106" s="31"/>
      <c r="E106" s="31"/>
      <c r="F106" s="31"/>
      <c r="G106" s="31"/>
    </row>
    <row r="107" ht="15.75" customHeight="1">
      <c r="A107" s="31"/>
      <c r="B107" s="31"/>
      <c r="C107" s="31"/>
      <c r="D107" s="31"/>
      <c r="E107" s="31"/>
      <c r="F107" s="31"/>
      <c r="G107" s="31"/>
    </row>
    <row r="108" ht="15.75" customHeight="1">
      <c r="A108" s="31"/>
      <c r="B108" s="31"/>
      <c r="C108" s="31"/>
      <c r="D108" s="31"/>
      <c r="E108" s="31"/>
      <c r="F108" s="31"/>
      <c r="G108" s="31"/>
    </row>
    <row r="109" ht="15.75" customHeight="1">
      <c r="A109" s="31"/>
      <c r="B109" s="31"/>
      <c r="C109" s="31"/>
      <c r="D109" s="31"/>
      <c r="E109" s="31"/>
      <c r="F109" s="31"/>
      <c r="G109" s="31"/>
    </row>
    <row r="110" ht="15.75" customHeight="1">
      <c r="A110" s="31"/>
      <c r="B110" s="31"/>
      <c r="C110" s="31"/>
      <c r="D110" s="31"/>
      <c r="E110" s="31"/>
      <c r="F110" s="31"/>
      <c r="G110" s="31"/>
    </row>
    <row r="111" ht="15.75" customHeight="1">
      <c r="A111" s="31"/>
      <c r="B111" s="31"/>
      <c r="C111" s="31"/>
      <c r="D111" s="31"/>
      <c r="E111" s="31"/>
      <c r="F111" s="31"/>
      <c r="G111" s="31"/>
    </row>
    <row r="112" ht="15.75" customHeight="1">
      <c r="A112" s="31"/>
      <c r="B112" s="31"/>
      <c r="C112" s="31"/>
      <c r="D112" s="31"/>
      <c r="E112" s="31"/>
      <c r="F112" s="31"/>
      <c r="G112" s="31"/>
    </row>
    <row r="113" ht="15.75" customHeight="1">
      <c r="A113" s="31"/>
      <c r="B113" s="31"/>
      <c r="C113" s="31"/>
      <c r="D113" s="31"/>
      <c r="E113" s="31"/>
      <c r="F113" s="31"/>
      <c r="G113" s="31"/>
    </row>
    <row r="114" ht="15.75" customHeight="1">
      <c r="A114" s="31"/>
      <c r="B114" s="31"/>
      <c r="C114" s="31"/>
      <c r="D114" s="31"/>
      <c r="E114" s="31"/>
      <c r="F114" s="31"/>
      <c r="G114" s="31"/>
    </row>
    <row r="115" ht="15.75" customHeight="1">
      <c r="A115" s="31"/>
      <c r="B115" s="31"/>
      <c r="C115" s="31"/>
      <c r="D115" s="31"/>
      <c r="E115" s="31"/>
      <c r="F115" s="31"/>
      <c r="G115" s="31"/>
    </row>
    <row r="116" ht="15.75" customHeight="1">
      <c r="A116" s="31"/>
      <c r="B116" s="31"/>
      <c r="C116" s="31"/>
      <c r="D116" s="31"/>
      <c r="E116" s="31"/>
      <c r="F116" s="31"/>
      <c r="G116" s="31"/>
    </row>
    <row r="117" ht="15.75" customHeight="1">
      <c r="A117" s="31"/>
      <c r="B117" s="31"/>
      <c r="C117" s="31"/>
      <c r="D117" s="31"/>
      <c r="E117" s="31"/>
      <c r="F117" s="31"/>
      <c r="G117" s="31"/>
    </row>
    <row r="118" ht="15.75" customHeight="1">
      <c r="A118" s="31"/>
      <c r="B118" s="31"/>
      <c r="C118" s="31"/>
      <c r="D118" s="31"/>
      <c r="E118" s="31"/>
      <c r="F118" s="31"/>
      <c r="G118" s="31"/>
    </row>
    <row r="119" ht="15.75" customHeight="1">
      <c r="A119" s="31"/>
      <c r="B119" s="31"/>
      <c r="C119" s="31"/>
      <c r="D119" s="31"/>
      <c r="E119" s="31"/>
      <c r="F119" s="31"/>
      <c r="G119" s="31"/>
    </row>
    <row r="120" ht="15.75" customHeight="1">
      <c r="A120" s="31"/>
      <c r="B120" s="31"/>
      <c r="C120" s="31"/>
      <c r="D120" s="31"/>
      <c r="E120" s="31"/>
      <c r="F120" s="31"/>
      <c r="G120" s="31"/>
    </row>
    <row r="121" ht="15.75" customHeight="1">
      <c r="A121" s="31"/>
      <c r="B121" s="31"/>
      <c r="C121" s="31"/>
      <c r="D121" s="31"/>
      <c r="E121" s="31"/>
      <c r="F121" s="31"/>
      <c r="G121" s="31"/>
    </row>
    <row r="122" ht="15.75" customHeight="1">
      <c r="A122" s="31"/>
      <c r="B122" s="31"/>
      <c r="C122" s="31"/>
      <c r="D122" s="31"/>
      <c r="E122" s="31"/>
      <c r="F122" s="31"/>
      <c r="G122" s="31"/>
    </row>
    <row r="123" ht="15.75" customHeight="1">
      <c r="A123" s="31"/>
      <c r="B123" s="31"/>
      <c r="C123" s="31"/>
      <c r="D123" s="31"/>
      <c r="E123" s="31"/>
      <c r="F123" s="31"/>
      <c r="G123" s="31"/>
    </row>
    <row r="124" ht="15.75" customHeight="1">
      <c r="A124" s="31"/>
      <c r="B124" s="31"/>
      <c r="C124" s="31"/>
      <c r="D124" s="31"/>
      <c r="E124" s="31"/>
      <c r="F124" s="31"/>
      <c r="G124" s="31"/>
    </row>
    <row r="125" ht="15.75" customHeight="1">
      <c r="A125" s="31"/>
      <c r="B125" s="31"/>
      <c r="C125" s="31"/>
      <c r="D125" s="31"/>
      <c r="E125" s="31"/>
      <c r="F125" s="31"/>
      <c r="G125" s="31"/>
    </row>
    <row r="126" ht="15.75" customHeight="1">
      <c r="A126" s="31"/>
      <c r="B126" s="31"/>
      <c r="C126" s="31"/>
      <c r="D126" s="31"/>
      <c r="E126" s="31"/>
      <c r="F126" s="31"/>
      <c r="G126" s="31"/>
    </row>
    <row r="127" ht="15.75" customHeight="1">
      <c r="A127" s="31"/>
      <c r="B127" s="31"/>
      <c r="C127" s="31"/>
      <c r="D127" s="31"/>
      <c r="E127" s="31"/>
      <c r="F127" s="31"/>
      <c r="G127" s="31"/>
    </row>
    <row r="128" ht="15.75" customHeight="1">
      <c r="A128" s="31"/>
      <c r="B128" s="31"/>
      <c r="C128" s="31"/>
      <c r="D128" s="31"/>
      <c r="E128" s="31"/>
      <c r="F128" s="31"/>
      <c r="G128" s="31"/>
    </row>
    <row r="129" ht="15.75" customHeight="1">
      <c r="A129" s="31"/>
      <c r="B129" s="31"/>
      <c r="C129" s="31"/>
      <c r="D129" s="31"/>
      <c r="E129" s="31"/>
      <c r="F129" s="31"/>
      <c r="G129" s="31"/>
    </row>
    <row r="130" ht="15.75" customHeight="1">
      <c r="A130" s="31"/>
      <c r="B130" s="31"/>
      <c r="C130" s="31"/>
      <c r="D130" s="31"/>
      <c r="E130" s="31"/>
      <c r="F130" s="31"/>
      <c r="G130" s="31"/>
    </row>
    <row r="131" ht="15.75" customHeight="1">
      <c r="A131" s="31"/>
      <c r="B131" s="31"/>
      <c r="C131" s="31"/>
      <c r="D131" s="31"/>
      <c r="E131" s="31"/>
      <c r="F131" s="31"/>
      <c r="G131" s="31"/>
    </row>
    <row r="132" ht="15.75" customHeight="1">
      <c r="A132" s="31"/>
      <c r="B132" s="31"/>
      <c r="C132" s="31"/>
      <c r="D132" s="31"/>
      <c r="E132" s="31"/>
      <c r="F132" s="31"/>
      <c r="G132" s="31"/>
    </row>
    <row r="133" ht="15.75" customHeight="1">
      <c r="A133" s="31"/>
      <c r="B133" s="31"/>
      <c r="C133" s="31"/>
      <c r="D133" s="31"/>
      <c r="E133" s="31"/>
      <c r="F133" s="31"/>
      <c r="G133" s="31"/>
    </row>
    <row r="134" ht="15.75" customHeight="1">
      <c r="A134" s="31"/>
      <c r="B134" s="31"/>
      <c r="C134" s="31"/>
      <c r="D134" s="31"/>
      <c r="E134" s="31"/>
      <c r="F134" s="31"/>
      <c r="G134" s="31"/>
    </row>
    <row r="135" ht="15.75" customHeight="1">
      <c r="A135" s="31"/>
      <c r="B135" s="31"/>
      <c r="C135" s="31"/>
      <c r="D135" s="31"/>
      <c r="E135" s="31"/>
      <c r="F135" s="31"/>
      <c r="G135" s="31"/>
    </row>
    <row r="136" ht="15.75" customHeight="1">
      <c r="A136" s="31"/>
      <c r="B136" s="31"/>
      <c r="C136" s="31"/>
      <c r="D136" s="31"/>
      <c r="E136" s="31"/>
      <c r="F136" s="31"/>
      <c r="G136" s="31"/>
    </row>
    <row r="137" ht="15.75" customHeight="1">
      <c r="A137" s="31"/>
      <c r="B137" s="31"/>
      <c r="C137" s="31"/>
      <c r="D137" s="31"/>
      <c r="E137" s="31"/>
      <c r="F137" s="31"/>
      <c r="G137" s="31"/>
    </row>
    <row r="138" ht="15.75" customHeight="1">
      <c r="A138" s="31"/>
      <c r="B138" s="31"/>
      <c r="C138" s="31"/>
      <c r="D138" s="31"/>
      <c r="E138" s="31"/>
      <c r="F138" s="31"/>
      <c r="G138" s="31"/>
    </row>
    <row r="139" ht="15.75" customHeight="1">
      <c r="A139" s="31"/>
      <c r="B139" s="31"/>
      <c r="C139" s="31"/>
      <c r="D139" s="31"/>
      <c r="E139" s="31"/>
      <c r="F139" s="31"/>
      <c r="G139" s="31"/>
    </row>
    <row r="140" ht="15.75" customHeight="1">
      <c r="A140" s="31"/>
      <c r="B140" s="31"/>
      <c r="C140" s="31"/>
      <c r="D140" s="31"/>
      <c r="E140" s="31"/>
      <c r="F140" s="31"/>
      <c r="G140" s="31"/>
    </row>
    <row r="141" ht="15.75" customHeight="1">
      <c r="A141" s="31"/>
      <c r="B141" s="31"/>
      <c r="C141" s="31"/>
      <c r="D141" s="31"/>
      <c r="E141" s="31"/>
      <c r="F141" s="31"/>
      <c r="G141" s="31"/>
    </row>
    <row r="142" ht="15.75" customHeight="1">
      <c r="A142" s="31"/>
      <c r="B142" s="31"/>
      <c r="C142" s="31"/>
      <c r="D142" s="31"/>
      <c r="E142" s="31"/>
      <c r="F142" s="31"/>
      <c r="G142" s="31"/>
    </row>
    <row r="143" ht="15.75" customHeight="1">
      <c r="A143" s="31"/>
      <c r="B143" s="31"/>
      <c r="C143" s="31"/>
      <c r="D143" s="31"/>
      <c r="E143" s="31"/>
      <c r="F143" s="31"/>
      <c r="G143" s="31"/>
    </row>
    <row r="144" ht="15.75" customHeight="1">
      <c r="A144" s="31"/>
      <c r="B144" s="31"/>
      <c r="C144" s="31"/>
      <c r="D144" s="31"/>
      <c r="E144" s="31"/>
      <c r="F144" s="31"/>
      <c r="G144" s="31"/>
    </row>
    <row r="145" ht="15.75" customHeight="1">
      <c r="A145" s="31"/>
      <c r="B145" s="31"/>
      <c r="C145" s="31"/>
      <c r="D145" s="31"/>
      <c r="E145" s="31"/>
      <c r="F145" s="31"/>
      <c r="G145" s="31"/>
    </row>
    <row r="146" ht="15.75" customHeight="1">
      <c r="A146" s="31"/>
      <c r="B146" s="31"/>
      <c r="C146" s="31"/>
      <c r="D146" s="31"/>
      <c r="E146" s="31"/>
      <c r="F146" s="31"/>
      <c r="G146" s="31"/>
    </row>
    <row r="147" ht="15.75" customHeight="1">
      <c r="A147" s="31"/>
      <c r="B147" s="31"/>
      <c r="C147" s="31"/>
      <c r="D147" s="31"/>
      <c r="E147" s="31"/>
      <c r="F147" s="31"/>
      <c r="G147" s="31"/>
    </row>
    <row r="148" ht="15.75" customHeight="1">
      <c r="A148" s="31"/>
      <c r="B148" s="31"/>
      <c r="C148" s="31"/>
      <c r="D148" s="31"/>
      <c r="E148" s="31"/>
      <c r="F148" s="31"/>
      <c r="G148" s="31"/>
    </row>
    <row r="149" ht="15.75" customHeight="1">
      <c r="A149" s="31"/>
      <c r="B149" s="31"/>
      <c r="C149" s="31"/>
      <c r="D149" s="31"/>
      <c r="E149" s="31"/>
      <c r="F149" s="31"/>
      <c r="G149" s="31"/>
    </row>
    <row r="150" ht="15.75" customHeight="1">
      <c r="A150" s="31"/>
      <c r="B150" s="31"/>
      <c r="C150" s="31"/>
      <c r="D150" s="31"/>
      <c r="E150" s="31"/>
      <c r="F150" s="31"/>
      <c r="G150" s="31"/>
    </row>
    <row r="151" ht="15.75" customHeight="1">
      <c r="A151" s="31"/>
      <c r="B151" s="31"/>
      <c r="C151" s="31"/>
      <c r="D151" s="31"/>
      <c r="E151" s="31"/>
      <c r="F151" s="31"/>
      <c r="G151" s="31"/>
    </row>
    <row r="152" ht="15.75" customHeight="1">
      <c r="A152" s="31"/>
      <c r="B152" s="31"/>
      <c r="C152" s="31"/>
      <c r="D152" s="31"/>
      <c r="E152" s="31"/>
      <c r="F152" s="31"/>
      <c r="G152" s="31"/>
    </row>
    <row r="153" ht="15.75" customHeight="1">
      <c r="A153" s="31"/>
      <c r="B153" s="31"/>
      <c r="C153" s="31"/>
      <c r="D153" s="31"/>
      <c r="E153" s="31"/>
      <c r="F153" s="31"/>
      <c r="G153" s="31"/>
    </row>
    <row r="154" ht="15.75" customHeight="1">
      <c r="A154" s="31"/>
      <c r="B154" s="31"/>
      <c r="C154" s="31"/>
      <c r="D154" s="31"/>
      <c r="E154" s="31"/>
      <c r="F154" s="31"/>
      <c r="G154" s="31"/>
    </row>
    <row r="155" ht="15.75" customHeight="1">
      <c r="A155" s="31"/>
      <c r="B155" s="31"/>
      <c r="C155" s="31"/>
      <c r="D155" s="31"/>
      <c r="E155" s="31"/>
      <c r="F155" s="31"/>
      <c r="G155" s="31"/>
    </row>
    <row r="156" ht="15.75" customHeight="1">
      <c r="A156" s="31"/>
      <c r="B156" s="31"/>
      <c r="C156" s="31"/>
      <c r="D156" s="31"/>
      <c r="E156" s="31"/>
      <c r="F156" s="31"/>
      <c r="G156" s="31"/>
    </row>
    <row r="157" ht="15.75" customHeight="1">
      <c r="A157" s="31"/>
      <c r="B157" s="31"/>
      <c r="C157" s="31"/>
      <c r="D157" s="31"/>
      <c r="E157" s="31"/>
      <c r="F157" s="31"/>
      <c r="G157" s="31"/>
    </row>
    <row r="158" ht="15.75" customHeight="1">
      <c r="A158" s="31"/>
      <c r="B158" s="31"/>
      <c r="C158" s="31"/>
      <c r="D158" s="31"/>
      <c r="E158" s="31"/>
      <c r="F158" s="31"/>
      <c r="G158" s="31"/>
    </row>
    <row r="159" ht="15.75" customHeight="1">
      <c r="A159" s="31"/>
      <c r="B159" s="31"/>
      <c r="C159" s="31"/>
      <c r="D159" s="31"/>
      <c r="E159" s="31"/>
      <c r="F159" s="31"/>
      <c r="G159" s="31"/>
    </row>
    <row r="160" ht="15.75" customHeight="1">
      <c r="A160" s="31"/>
      <c r="B160" s="31"/>
      <c r="C160" s="31"/>
      <c r="D160" s="31"/>
      <c r="E160" s="31"/>
      <c r="F160" s="31"/>
      <c r="G160" s="31"/>
    </row>
    <row r="161" ht="15.75" customHeight="1">
      <c r="A161" s="31"/>
      <c r="B161" s="31"/>
      <c r="C161" s="31"/>
      <c r="D161" s="31"/>
      <c r="E161" s="31"/>
      <c r="F161" s="31"/>
      <c r="G161" s="31"/>
    </row>
    <row r="162" ht="15.75" customHeight="1">
      <c r="A162" s="31"/>
      <c r="B162" s="31"/>
      <c r="C162" s="31"/>
      <c r="D162" s="31"/>
      <c r="E162" s="31"/>
      <c r="F162" s="31"/>
      <c r="G162" s="31"/>
    </row>
    <row r="163" ht="15.75" customHeight="1">
      <c r="A163" s="31"/>
      <c r="B163" s="31"/>
      <c r="C163" s="31"/>
      <c r="D163" s="31"/>
      <c r="E163" s="31"/>
      <c r="F163" s="31"/>
      <c r="G163" s="31"/>
    </row>
    <row r="164" ht="15.75" customHeight="1">
      <c r="A164" s="31"/>
      <c r="B164" s="31"/>
      <c r="C164" s="31"/>
      <c r="D164" s="31"/>
      <c r="E164" s="31"/>
      <c r="F164" s="31"/>
      <c r="G164" s="31"/>
    </row>
    <row r="165" ht="15.75" customHeight="1">
      <c r="A165" s="31"/>
      <c r="B165" s="31"/>
      <c r="C165" s="31"/>
      <c r="D165" s="31"/>
      <c r="E165" s="31"/>
      <c r="F165" s="31"/>
      <c r="G165" s="31"/>
    </row>
    <row r="166" ht="15.75" customHeight="1">
      <c r="A166" s="31"/>
      <c r="B166" s="31"/>
      <c r="C166" s="31"/>
      <c r="D166" s="31"/>
      <c r="E166" s="31"/>
      <c r="F166" s="31"/>
      <c r="G166" s="31"/>
    </row>
    <row r="167" ht="15.75" customHeight="1">
      <c r="A167" s="31"/>
      <c r="B167" s="31"/>
      <c r="C167" s="31"/>
      <c r="D167" s="31"/>
      <c r="E167" s="31"/>
      <c r="F167" s="31"/>
      <c r="G167" s="31"/>
    </row>
    <row r="168" ht="15.75" customHeight="1">
      <c r="A168" s="31"/>
      <c r="B168" s="31"/>
      <c r="C168" s="31"/>
      <c r="D168" s="31"/>
      <c r="E168" s="31"/>
      <c r="F168" s="31"/>
      <c r="G168" s="31"/>
    </row>
    <row r="169" ht="15.75" customHeight="1">
      <c r="A169" s="31"/>
      <c r="B169" s="31"/>
      <c r="C169" s="31"/>
      <c r="D169" s="31"/>
      <c r="E169" s="31"/>
      <c r="F169" s="31"/>
      <c r="G169" s="31"/>
    </row>
    <row r="170" ht="15.75" customHeight="1">
      <c r="A170" s="31"/>
      <c r="B170" s="31"/>
      <c r="C170" s="31"/>
      <c r="D170" s="31"/>
      <c r="E170" s="31"/>
      <c r="F170" s="31"/>
      <c r="G170" s="31"/>
    </row>
    <row r="171" ht="15.75" customHeight="1">
      <c r="A171" s="31"/>
      <c r="B171" s="31"/>
      <c r="C171" s="31"/>
      <c r="D171" s="31"/>
      <c r="E171" s="31"/>
      <c r="F171" s="31"/>
      <c r="G171" s="31"/>
    </row>
    <row r="172" ht="15.75" customHeight="1">
      <c r="A172" s="31"/>
      <c r="B172" s="31"/>
      <c r="C172" s="31"/>
      <c r="D172" s="31"/>
      <c r="E172" s="31"/>
      <c r="F172" s="31"/>
      <c r="G172" s="31"/>
    </row>
    <row r="173" ht="15.75" customHeight="1">
      <c r="A173" s="31"/>
      <c r="B173" s="31"/>
      <c r="C173" s="31"/>
      <c r="D173" s="31"/>
      <c r="E173" s="31"/>
      <c r="F173" s="31"/>
      <c r="G173" s="31"/>
    </row>
    <row r="174" ht="15.75" customHeight="1">
      <c r="A174" s="31"/>
      <c r="B174" s="31"/>
      <c r="C174" s="31"/>
      <c r="D174" s="31"/>
      <c r="E174" s="31"/>
      <c r="F174" s="31"/>
      <c r="G174" s="31"/>
    </row>
    <row r="175" ht="15.75" customHeight="1">
      <c r="A175" s="31"/>
      <c r="B175" s="31"/>
      <c r="C175" s="31"/>
      <c r="D175" s="31"/>
      <c r="E175" s="31"/>
      <c r="F175" s="31"/>
      <c r="G175" s="31"/>
    </row>
    <row r="176" ht="15.75" customHeight="1">
      <c r="A176" s="31"/>
      <c r="B176" s="31"/>
      <c r="C176" s="31"/>
      <c r="D176" s="31"/>
      <c r="E176" s="31"/>
      <c r="F176" s="31"/>
      <c r="G176" s="31"/>
    </row>
    <row r="177" ht="15.75" customHeight="1">
      <c r="A177" s="31"/>
      <c r="B177" s="31"/>
      <c r="C177" s="31"/>
      <c r="D177" s="31"/>
      <c r="E177" s="31"/>
      <c r="F177" s="31"/>
      <c r="G177" s="31"/>
    </row>
    <row r="178" ht="15.75" customHeight="1">
      <c r="A178" s="31"/>
      <c r="B178" s="31"/>
      <c r="C178" s="31"/>
      <c r="D178" s="31"/>
      <c r="E178" s="31"/>
      <c r="F178" s="31"/>
      <c r="G178" s="31"/>
    </row>
    <row r="179" ht="15.75" customHeight="1">
      <c r="A179" s="31"/>
      <c r="B179" s="31"/>
      <c r="C179" s="31"/>
      <c r="D179" s="31"/>
      <c r="E179" s="31"/>
      <c r="F179" s="31"/>
      <c r="G179" s="31"/>
    </row>
    <row r="180" ht="15.75" customHeight="1">
      <c r="A180" s="31"/>
      <c r="B180" s="31"/>
      <c r="C180" s="31"/>
      <c r="D180" s="31"/>
      <c r="E180" s="31"/>
      <c r="F180" s="31"/>
      <c r="G180" s="31"/>
    </row>
    <row r="181" ht="15.75" customHeight="1">
      <c r="A181" s="31"/>
      <c r="B181" s="31"/>
      <c r="C181" s="31"/>
      <c r="D181" s="31"/>
      <c r="E181" s="31"/>
      <c r="F181" s="31"/>
      <c r="G181" s="31"/>
    </row>
    <row r="182" ht="15.75" customHeight="1">
      <c r="A182" s="31"/>
      <c r="B182" s="31"/>
      <c r="C182" s="31"/>
      <c r="D182" s="31"/>
      <c r="E182" s="31"/>
      <c r="F182" s="31"/>
      <c r="G182" s="31"/>
    </row>
    <row r="183" ht="15.75" customHeight="1">
      <c r="A183" s="31"/>
      <c r="B183" s="31"/>
      <c r="C183" s="31"/>
      <c r="D183" s="31"/>
      <c r="E183" s="31"/>
      <c r="F183" s="31"/>
      <c r="G183" s="31"/>
    </row>
    <row r="184" ht="15.75" customHeight="1">
      <c r="A184" s="31"/>
      <c r="B184" s="31"/>
      <c r="C184" s="31"/>
      <c r="D184" s="31"/>
      <c r="E184" s="31"/>
      <c r="F184" s="31"/>
      <c r="G184" s="31"/>
    </row>
    <row r="185" ht="15.75" customHeight="1">
      <c r="A185" s="31"/>
      <c r="B185" s="31"/>
      <c r="C185" s="31"/>
      <c r="D185" s="31"/>
      <c r="E185" s="31"/>
      <c r="F185" s="31"/>
      <c r="G185" s="31"/>
    </row>
    <row r="186" ht="15.75" customHeight="1">
      <c r="A186" s="31"/>
      <c r="B186" s="31"/>
      <c r="C186" s="31"/>
      <c r="D186" s="31"/>
      <c r="E186" s="31"/>
      <c r="F186" s="31"/>
      <c r="G186" s="31"/>
    </row>
    <row r="187" ht="15.75" customHeight="1">
      <c r="A187" s="31"/>
      <c r="B187" s="31"/>
      <c r="C187" s="31"/>
      <c r="D187" s="31"/>
      <c r="E187" s="31"/>
      <c r="F187" s="31"/>
      <c r="G187" s="31"/>
    </row>
    <row r="188" ht="15.75" customHeight="1">
      <c r="A188" s="31"/>
      <c r="B188" s="31"/>
      <c r="C188" s="31"/>
      <c r="D188" s="31"/>
      <c r="E188" s="31"/>
      <c r="F188" s="31"/>
      <c r="G188" s="31"/>
    </row>
    <row r="189" ht="15.75" customHeight="1">
      <c r="A189" s="31"/>
      <c r="B189" s="31"/>
      <c r="C189" s="31"/>
      <c r="D189" s="31"/>
      <c r="E189" s="31"/>
      <c r="F189" s="31"/>
      <c r="G189" s="31"/>
    </row>
    <row r="190" ht="15.75" customHeight="1">
      <c r="A190" s="31"/>
      <c r="B190" s="31"/>
      <c r="C190" s="31"/>
      <c r="D190" s="31"/>
      <c r="E190" s="31"/>
      <c r="F190" s="31"/>
      <c r="G190" s="31"/>
    </row>
    <row r="191" ht="15.75" customHeight="1">
      <c r="A191" s="31"/>
      <c r="B191" s="31"/>
      <c r="C191" s="31"/>
      <c r="D191" s="31"/>
      <c r="E191" s="31"/>
      <c r="F191" s="31"/>
      <c r="G191" s="31"/>
    </row>
    <row r="192" ht="15.75" customHeight="1">
      <c r="A192" s="31"/>
      <c r="B192" s="31"/>
      <c r="C192" s="31"/>
      <c r="D192" s="31"/>
      <c r="E192" s="31"/>
      <c r="F192" s="31"/>
      <c r="G192" s="31"/>
    </row>
    <row r="193" ht="15.75" customHeight="1">
      <c r="A193" s="31"/>
      <c r="B193" s="31"/>
      <c r="C193" s="31"/>
      <c r="D193" s="31"/>
      <c r="E193" s="31"/>
      <c r="F193" s="31"/>
      <c r="G193" s="31"/>
    </row>
    <row r="194" ht="15.75" customHeight="1">
      <c r="A194" s="31"/>
      <c r="B194" s="31"/>
      <c r="C194" s="31"/>
      <c r="D194" s="31"/>
      <c r="E194" s="31"/>
      <c r="F194" s="31"/>
      <c r="G194" s="31"/>
    </row>
    <row r="195" ht="15.75" customHeight="1">
      <c r="A195" s="31"/>
      <c r="B195" s="31"/>
      <c r="C195" s="31"/>
      <c r="D195" s="31"/>
      <c r="E195" s="31"/>
      <c r="F195" s="31"/>
      <c r="G195" s="31"/>
    </row>
    <row r="196" ht="15.75" customHeight="1">
      <c r="A196" s="31"/>
      <c r="B196" s="31"/>
      <c r="C196" s="31"/>
      <c r="D196" s="31"/>
      <c r="E196" s="31"/>
      <c r="F196" s="31"/>
      <c r="G196" s="31"/>
    </row>
    <row r="197" ht="15.75" customHeight="1">
      <c r="A197" s="31"/>
      <c r="B197" s="31"/>
      <c r="C197" s="31"/>
      <c r="D197" s="31"/>
      <c r="E197" s="31"/>
      <c r="F197" s="31"/>
      <c r="G197" s="31"/>
    </row>
    <row r="198" ht="15.75" customHeight="1">
      <c r="A198" s="31"/>
      <c r="B198" s="31"/>
      <c r="C198" s="31"/>
      <c r="D198" s="31"/>
      <c r="E198" s="31"/>
      <c r="F198" s="31"/>
      <c r="G198" s="31"/>
    </row>
    <row r="199" ht="15.75" customHeight="1">
      <c r="A199" s="31"/>
      <c r="B199" s="31"/>
      <c r="C199" s="31"/>
      <c r="D199" s="31"/>
      <c r="E199" s="31"/>
      <c r="F199" s="31"/>
      <c r="G199" s="31"/>
    </row>
    <row r="200" ht="15.75" customHeight="1">
      <c r="A200" s="31"/>
      <c r="B200" s="31"/>
      <c r="C200" s="31"/>
      <c r="D200" s="31"/>
      <c r="E200" s="31"/>
      <c r="F200" s="31"/>
      <c r="G200" s="31"/>
    </row>
    <row r="201" ht="15.75" customHeight="1">
      <c r="A201" s="31"/>
      <c r="B201" s="31"/>
      <c r="C201" s="31"/>
      <c r="D201" s="31"/>
      <c r="E201" s="31"/>
      <c r="F201" s="31"/>
      <c r="G201" s="31"/>
    </row>
    <row r="202" ht="15.75" customHeight="1">
      <c r="A202" s="31"/>
      <c r="B202" s="31"/>
      <c r="C202" s="31"/>
      <c r="D202" s="31"/>
      <c r="E202" s="31"/>
      <c r="F202" s="31"/>
      <c r="G202" s="31"/>
    </row>
    <row r="203" ht="15.75" customHeight="1">
      <c r="A203" s="31"/>
      <c r="B203" s="31"/>
      <c r="C203" s="31"/>
      <c r="D203" s="31"/>
      <c r="E203" s="31"/>
      <c r="F203" s="31"/>
      <c r="G203" s="31"/>
    </row>
    <row r="204" ht="15.75" customHeight="1">
      <c r="A204" s="31"/>
      <c r="B204" s="31"/>
      <c r="C204" s="31"/>
      <c r="D204" s="31"/>
      <c r="E204" s="31"/>
      <c r="F204" s="31"/>
      <c r="G204" s="31"/>
    </row>
    <row r="205" ht="15.75" customHeight="1">
      <c r="A205" s="31"/>
      <c r="B205" s="31"/>
      <c r="C205" s="31"/>
      <c r="D205" s="31"/>
      <c r="E205" s="31"/>
      <c r="F205" s="31"/>
      <c r="G205" s="31"/>
    </row>
    <row r="206" ht="15.75" customHeight="1">
      <c r="A206" s="31"/>
      <c r="B206" s="31"/>
      <c r="C206" s="31"/>
      <c r="D206" s="31"/>
      <c r="E206" s="31"/>
      <c r="F206" s="31"/>
      <c r="G206" s="31"/>
    </row>
    <row r="207" ht="15.75" customHeight="1">
      <c r="A207" s="31"/>
      <c r="B207" s="31"/>
      <c r="C207" s="31"/>
      <c r="D207" s="31"/>
      <c r="E207" s="31"/>
      <c r="F207" s="31"/>
      <c r="G207" s="31"/>
    </row>
    <row r="208" ht="15.75" customHeight="1">
      <c r="A208" s="31"/>
      <c r="B208" s="31"/>
      <c r="C208" s="31"/>
      <c r="D208" s="31"/>
      <c r="E208" s="31"/>
      <c r="F208" s="31"/>
      <c r="G208" s="31"/>
    </row>
    <row r="209" ht="15.75" customHeight="1">
      <c r="A209" s="31"/>
      <c r="B209" s="31"/>
      <c r="C209" s="31"/>
      <c r="D209" s="31"/>
      <c r="E209" s="31"/>
      <c r="F209" s="31"/>
      <c r="G209" s="31"/>
    </row>
    <row r="210" ht="15.75" customHeight="1">
      <c r="A210" s="31"/>
      <c r="B210" s="31"/>
      <c r="C210" s="31"/>
      <c r="D210" s="31"/>
      <c r="E210" s="31"/>
      <c r="F210" s="31"/>
      <c r="G210" s="31"/>
    </row>
    <row r="211" ht="15.75" customHeight="1">
      <c r="A211" s="31"/>
      <c r="B211" s="31"/>
      <c r="C211" s="31"/>
      <c r="D211" s="31"/>
      <c r="E211" s="31"/>
      <c r="F211" s="31"/>
      <c r="G211" s="31"/>
    </row>
    <row r="212" ht="15.75" customHeight="1">
      <c r="A212" s="31"/>
      <c r="B212" s="31"/>
      <c r="C212" s="31"/>
      <c r="D212" s="31"/>
      <c r="E212" s="31"/>
      <c r="F212" s="31"/>
      <c r="G212" s="31"/>
    </row>
    <row r="213" ht="15.75" customHeight="1">
      <c r="A213" s="31"/>
      <c r="B213" s="31"/>
      <c r="C213" s="31"/>
      <c r="D213" s="31"/>
      <c r="E213" s="31"/>
      <c r="F213" s="31"/>
      <c r="G213" s="31"/>
    </row>
    <row r="214" ht="15.75" customHeight="1">
      <c r="A214" s="31"/>
      <c r="B214" s="31"/>
      <c r="C214" s="31"/>
      <c r="D214" s="31"/>
      <c r="E214" s="31"/>
      <c r="F214" s="31"/>
      <c r="G214" s="31"/>
    </row>
    <row r="215" ht="15.75" customHeight="1">
      <c r="A215" s="31"/>
      <c r="B215" s="31"/>
      <c r="C215" s="31"/>
      <c r="D215" s="31"/>
      <c r="E215" s="31"/>
      <c r="F215" s="31"/>
      <c r="G215" s="31"/>
    </row>
    <row r="216" ht="15.75" customHeight="1">
      <c r="A216" s="31"/>
      <c r="B216" s="31"/>
      <c r="C216" s="31"/>
      <c r="D216" s="31"/>
      <c r="E216" s="31"/>
      <c r="F216" s="31"/>
      <c r="G216" s="31"/>
    </row>
    <row r="217" ht="15.75" customHeight="1">
      <c r="A217" s="31"/>
      <c r="B217" s="31"/>
      <c r="C217" s="31"/>
      <c r="D217" s="31"/>
      <c r="E217" s="31"/>
      <c r="F217" s="31"/>
      <c r="G217" s="31"/>
    </row>
    <row r="218" ht="15.75" customHeight="1">
      <c r="A218" s="31"/>
      <c r="B218" s="31"/>
      <c r="C218" s="31"/>
      <c r="D218" s="31"/>
      <c r="E218" s="31"/>
      <c r="F218" s="31"/>
      <c r="G218" s="31"/>
    </row>
    <row r="219" ht="15.75" customHeight="1">
      <c r="A219" s="31"/>
      <c r="B219" s="31"/>
      <c r="C219" s="31"/>
      <c r="D219" s="31"/>
      <c r="E219" s="31"/>
      <c r="F219" s="31"/>
      <c r="G219" s="31"/>
    </row>
    <row r="220" ht="15.75" customHeight="1">
      <c r="A220" s="31"/>
      <c r="B220" s="31"/>
      <c r="C220" s="31"/>
      <c r="D220" s="31"/>
      <c r="E220" s="31"/>
      <c r="F220" s="31"/>
      <c r="G220" s="31"/>
    </row>
    <row r="221" ht="15.75" customHeight="1">
      <c r="A221" s="31"/>
      <c r="B221" s="31"/>
      <c r="C221" s="31"/>
      <c r="D221" s="31"/>
      <c r="E221" s="31"/>
      <c r="F221" s="31"/>
      <c r="G221" s="31"/>
    </row>
    <row r="222" ht="15.75" customHeight="1">
      <c r="A222" s="31"/>
      <c r="B222" s="31"/>
      <c r="C222" s="31"/>
      <c r="D222" s="31"/>
      <c r="E222" s="31"/>
      <c r="F222" s="31"/>
      <c r="G222" s="31"/>
    </row>
    <row r="223" ht="15.75" customHeight="1">
      <c r="A223" s="31"/>
      <c r="B223" s="31"/>
      <c r="C223" s="31"/>
      <c r="D223" s="31"/>
      <c r="E223" s="31"/>
      <c r="F223" s="31"/>
      <c r="G223" s="31"/>
    </row>
    <row r="224" ht="15.75" customHeight="1">
      <c r="A224" s="31"/>
      <c r="B224" s="31"/>
      <c r="C224" s="31"/>
      <c r="D224" s="31"/>
      <c r="E224" s="31"/>
      <c r="F224" s="31"/>
      <c r="G224" s="31"/>
    </row>
    <row r="225" ht="15.75" customHeight="1">
      <c r="A225" s="31"/>
      <c r="B225" s="31"/>
      <c r="C225" s="31"/>
      <c r="D225" s="31"/>
      <c r="E225" s="31"/>
      <c r="F225" s="31"/>
      <c r="G225" s="31"/>
    </row>
    <row r="226" ht="15.75" customHeight="1">
      <c r="A226" s="31"/>
      <c r="B226" s="31"/>
      <c r="C226" s="31"/>
      <c r="D226" s="31"/>
      <c r="E226" s="31"/>
      <c r="F226" s="31"/>
      <c r="G226" s="31"/>
    </row>
    <row r="227" ht="15.75" customHeight="1">
      <c r="A227" s="31"/>
      <c r="B227" s="31"/>
      <c r="C227" s="31"/>
      <c r="D227" s="31"/>
      <c r="E227" s="31"/>
      <c r="F227" s="31"/>
      <c r="G227" s="31"/>
    </row>
    <row r="228" ht="15.75" customHeight="1">
      <c r="A228" s="31"/>
      <c r="B228" s="31"/>
      <c r="C228" s="31"/>
      <c r="D228" s="31"/>
      <c r="E228" s="31"/>
      <c r="F228" s="31"/>
      <c r="G228" s="31"/>
    </row>
    <row r="229" ht="15.75" customHeight="1">
      <c r="A229" s="31"/>
      <c r="B229" s="31"/>
      <c r="C229" s="31"/>
      <c r="D229" s="31"/>
      <c r="E229" s="31"/>
      <c r="F229" s="31"/>
      <c r="G229" s="31"/>
    </row>
    <row r="230" ht="15.75" customHeight="1">
      <c r="A230" s="31"/>
      <c r="B230" s="31"/>
      <c r="C230" s="31"/>
      <c r="D230" s="31"/>
      <c r="E230" s="31"/>
      <c r="F230" s="31"/>
      <c r="G230" s="31"/>
    </row>
    <row r="231" ht="15.75" customHeight="1">
      <c r="A231" s="31"/>
      <c r="B231" s="31"/>
      <c r="C231" s="31"/>
      <c r="D231" s="31"/>
      <c r="E231" s="31"/>
      <c r="F231" s="31"/>
      <c r="G231" s="31"/>
    </row>
    <row r="232" ht="15.75" customHeight="1">
      <c r="A232" s="31"/>
      <c r="B232" s="31"/>
      <c r="C232" s="31"/>
      <c r="D232" s="31"/>
      <c r="E232" s="31"/>
      <c r="F232" s="31"/>
      <c r="G232" s="31"/>
    </row>
    <row r="233" ht="15.75" customHeight="1">
      <c r="A233" s="31"/>
      <c r="B233" s="31"/>
      <c r="C233" s="31"/>
      <c r="D233" s="31"/>
      <c r="E233" s="31"/>
      <c r="F233" s="31"/>
      <c r="G233" s="31"/>
    </row>
    <row r="234" ht="15.75" customHeight="1">
      <c r="A234" s="31"/>
      <c r="B234" s="31"/>
      <c r="C234" s="31"/>
      <c r="D234" s="31"/>
      <c r="E234" s="31"/>
      <c r="F234" s="31"/>
      <c r="G234" s="31"/>
    </row>
    <row r="235" ht="15.75" customHeight="1">
      <c r="A235" s="31"/>
      <c r="B235" s="31"/>
      <c r="C235" s="31"/>
      <c r="D235" s="31"/>
      <c r="E235" s="31"/>
      <c r="F235" s="31"/>
      <c r="G235" s="31"/>
    </row>
    <row r="236" ht="15.75" customHeight="1">
      <c r="A236" s="31"/>
      <c r="B236" s="31"/>
      <c r="C236" s="31"/>
      <c r="D236" s="31"/>
      <c r="E236" s="31"/>
      <c r="F236" s="31"/>
      <c r="G236" s="31"/>
    </row>
    <row r="237" ht="15.75" customHeight="1">
      <c r="A237" s="31"/>
      <c r="B237" s="31"/>
      <c r="C237" s="31"/>
      <c r="D237" s="31"/>
      <c r="E237" s="31"/>
      <c r="F237" s="31"/>
      <c r="G237" s="31"/>
    </row>
    <row r="238" ht="15.75" customHeight="1">
      <c r="A238" s="31"/>
      <c r="B238" s="31"/>
      <c r="C238" s="31"/>
      <c r="D238" s="31"/>
      <c r="E238" s="31"/>
      <c r="F238" s="31"/>
      <c r="G238" s="31"/>
    </row>
    <row r="239" ht="15.75" customHeight="1">
      <c r="A239" s="31"/>
      <c r="B239" s="31"/>
      <c r="C239" s="31"/>
      <c r="D239" s="31"/>
      <c r="E239" s="31"/>
      <c r="F239" s="31"/>
      <c r="G239" s="31"/>
    </row>
    <row r="240" ht="15.75" customHeight="1">
      <c r="A240" s="31"/>
      <c r="B240" s="31"/>
      <c r="C240" s="31"/>
      <c r="D240" s="31"/>
      <c r="E240" s="31"/>
      <c r="F240" s="31"/>
      <c r="G240" s="31"/>
    </row>
    <row r="241" ht="15.75" customHeight="1">
      <c r="A241" s="31"/>
      <c r="B241" s="31"/>
      <c r="C241" s="31"/>
      <c r="D241" s="31"/>
      <c r="E241" s="31"/>
      <c r="F241" s="31"/>
      <c r="G241" s="31"/>
    </row>
    <row r="242" ht="15.75" customHeight="1">
      <c r="A242" s="31"/>
      <c r="B242" s="31"/>
      <c r="C242" s="31"/>
      <c r="D242" s="31"/>
      <c r="E242" s="31"/>
      <c r="F242" s="31"/>
      <c r="G242" s="31"/>
    </row>
    <row r="243" ht="15.75" customHeight="1">
      <c r="A243" s="31"/>
      <c r="B243" s="31"/>
      <c r="C243" s="31"/>
      <c r="D243" s="31"/>
      <c r="E243" s="31"/>
      <c r="F243" s="31"/>
      <c r="G243" s="31"/>
    </row>
    <row r="244" ht="15.75" customHeight="1">
      <c r="A244" s="31"/>
      <c r="B244" s="31"/>
      <c r="C244" s="31"/>
      <c r="D244" s="31"/>
      <c r="E244" s="31"/>
      <c r="F244" s="31"/>
      <c r="G244" s="31"/>
    </row>
    <row r="245" ht="15.75" customHeight="1">
      <c r="A245" s="31"/>
      <c r="B245" s="31"/>
      <c r="C245" s="31"/>
      <c r="D245" s="31"/>
      <c r="E245" s="31"/>
      <c r="F245" s="31"/>
      <c r="G245" s="31"/>
    </row>
    <row r="246" ht="15.75" customHeight="1">
      <c r="A246" s="31"/>
      <c r="B246" s="31"/>
      <c r="C246" s="31"/>
      <c r="D246" s="31"/>
      <c r="E246" s="31"/>
      <c r="F246" s="31"/>
      <c r="G246" s="31"/>
    </row>
    <row r="247" ht="15.75" customHeight="1">
      <c r="A247" s="31"/>
      <c r="B247" s="31"/>
      <c r="C247" s="31"/>
      <c r="D247" s="31"/>
      <c r="E247" s="31"/>
      <c r="F247" s="31"/>
      <c r="G247" s="31"/>
    </row>
    <row r="248" ht="15.75" customHeight="1">
      <c r="A248" s="31"/>
      <c r="B248" s="31"/>
      <c r="C248" s="31"/>
      <c r="D248" s="31"/>
      <c r="E248" s="31"/>
      <c r="F248" s="31"/>
      <c r="G248" s="31"/>
    </row>
    <row r="249" ht="15.75" customHeight="1">
      <c r="A249" s="31"/>
      <c r="B249" s="31"/>
      <c r="C249" s="31"/>
      <c r="D249" s="31"/>
      <c r="E249" s="31"/>
      <c r="F249" s="31"/>
      <c r="G249" s="31"/>
    </row>
    <row r="250" ht="15.75" customHeight="1">
      <c r="A250" s="31"/>
      <c r="B250" s="31"/>
      <c r="C250" s="31"/>
      <c r="D250" s="31"/>
      <c r="E250" s="31"/>
      <c r="F250" s="31"/>
      <c r="G250" s="31"/>
    </row>
    <row r="251" ht="15.75" customHeight="1">
      <c r="A251" s="31"/>
      <c r="B251" s="31"/>
      <c r="C251" s="31"/>
      <c r="D251" s="31"/>
      <c r="E251" s="31"/>
      <c r="F251" s="31"/>
      <c r="G251" s="31"/>
    </row>
    <row r="252" ht="15.75" customHeight="1">
      <c r="A252" s="31"/>
      <c r="B252" s="31"/>
      <c r="C252" s="31"/>
      <c r="D252" s="31"/>
      <c r="E252" s="31"/>
      <c r="F252" s="31"/>
      <c r="G252" s="31"/>
    </row>
    <row r="253" ht="15.75" customHeight="1">
      <c r="A253" s="31"/>
      <c r="B253" s="31"/>
      <c r="C253" s="31"/>
      <c r="D253" s="31"/>
      <c r="E253" s="31"/>
      <c r="F253" s="31"/>
      <c r="G253" s="31"/>
    </row>
    <row r="254" ht="15.75" customHeight="1">
      <c r="A254" s="31"/>
      <c r="B254" s="31"/>
      <c r="C254" s="31"/>
      <c r="D254" s="31"/>
      <c r="E254" s="31"/>
      <c r="F254" s="31"/>
      <c r="G254" s="31"/>
    </row>
    <row r="255" ht="15.75" customHeight="1">
      <c r="A255" s="31"/>
      <c r="B255" s="31"/>
      <c r="C255" s="31"/>
      <c r="D255" s="31"/>
      <c r="E255" s="31"/>
      <c r="F255" s="31"/>
      <c r="G255" s="31"/>
    </row>
    <row r="256" ht="15.75" customHeight="1">
      <c r="A256" s="31"/>
      <c r="B256" s="31"/>
      <c r="C256" s="31"/>
      <c r="D256" s="31"/>
      <c r="E256" s="31"/>
      <c r="F256" s="31"/>
      <c r="G256" s="31"/>
    </row>
    <row r="257" ht="15.75" customHeight="1">
      <c r="A257" s="31"/>
      <c r="B257" s="31"/>
      <c r="C257" s="31"/>
      <c r="D257" s="31"/>
      <c r="E257" s="31"/>
      <c r="F257" s="31"/>
      <c r="G257" s="31"/>
    </row>
    <row r="258" ht="15.75" customHeight="1">
      <c r="A258" s="31"/>
      <c r="B258" s="31"/>
      <c r="C258" s="31"/>
      <c r="D258" s="31"/>
      <c r="E258" s="31"/>
      <c r="F258" s="31"/>
      <c r="G258" s="31"/>
    </row>
    <row r="259" ht="15.75" customHeight="1">
      <c r="A259" s="31"/>
      <c r="B259" s="31"/>
      <c r="C259" s="31"/>
      <c r="D259" s="31"/>
      <c r="E259" s="31"/>
      <c r="F259" s="31"/>
      <c r="G259" s="31"/>
    </row>
    <row r="260" ht="15.75" customHeight="1">
      <c r="A260" s="31"/>
      <c r="B260" s="31"/>
      <c r="C260" s="31"/>
      <c r="D260" s="31"/>
      <c r="E260" s="31"/>
      <c r="F260" s="31"/>
      <c r="G260" s="31"/>
    </row>
    <row r="261" ht="15.75" customHeight="1">
      <c r="A261" s="31"/>
      <c r="B261" s="31"/>
      <c r="C261" s="31"/>
      <c r="D261" s="31"/>
      <c r="E261" s="31"/>
      <c r="F261" s="31"/>
      <c r="G261" s="31"/>
    </row>
    <row r="262" ht="15.75" customHeight="1">
      <c r="A262" s="31"/>
      <c r="B262" s="31"/>
      <c r="C262" s="31"/>
      <c r="D262" s="31"/>
      <c r="E262" s="31"/>
      <c r="F262" s="31"/>
      <c r="G262" s="31"/>
    </row>
    <row r="263" ht="15.75" customHeight="1">
      <c r="A263" s="31"/>
      <c r="B263" s="31"/>
      <c r="C263" s="31"/>
      <c r="D263" s="31"/>
      <c r="E263" s="31"/>
      <c r="F263" s="31"/>
      <c r="G263" s="31"/>
    </row>
    <row r="264" ht="15.75" customHeight="1">
      <c r="A264" s="31"/>
      <c r="B264" s="31"/>
      <c r="C264" s="31"/>
      <c r="D264" s="31"/>
      <c r="E264" s="31"/>
      <c r="F264" s="31"/>
      <c r="G264" s="31"/>
    </row>
    <row r="265" ht="15.75" customHeight="1">
      <c r="A265" s="31"/>
      <c r="B265" s="31"/>
      <c r="C265" s="31"/>
      <c r="D265" s="31"/>
      <c r="E265" s="31"/>
      <c r="F265" s="31"/>
      <c r="G265" s="31"/>
    </row>
    <row r="266" ht="15.75" customHeight="1">
      <c r="A266" s="31"/>
      <c r="B266" s="31"/>
      <c r="C266" s="31"/>
      <c r="D266" s="31"/>
      <c r="E266" s="31"/>
      <c r="F266" s="31"/>
      <c r="G266" s="31"/>
    </row>
    <row r="267" ht="15.75" customHeight="1">
      <c r="A267" s="31"/>
      <c r="B267" s="31"/>
      <c r="C267" s="31"/>
      <c r="D267" s="31"/>
      <c r="E267" s="31"/>
      <c r="F267" s="31"/>
      <c r="G267" s="31"/>
    </row>
    <row r="268" ht="15.75" customHeight="1">
      <c r="A268" s="31"/>
      <c r="B268" s="31"/>
      <c r="C268" s="31"/>
      <c r="D268" s="31"/>
      <c r="E268" s="31"/>
      <c r="F268" s="31"/>
      <c r="G268" s="31"/>
    </row>
    <row r="269" ht="15.75" customHeight="1">
      <c r="A269" s="31"/>
      <c r="B269" s="31"/>
      <c r="C269" s="31"/>
      <c r="D269" s="31"/>
      <c r="E269" s="31"/>
      <c r="F269" s="31"/>
      <c r="G269" s="31"/>
    </row>
    <row r="270" ht="15.75" customHeight="1">
      <c r="A270" s="31"/>
      <c r="B270" s="31"/>
      <c r="C270" s="31"/>
      <c r="D270" s="31"/>
      <c r="E270" s="31"/>
      <c r="F270" s="31"/>
      <c r="G270" s="31"/>
    </row>
    <row r="271" ht="15.75" customHeight="1">
      <c r="A271" s="31"/>
      <c r="B271" s="31"/>
      <c r="C271" s="31"/>
      <c r="D271" s="31"/>
      <c r="E271" s="31"/>
      <c r="F271" s="31"/>
      <c r="G271" s="31"/>
    </row>
    <row r="272" ht="15.75" customHeight="1">
      <c r="A272" s="31"/>
      <c r="B272" s="31"/>
      <c r="C272" s="31"/>
      <c r="D272" s="31"/>
      <c r="E272" s="31"/>
      <c r="F272" s="31"/>
      <c r="G272" s="31"/>
    </row>
    <row r="273" ht="15.75" customHeight="1">
      <c r="A273" s="31"/>
      <c r="B273" s="31"/>
      <c r="C273" s="31"/>
      <c r="D273" s="31"/>
      <c r="E273" s="31"/>
      <c r="F273" s="31"/>
      <c r="G273" s="31"/>
    </row>
    <row r="274" ht="15.75" customHeight="1">
      <c r="A274" s="31"/>
      <c r="B274" s="31"/>
      <c r="C274" s="31"/>
      <c r="D274" s="31"/>
      <c r="E274" s="31"/>
      <c r="F274" s="31"/>
      <c r="G274" s="31"/>
    </row>
    <row r="275" ht="15.75" customHeight="1">
      <c r="A275" s="31"/>
      <c r="B275" s="31"/>
      <c r="C275" s="31"/>
      <c r="D275" s="31"/>
      <c r="E275" s="31"/>
      <c r="F275" s="31"/>
      <c r="G275" s="31"/>
    </row>
    <row r="276" ht="15.75" customHeight="1">
      <c r="A276" s="31"/>
      <c r="B276" s="31"/>
      <c r="C276" s="31"/>
      <c r="D276" s="31"/>
      <c r="E276" s="31"/>
      <c r="F276" s="31"/>
      <c r="G276" s="31"/>
    </row>
    <row r="277" ht="15.75" customHeight="1">
      <c r="A277" s="31"/>
      <c r="B277" s="31"/>
      <c r="C277" s="31"/>
      <c r="D277" s="31"/>
      <c r="E277" s="31"/>
      <c r="F277" s="31"/>
      <c r="G277" s="31"/>
    </row>
    <row r="278" ht="15.75" customHeight="1">
      <c r="A278" s="31"/>
      <c r="B278" s="31"/>
      <c r="C278" s="31"/>
      <c r="D278" s="31"/>
      <c r="E278" s="31"/>
      <c r="F278" s="31"/>
      <c r="G278" s="31"/>
    </row>
    <row r="279" ht="15.75" customHeight="1">
      <c r="A279" s="31"/>
      <c r="B279" s="31"/>
      <c r="C279" s="31"/>
      <c r="D279" s="31"/>
      <c r="E279" s="31"/>
      <c r="F279" s="31"/>
      <c r="G279" s="31"/>
    </row>
    <row r="280" ht="15.75" customHeight="1">
      <c r="A280" s="31"/>
      <c r="B280" s="31"/>
      <c r="C280" s="31"/>
      <c r="D280" s="31"/>
      <c r="E280" s="31"/>
      <c r="F280" s="31"/>
      <c r="G280" s="31"/>
    </row>
    <row r="281" ht="15.75" customHeight="1">
      <c r="A281" s="31"/>
      <c r="B281" s="31"/>
      <c r="C281" s="31"/>
      <c r="D281" s="31"/>
      <c r="E281" s="31"/>
      <c r="F281" s="31"/>
      <c r="G281" s="31"/>
    </row>
    <row r="282" ht="15.75" customHeight="1">
      <c r="A282" s="31"/>
      <c r="B282" s="31"/>
      <c r="C282" s="31"/>
      <c r="D282" s="31"/>
      <c r="E282" s="31"/>
      <c r="F282" s="31"/>
      <c r="G282" s="31"/>
    </row>
    <row r="283" ht="15.75" customHeight="1">
      <c r="A283" s="31"/>
      <c r="B283" s="31"/>
      <c r="C283" s="31"/>
      <c r="D283" s="31"/>
      <c r="E283" s="31"/>
      <c r="F283" s="31"/>
      <c r="G283" s="31"/>
    </row>
    <row r="284" ht="15.75" customHeight="1">
      <c r="A284" s="31"/>
      <c r="B284" s="31"/>
      <c r="C284" s="31"/>
      <c r="D284" s="31"/>
      <c r="E284" s="31"/>
      <c r="F284" s="31"/>
      <c r="G284" s="31"/>
    </row>
    <row r="285" ht="15.75" customHeight="1">
      <c r="A285" s="31"/>
      <c r="B285" s="31"/>
      <c r="C285" s="31"/>
      <c r="D285" s="31"/>
      <c r="E285" s="31"/>
      <c r="F285" s="31"/>
      <c r="G285" s="31"/>
    </row>
    <row r="286" ht="15.75" customHeight="1">
      <c r="A286" s="31"/>
      <c r="B286" s="31"/>
      <c r="C286" s="31"/>
      <c r="D286" s="31"/>
      <c r="E286" s="31"/>
      <c r="F286" s="31"/>
      <c r="G286" s="31"/>
    </row>
    <row r="287" ht="15.75" customHeight="1">
      <c r="A287" s="31"/>
      <c r="B287" s="31"/>
      <c r="C287" s="31"/>
      <c r="D287" s="31"/>
      <c r="E287" s="31"/>
      <c r="F287" s="31"/>
      <c r="G287" s="31"/>
    </row>
    <row r="288" ht="15.75" customHeight="1">
      <c r="A288" s="31"/>
      <c r="B288" s="31"/>
      <c r="C288" s="31"/>
      <c r="D288" s="31"/>
      <c r="E288" s="31"/>
      <c r="F288" s="31"/>
      <c r="G288" s="31"/>
    </row>
    <row r="289" ht="15.75" customHeight="1">
      <c r="A289" s="31"/>
      <c r="B289" s="31"/>
      <c r="C289" s="31"/>
      <c r="D289" s="31"/>
      <c r="E289" s="31"/>
      <c r="F289" s="31"/>
      <c r="G289" s="31"/>
    </row>
    <row r="290" ht="15.75" customHeight="1">
      <c r="A290" s="31"/>
      <c r="B290" s="31"/>
      <c r="C290" s="31"/>
      <c r="D290" s="31"/>
      <c r="E290" s="31"/>
      <c r="F290" s="31"/>
      <c r="G290" s="31"/>
    </row>
    <row r="291" ht="15.75" customHeight="1">
      <c r="A291" s="31"/>
      <c r="B291" s="31"/>
      <c r="C291" s="31"/>
      <c r="D291" s="31"/>
      <c r="E291" s="31"/>
      <c r="F291" s="31"/>
      <c r="G291" s="31"/>
    </row>
    <row r="292" ht="15.75" customHeight="1">
      <c r="A292" s="31"/>
      <c r="B292" s="31"/>
      <c r="C292" s="31"/>
      <c r="D292" s="31"/>
      <c r="E292" s="31"/>
      <c r="F292" s="31"/>
      <c r="G292" s="31"/>
    </row>
    <row r="293" ht="15.75" customHeight="1">
      <c r="A293" s="31"/>
      <c r="B293" s="31"/>
      <c r="C293" s="31"/>
      <c r="D293" s="31"/>
      <c r="E293" s="31"/>
      <c r="F293" s="31"/>
      <c r="G293" s="31"/>
    </row>
    <row r="294" ht="15.75" customHeight="1">
      <c r="A294" s="31"/>
      <c r="B294" s="31"/>
      <c r="C294" s="31"/>
      <c r="D294" s="31"/>
      <c r="E294" s="31"/>
      <c r="F294" s="31"/>
      <c r="G294" s="31"/>
    </row>
    <row r="295" ht="15.75" customHeight="1">
      <c r="A295" s="31"/>
      <c r="B295" s="31"/>
      <c r="C295" s="31"/>
      <c r="D295" s="31"/>
      <c r="E295" s="31"/>
      <c r="F295" s="31"/>
      <c r="G295" s="31"/>
    </row>
    <row r="296" ht="15.75" customHeight="1">
      <c r="A296" s="31"/>
      <c r="B296" s="31"/>
      <c r="C296" s="31"/>
      <c r="D296" s="31"/>
      <c r="E296" s="31"/>
      <c r="F296" s="31"/>
      <c r="G296" s="31"/>
    </row>
    <row r="297" ht="15.75" customHeight="1">
      <c r="A297" s="31"/>
      <c r="B297" s="31"/>
      <c r="C297" s="31"/>
      <c r="D297" s="31"/>
      <c r="E297" s="31"/>
      <c r="F297" s="31"/>
      <c r="G297" s="31"/>
    </row>
    <row r="298" ht="15.75" customHeight="1">
      <c r="A298" s="31"/>
      <c r="B298" s="31"/>
      <c r="C298" s="31"/>
      <c r="D298" s="31"/>
      <c r="E298" s="31"/>
      <c r="F298" s="31"/>
      <c r="G298" s="31"/>
    </row>
    <row r="299" ht="15.75" customHeight="1">
      <c r="A299" s="31"/>
      <c r="B299" s="31"/>
      <c r="C299" s="31"/>
      <c r="D299" s="31"/>
      <c r="E299" s="31"/>
      <c r="F299" s="31"/>
      <c r="G299" s="31"/>
    </row>
    <row r="300" ht="15.75" customHeight="1">
      <c r="A300" s="31"/>
      <c r="B300" s="31"/>
      <c r="C300" s="31"/>
      <c r="D300" s="31"/>
      <c r="E300" s="31"/>
      <c r="F300" s="31"/>
      <c r="G300" s="31"/>
    </row>
    <row r="301" ht="15.75" customHeight="1">
      <c r="A301" s="31"/>
      <c r="B301" s="31"/>
      <c r="C301" s="31"/>
      <c r="D301" s="31"/>
      <c r="E301" s="31"/>
      <c r="F301" s="31"/>
      <c r="G301" s="31"/>
    </row>
    <row r="302" ht="15.75" customHeight="1">
      <c r="A302" s="31"/>
      <c r="B302" s="31"/>
      <c r="C302" s="31"/>
      <c r="D302" s="31"/>
      <c r="E302" s="31"/>
      <c r="F302" s="31"/>
      <c r="G302" s="31"/>
    </row>
    <row r="303" ht="15.75" customHeight="1">
      <c r="A303" s="31"/>
      <c r="B303" s="31"/>
      <c r="C303" s="31"/>
      <c r="D303" s="31"/>
      <c r="E303" s="31"/>
      <c r="F303" s="31"/>
      <c r="G303" s="31"/>
    </row>
    <row r="304" ht="15.75" customHeight="1">
      <c r="A304" s="31"/>
      <c r="B304" s="31"/>
      <c r="C304" s="31"/>
      <c r="D304" s="31"/>
      <c r="E304" s="31"/>
      <c r="F304" s="31"/>
      <c r="G304" s="31"/>
    </row>
    <row r="305" ht="15.75" customHeight="1">
      <c r="A305" s="31"/>
      <c r="B305" s="31"/>
      <c r="C305" s="31"/>
      <c r="D305" s="31"/>
      <c r="E305" s="31"/>
      <c r="F305" s="31"/>
      <c r="G305" s="31"/>
    </row>
    <row r="306" ht="15.75" customHeight="1">
      <c r="A306" s="31"/>
      <c r="B306" s="31"/>
      <c r="C306" s="31"/>
      <c r="D306" s="31"/>
      <c r="E306" s="31"/>
      <c r="F306" s="31"/>
      <c r="G306" s="31"/>
    </row>
    <row r="307" ht="15.75" customHeight="1">
      <c r="A307" s="31"/>
      <c r="B307" s="31"/>
      <c r="C307" s="31"/>
      <c r="D307" s="31"/>
      <c r="E307" s="31"/>
      <c r="F307" s="31"/>
      <c r="G307" s="31"/>
    </row>
    <row r="308" ht="15.75" customHeight="1">
      <c r="A308" s="31"/>
      <c r="B308" s="31"/>
      <c r="C308" s="31"/>
      <c r="D308" s="31"/>
      <c r="E308" s="31"/>
      <c r="F308" s="31"/>
      <c r="G308" s="31"/>
    </row>
    <row r="309" ht="15.75" customHeight="1">
      <c r="A309" s="31"/>
      <c r="B309" s="31"/>
      <c r="C309" s="31"/>
      <c r="D309" s="31"/>
      <c r="E309" s="31"/>
      <c r="F309" s="31"/>
      <c r="G309" s="31"/>
    </row>
    <row r="310" ht="15.75" customHeight="1">
      <c r="A310" s="31"/>
      <c r="B310" s="31"/>
      <c r="C310" s="31"/>
      <c r="D310" s="31"/>
      <c r="E310" s="31"/>
      <c r="F310" s="31"/>
      <c r="G310" s="31"/>
    </row>
    <row r="311" ht="15.75" customHeight="1">
      <c r="A311" s="31"/>
      <c r="B311" s="31"/>
      <c r="C311" s="31"/>
      <c r="D311" s="31"/>
      <c r="E311" s="31"/>
      <c r="F311" s="31"/>
      <c r="G311" s="31"/>
    </row>
    <row r="312" ht="15.75" customHeight="1">
      <c r="A312" s="31"/>
      <c r="B312" s="31"/>
      <c r="C312" s="31"/>
      <c r="D312" s="31"/>
      <c r="E312" s="31"/>
      <c r="F312" s="31"/>
      <c r="G312" s="31"/>
    </row>
    <row r="313" ht="15.75" customHeight="1">
      <c r="A313" s="31"/>
      <c r="B313" s="31"/>
      <c r="C313" s="31"/>
      <c r="D313" s="31"/>
      <c r="E313" s="31"/>
      <c r="F313" s="31"/>
      <c r="G313" s="31"/>
    </row>
    <row r="314" ht="15.75" customHeight="1">
      <c r="A314" s="31"/>
      <c r="B314" s="31"/>
      <c r="C314" s="31"/>
      <c r="D314" s="31"/>
      <c r="E314" s="31"/>
      <c r="F314" s="31"/>
      <c r="G314" s="31"/>
    </row>
    <row r="315" ht="15.75" customHeight="1">
      <c r="A315" s="31"/>
      <c r="B315" s="31"/>
      <c r="C315" s="31"/>
      <c r="D315" s="31"/>
      <c r="E315" s="31"/>
      <c r="F315" s="31"/>
      <c r="G315" s="31"/>
    </row>
    <row r="316" ht="15.75" customHeight="1">
      <c r="A316" s="31"/>
      <c r="B316" s="31"/>
      <c r="C316" s="31"/>
      <c r="D316" s="31"/>
      <c r="E316" s="31"/>
      <c r="F316" s="31"/>
      <c r="G316" s="31"/>
    </row>
    <row r="317" ht="15.75" customHeight="1">
      <c r="A317" s="31"/>
      <c r="B317" s="31"/>
      <c r="C317" s="31"/>
      <c r="D317" s="31"/>
      <c r="E317" s="31"/>
      <c r="F317" s="31"/>
      <c r="G317" s="31"/>
    </row>
    <row r="318" ht="15.75" customHeight="1">
      <c r="A318" s="31"/>
      <c r="B318" s="31"/>
      <c r="C318" s="31"/>
      <c r="D318" s="31"/>
      <c r="E318" s="31"/>
      <c r="F318" s="31"/>
      <c r="G318" s="31"/>
    </row>
    <row r="319" ht="15.75" customHeight="1">
      <c r="A319" s="31"/>
      <c r="B319" s="31"/>
      <c r="C319" s="31"/>
      <c r="D319" s="31"/>
      <c r="E319" s="31"/>
      <c r="F319" s="31"/>
      <c r="G319" s="31"/>
    </row>
    <row r="320" ht="15.75" customHeight="1">
      <c r="A320" s="31"/>
      <c r="B320" s="31"/>
      <c r="C320" s="31"/>
      <c r="D320" s="31"/>
      <c r="E320" s="31"/>
      <c r="F320" s="31"/>
      <c r="G320" s="31"/>
    </row>
    <row r="321" ht="15.75" customHeight="1">
      <c r="A321" s="31"/>
      <c r="B321" s="31"/>
      <c r="C321" s="31"/>
      <c r="D321" s="31"/>
      <c r="E321" s="31"/>
      <c r="F321" s="31"/>
      <c r="G321" s="31"/>
    </row>
    <row r="322" ht="15.75" customHeight="1">
      <c r="A322" s="31"/>
      <c r="B322" s="31"/>
      <c r="C322" s="31"/>
      <c r="D322" s="31"/>
      <c r="E322" s="31"/>
      <c r="F322" s="31"/>
      <c r="G322" s="31"/>
    </row>
    <row r="323" ht="15.75" customHeight="1">
      <c r="A323" s="31"/>
      <c r="B323" s="31"/>
      <c r="C323" s="31"/>
      <c r="D323" s="31"/>
      <c r="E323" s="31"/>
      <c r="F323" s="31"/>
      <c r="G323" s="31"/>
    </row>
    <row r="324" ht="15.75" customHeight="1">
      <c r="A324" s="31"/>
      <c r="B324" s="31"/>
      <c r="C324" s="31"/>
      <c r="D324" s="31"/>
      <c r="E324" s="31"/>
      <c r="F324" s="31"/>
      <c r="G324" s="31"/>
    </row>
    <row r="325" ht="15.75" customHeight="1">
      <c r="A325" s="31"/>
      <c r="B325" s="31"/>
      <c r="C325" s="31"/>
      <c r="D325" s="31"/>
      <c r="E325" s="31"/>
      <c r="F325" s="31"/>
      <c r="G325" s="31"/>
    </row>
    <row r="326" ht="15.75" customHeight="1">
      <c r="A326" s="31"/>
      <c r="B326" s="31"/>
      <c r="C326" s="31"/>
      <c r="D326" s="31"/>
      <c r="E326" s="31"/>
      <c r="F326" s="31"/>
      <c r="G326" s="31"/>
    </row>
    <row r="327" ht="15.75" customHeight="1">
      <c r="A327" s="31"/>
      <c r="B327" s="31"/>
      <c r="C327" s="31"/>
      <c r="D327" s="31"/>
      <c r="E327" s="31"/>
      <c r="F327" s="31"/>
      <c r="G327" s="31"/>
    </row>
    <row r="328" ht="15.75" customHeight="1">
      <c r="A328" s="31"/>
      <c r="B328" s="31"/>
      <c r="C328" s="31"/>
      <c r="D328" s="31"/>
      <c r="E328" s="31"/>
      <c r="F328" s="31"/>
      <c r="G328" s="31"/>
    </row>
    <row r="329" ht="15.75" customHeight="1">
      <c r="A329" s="31"/>
      <c r="B329" s="31"/>
      <c r="C329" s="31"/>
      <c r="D329" s="31"/>
      <c r="E329" s="31"/>
      <c r="F329" s="31"/>
      <c r="G329" s="31"/>
    </row>
    <row r="330" ht="15.75" customHeight="1">
      <c r="A330" s="31"/>
      <c r="B330" s="31"/>
      <c r="C330" s="31"/>
      <c r="D330" s="31"/>
      <c r="E330" s="31"/>
      <c r="F330" s="31"/>
      <c r="G330" s="31"/>
    </row>
    <row r="331" ht="15.75" customHeight="1">
      <c r="A331" s="31"/>
      <c r="B331" s="31"/>
      <c r="C331" s="31"/>
      <c r="D331" s="31"/>
      <c r="E331" s="31"/>
      <c r="F331" s="31"/>
      <c r="G331" s="31"/>
    </row>
    <row r="332" ht="15.75" customHeight="1">
      <c r="A332" s="31"/>
      <c r="B332" s="31"/>
      <c r="C332" s="31"/>
      <c r="D332" s="31"/>
      <c r="E332" s="31"/>
      <c r="F332" s="31"/>
      <c r="G332" s="31"/>
    </row>
    <row r="333" ht="15.75" customHeight="1">
      <c r="A333" s="31"/>
      <c r="B333" s="31"/>
      <c r="C333" s="31"/>
      <c r="D333" s="31"/>
      <c r="E333" s="31"/>
      <c r="F333" s="31"/>
      <c r="G333" s="31"/>
    </row>
    <row r="334" ht="15.75" customHeight="1">
      <c r="A334" s="31"/>
      <c r="B334" s="31"/>
      <c r="C334" s="31"/>
      <c r="D334" s="31"/>
      <c r="E334" s="31"/>
      <c r="F334" s="31"/>
      <c r="G334" s="31"/>
    </row>
    <row r="335" ht="15.75" customHeight="1">
      <c r="A335" s="31"/>
      <c r="B335" s="31"/>
      <c r="C335" s="31"/>
      <c r="D335" s="31"/>
      <c r="E335" s="31"/>
      <c r="F335" s="31"/>
      <c r="G335" s="31"/>
    </row>
    <row r="336" ht="15.75" customHeight="1">
      <c r="A336" s="31"/>
      <c r="B336" s="31"/>
      <c r="C336" s="31"/>
      <c r="D336" s="31"/>
      <c r="E336" s="31"/>
      <c r="F336" s="31"/>
      <c r="G336" s="31"/>
    </row>
    <row r="337" ht="15.75" customHeight="1">
      <c r="A337" s="31"/>
      <c r="B337" s="31"/>
      <c r="C337" s="31"/>
      <c r="D337" s="31"/>
      <c r="E337" s="31"/>
      <c r="F337" s="31"/>
      <c r="G337" s="31"/>
    </row>
    <row r="338" ht="15.75" customHeight="1">
      <c r="A338" s="31"/>
      <c r="B338" s="31"/>
      <c r="C338" s="31"/>
      <c r="D338" s="31"/>
      <c r="E338" s="31"/>
      <c r="F338" s="31"/>
      <c r="G338" s="31"/>
    </row>
    <row r="339" ht="15.75" customHeight="1">
      <c r="A339" s="31"/>
      <c r="B339" s="31"/>
      <c r="C339" s="31"/>
      <c r="D339" s="31"/>
      <c r="E339" s="31"/>
      <c r="F339" s="31"/>
      <c r="G339" s="31"/>
    </row>
    <row r="340" ht="15.75" customHeight="1">
      <c r="A340" s="31"/>
      <c r="B340" s="31"/>
      <c r="C340" s="31"/>
      <c r="D340" s="31"/>
      <c r="E340" s="31"/>
      <c r="F340" s="31"/>
      <c r="G340" s="31"/>
    </row>
    <row r="341" ht="15.75" customHeight="1">
      <c r="A341" s="31"/>
      <c r="B341" s="31"/>
      <c r="C341" s="31"/>
      <c r="D341" s="31"/>
      <c r="E341" s="31"/>
      <c r="F341" s="31"/>
      <c r="G341" s="31"/>
    </row>
    <row r="342" ht="15.75" customHeight="1">
      <c r="A342" s="31"/>
      <c r="B342" s="31"/>
      <c r="C342" s="31"/>
      <c r="D342" s="31"/>
      <c r="E342" s="31"/>
      <c r="F342" s="31"/>
      <c r="G342" s="31"/>
    </row>
    <row r="343" ht="15.75" customHeight="1">
      <c r="A343" s="31"/>
      <c r="B343" s="31"/>
      <c r="C343" s="31"/>
      <c r="D343" s="31"/>
      <c r="E343" s="31"/>
      <c r="F343" s="31"/>
      <c r="G343" s="31"/>
    </row>
    <row r="344" ht="15.75" customHeight="1">
      <c r="A344" s="31"/>
      <c r="B344" s="31"/>
      <c r="C344" s="31"/>
      <c r="D344" s="31"/>
      <c r="E344" s="31"/>
      <c r="F344" s="31"/>
      <c r="G344" s="31"/>
    </row>
    <row r="345" ht="15.75" customHeight="1">
      <c r="A345" s="31"/>
      <c r="B345" s="31"/>
      <c r="C345" s="31"/>
      <c r="D345" s="31"/>
      <c r="E345" s="31"/>
      <c r="F345" s="31"/>
      <c r="G345" s="31"/>
    </row>
    <row r="346" ht="15.75" customHeight="1">
      <c r="A346" s="31"/>
      <c r="B346" s="31"/>
      <c r="C346" s="31"/>
      <c r="D346" s="31"/>
      <c r="E346" s="31"/>
      <c r="F346" s="31"/>
      <c r="G346" s="31"/>
    </row>
    <row r="347" ht="15.75" customHeight="1">
      <c r="A347" s="31"/>
      <c r="B347" s="31"/>
      <c r="C347" s="31"/>
      <c r="D347" s="31"/>
      <c r="E347" s="31"/>
      <c r="F347" s="31"/>
      <c r="G347" s="31"/>
    </row>
    <row r="348" ht="15.75" customHeight="1">
      <c r="A348" s="31"/>
      <c r="B348" s="31"/>
      <c r="C348" s="31"/>
      <c r="D348" s="31"/>
      <c r="E348" s="31"/>
      <c r="F348" s="31"/>
      <c r="G348" s="31"/>
    </row>
    <row r="349" ht="15.75" customHeight="1">
      <c r="A349" s="31"/>
      <c r="B349" s="31"/>
      <c r="C349" s="31"/>
      <c r="D349" s="31"/>
      <c r="E349" s="31"/>
      <c r="F349" s="31"/>
      <c r="G349" s="31"/>
    </row>
    <row r="350" ht="15.75" customHeight="1">
      <c r="A350" s="31"/>
      <c r="B350" s="31"/>
      <c r="C350" s="31"/>
      <c r="D350" s="31"/>
      <c r="E350" s="31"/>
      <c r="F350" s="31"/>
      <c r="G350" s="31"/>
    </row>
    <row r="351" ht="15.75" customHeight="1">
      <c r="A351" s="31"/>
      <c r="B351" s="31"/>
      <c r="C351" s="31"/>
      <c r="D351" s="31"/>
      <c r="E351" s="31"/>
      <c r="F351" s="31"/>
      <c r="G351" s="31"/>
    </row>
    <row r="352" ht="15.75" customHeight="1">
      <c r="A352" s="31"/>
      <c r="B352" s="31"/>
      <c r="C352" s="31"/>
      <c r="D352" s="31"/>
      <c r="E352" s="31"/>
      <c r="F352" s="31"/>
      <c r="G352" s="31"/>
    </row>
    <row r="353" ht="15.75" customHeight="1">
      <c r="A353" s="31"/>
      <c r="B353" s="31"/>
      <c r="C353" s="31"/>
      <c r="D353" s="31"/>
      <c r="E353" s="31"/>
      <c r="F353" s="31"/>
      <c r="G353" s="31"/>
    </row>
    <row r="354" ht="15.75" customHeight="1">
      <c r="A354" s="31"/>
      <c r="B354" s="31"/>
      <c r="C354" s="31"/>
      <c r="D354" s="31"/>
      <c r="E354" s="31"/>
      <c r="F354" s="31"/>
      <c r="G354" s="31"/>
    </row>
    <row r="355" ht="15.75" customHeight="1">
      <c r="A355" s="31"/>
      <c r="B355" s="31"/>
      <c r="C355" s="31"/>
      <c r="D355" s="31"/>
      <c r="E355" s="31"/>
      <c r="F355" s="31"/>
      <c r="G355" s="31"/>
    </row>
    <row r="356" ht="15.75" customHeight="1">
      <c r="A356" s="31"/>
      <c r="B356" s="31"/>
      <c r="C356" s="31"/>
      <c r="D356" s="31"/>
      <c r="E356" s="31"/>
      <c r="F356" s="31"/>
      <c r="G356" s="31"/>
    </row>
    <row r="357" ht="15.75" customHeight="1">
      <c r="A357" s="31"/>
      <c r="B357" s="31"/>
      <c r="C357" s="31"/>
      <c r="D357" s="31"/>
      <c r="E357" s="31"/>
      <c r="F357" s="31"/>
      <c r="G357" s="31"/>
    </row>
    <row r="358" ht="15.75" customHeight="1">
      <c r="A358" s="31"/>
      <c r="B358" s="31"/>
      <c r="C358" s="31"/>
      <c r="D358" s="31"/>
      <c r="E358" s="31"/>
      <c r="F358" s="31"/>
      <c r="G358" s="31"/>
    </row>
    <row r="359" ht="15.75" customHeight="1">
      <c r="A359" s="31"/>
      <c r="B359" s="31"/>
      <c r="C359" s="31"/>
      <c r="D359" s="31"/>
      <c r="E359" s="31"/>
      <c r="F359" s="31"/>
      <c r="G359" s="31"/>
    </row>
    <row r="360" ht="15.75" customHeight="1">
      <c r="A360" s="31"/>
      <c r="B360" s="31"/>
      <c r="C360" s="31"/>
      <c r="D360" s="31"/>
      <c r="E360" s="31"/>
      <c r="F360" s="31"/>
      <c r="G360" s="31"/>
    </row>
    <row r="361" ht="15.75" customHeight="1">
      <c r="A361" s="31"/>
      <c r="B361" s="31"/>
      <c r="C361" s="31"/>
      <c r="D361" s="31"/>
      <c r="E361" s="31"/>
      <c r="F361" s="31"/>
      <c r="G361" s="31"/>
    </row>
    <row r="362" ht="15.75" customHeight="1">
      <c r="A362" s="31"/>
      <c r="B362" s="31"/>
      <c r="C362" s="31"/>
      <c r="D362" s="31"/>
      <c r="E362" s="31"/>
      <c r="F362" s="31"/>
      <c r="G362" s="31"/>
    </row>
    <row r="363" ht="15.75" customHeight="1">
      <c r="A363" s="31"/>
      <c r="B363" s="31"/>
      <c r="C363" s="31"/>
      <c r="D363" s="31"/>
      <c r="E363" s="31"/>
      <c r="F363" s="31"/>
      <c r="G363" s="31"/>
    </row>
    <row r="364" ht="15.75" customHeight="1">
      <c r="A364" s="31"/>
      <c r="B364" s="31"/>
      <c r="C364" s="31"/>
      <c r="D364" s="31"/>
      <c r="E364" s="31"/>
      <c r="F364" s="31"/>
      <c r="G364" s="31"/>
    </row>
    <row r="365" ht="15.75" customHeight="1">
      <c r="A365" s="31"/>
      <c r="B365" s="31"/>
      <c r="C365" s="31"/>
      <c r="D365" s="31"/>
      <c r="E365" s="31"/>
      <c r="F365" s="31"/>
      <c r="G365" s="31"/>
    </row>
    <row r="366" ht="15.75" customHeight="1">
      <c r="A366" s="31"/>
      <c r="B366" s="31"/>
      <c r="C366" s="31"/>
      <c r="D366" s="31"/>
      <c r="E366" s="31"/>
      <c r="F366" s="31"/>
      <c r="G366" s="31"/>
    </row>
    <row r="367" ht="15.75" customHeight="1">
      <c r="A367" s="31"/>
      <c r="B367" s="31"/>
      <c r="C367" s="31"/>
      <c r="D367" s="31"/>
      <c r="E367" s="31"/>
      <c r="F367" s="31"/>
      <c r="G367" s="31"/>
    </row>
    <row r="368" ht="15.75" customHeight="1">
      <c r="A368" s="31"/>
      <c r="B368" s="31"/>
      <c r="C368" s="31"/>
      <c r="D368" s="31"/>
      <c r="E368" s="31"/>
      <c r="F368" s="31"/>
      <c r="G368" s="31"/>
    </row>
    <row r="369" ht="15.75" customHeight="1">
      <c r="A369" s="31"/>
      <c r="B369" s="31"/>
      <c r="C369" s="31"/>
      <c r="D369" s="31"/>
      <c r="E369" s="31"/>
      <c r="F369" s="31"/>
      <c r="G369" s="31"/>
    </row>
    <row r="370" ht="15.75" customHeight="1">
      <c r="A370" s="31"/>
      <c r="B370" s="31"/>
      <c r="C370" s="31"/>
      <c r="D370" s="31"/>
      <c r="E370" s="31"/>
      <c r="F370" s="31"/>
      <c r="G370" s="31"/>
    </row>
    <row r="371" ht="15.75" customHeight="1">
      <c r="A371" s="31"/>
      <c r="B371" s="31"/>
      <c r="C371" s="31"/>
      <c r="D371" s="31"/>
      <c r="E371" s="31"/>
      <c r="F371" s="31"/>
      <c r="G371" s="31"/>
    </row>
    <row r="372" ht="15.75" customHeight="1">
      <c r="A372" s="31"/>
      <c r="B372" s="31"/>
      <c r="C372" s="31"/>
      <c r="D372" s="31"/>
      <c r="E372" s="31"/>
      <c r="F372" s="31"/>
      <c r="G372" s="31"/>
    </row>
    <row r="373" ht="15.75" customHeight="1">
      <c r="A373" s="31"/>
      <c r="B373" s="31"/>
      <c r="C373" s="31"/>
      <c r="D373" s="31"/>
      <c r="E373" s="31"/>
      <c r="F373" s="31"/>
      <c r="G373" s="31"/>
    </row>
    <row r="374" ht="15.75" customHeight="1">
      <c r="A374" s="31"/>
      <c r="B374" s="31"/>
      <c r="C374" s="31"/>
      <c r="D374" s="31"/>
      <c r="E374" s="31"/>
      <c r="F374" s="31"/>
      <c r="G374" s="31"/>
    </row>
    <row r="375" ht="15.75" customHeight="1">
      <c r="A375" s="31"/>
      <c r="B375" s="31"/>
      <c r="C375" s="31"/>
      <c r="D375" s="31"/>
      <c r="E375" s="31"/>
      <c r="F375" s="31"/>
      <c r="G375" s="31"/>
    </row>
    <row r="376" ht="15.75" customHeight="1">
      <c r="A376" s="31"/>
      <c r="B376" s="31"/>
      <c r="C376" s="31"/>
      <c r="D376" s="31"/>
      <c r="E376" s="31"/>
      <c r="F376" s="31"/>
      <c r="G376" s="31"/>
    </row>
    <row r="377" ht="15.75" customHeight="1">
      <c r="A377" s="31"/>
      <c r="B377" s="31"/>
      <c r="C377" s="31"/>
      <c r="D377" s="31"/>
      <c r="E377" s="31"/>
      <c r="F377" s="31"/>
      <c r="G377" s="31"/>
    </row>
    <row r="378" ht="15.75" customHeight="1">
      <c r="A378" s="31"/>
      <c r="B378" s="31"/>
      <c r="C378" s="31"/>
      <c r="D378" s="31"/>
      <c r="E378" s="31"/>
      <c r="F378" s="31"/>
      <c r="G378" s="31"/>
    </row>
    <row r="379" ht="15.75" customHeight="1">
      <c r="A379" s="31"/>
      <c r="B379" s="31"/>
      <c r="C379" s="31"/>
      <c r="D379" s="31"/>
      <c r="E379" s="31"/>
      <c r="F379" s="31"/>
      <c r="G379" s="31"/>
    </row>
    <row r="380" ht="15.75" customHeight="1">
      <c r="A380" s="31"/>
      <c r="B380" s="31"/>
      <c r="C380" s="31"/>
      <c r="D380" s="31"/>
      <c r="E380" s="31"/>
      <c r="F380" s="31"/>
      <c r="G380" s="31"/>
    </row>
    <row r="381" ht="15.75" customHeight="1">
      <c r="A381" s="31"/>
      <c r="B381" s="31"/>
      <c r="C381" s="31"/>
      <c r="D381" s="31"/>
      <c r="E381" s="31"/>
      <c r="F381" s="31"/>
      <c r="G381" s="31"/>
    </row>
    <row r="382" ht="15.75" customHeight="1">
      <c r="A382" s="31"/>
      <c r="B382" s="31"/>
      <c r="C382" s="31"/>
      <c r="D382" s="31"/>
      <c r="E382" s="31"/>
      <c r="F382" s="31"/>
      <c r="G382" s="31"/>
    </row>
    <row r="383" ht="15.75" customHeight="1">
      <c r="A383" s="31"/>
      <c r="B383" s="31"/>
      <c r="C383" s="31"/>
      <c r="D383" s="31"/>
      <c r="E383" s="31"/>
      <c r="F383" s="31"/>
      <c r="G383" s="31"/>
    </row>
    <row r="384" ht="15.75" customHeight="1">
      <c r="A384" s="31"/>
      <c r="B384" s="31"/>
      <c r="C384" s="31"/>
      <c r="D384" s="31"/>
      <c r="E384" s="31"/>
      <c r="F384" s="31"/>
      <c r="G384" s="31"/>
    </row>
    <row r="385" ht="15.75" customHeight="1">
      <c r="A385" s="31"/>
      <c r="B385" s="31"/>
      <c r="C385" s="31"/>
      <c r="D385" s="31"/>
      <c r="E385" s="31"/>
      <c r="F385" s="31"/>
      <c r="G385" s="31"/>
    </row>
    <row r="386" ht="15.75" customHeight="1">
      <c r="A386" s="31"/>
      <c r="B386" s="31"/>
      <c r="C386" s="31"/>
      <c r="D386" s="31"/>
      <c r="E386" s="31"/>
      <c r="F386" s="31"/>
      <c r="G386" s="31"/>
    </row>
    <row r="387" ht="15.75" customHeight="1">
      <c r="A387" s="31"/>
      <c r="B387" s="31"/>
      <c r="C387" s="31"/>
      <c r="D387" s="31"/>
      <c r="E387" s="31"/>
      <c r="F387" s="31"/>
      <c r="G387" s="31"/>
    </row>
    <row r="388" ht="15.75" customHeight="1">
      <c r="A388" s="31"/>
      <c r="B388" s="31"/>
      <c r="C388" s="31"/>
      <c r="D388" s="31"/>
      <c r="E388" s="31"/>
      <c r="F388" s="31"/>
      <c r="G388" s="31"/>
    </row>
    <row r="389" ht="15.75" customHeight="1">
      <c r="A389" s="31"/>
      <c r="B389" s="31"/>
      <c r="C389" s="31"/>
      <c r="D389" s="31"/>
      <c r="E389" s="31"/>
      <c r="F389" s="31"/>
      <c r="G389" s="31"/>
    </row>
    <row r="390" ht="15.75" customHeight="1">
      <c r="A390" s="31"/>
      <c r="B390" s="31"/>
      <c r="C390" s="31"/>
      <c r="D390" s="31"/>
      <c r="E390" s="31"/>
      <c r="F390" s="31"/>
      <c r="G390" s="31"/>
    </row>
    <row r="391" ht="15.75" customHeight="1">
      <c r="A391" s="31"/>
      <c r="B391" s="31"/>
      <c r="C391" s="31"/>
      <c r="D391" s="31"/>
      <c r="E391" s="31"/>
      <c r="F391" s="31"/>
      <c r="G391" s="31"/>
    </row>
    <row r="392" ht="15.75" customHeight="1">
      <c r="A392" s="31"/>
      <c r="B392" s="31"/>
      <c r="C392" s="31"/>
      <c r="D392" s="31"/>
      <c r="E392" s="31"/>
      <c r="F392" s="31"/>
      <c r="G392" s="31"/>
    </row>
    <row r="393" ht="15.75" customHeight="1">
      <c r="A393" s="31"/>
      <c r="B393" s="31"/>
      <c r="C393" s="31"/>
      <c r="D393" s="31"/>
      <c r="E393" s="31"/>
      <c r="F393" s="31"/>
      <c r="G393" s="31"/>
    </row>
    <row r="394" ht="15.75" customHeight="1">
      <c r="A394" s="31"/>
      <c r="B394" s="31"/>
      <c r="C394" s="31"/>
      <c r="D394" s="31"/>
      <c r="E394" s="31"/>
      <c r="F394" s="31"/>
      <c r="G394" s="31"/>
    </row>
    <row r="395" ht="15.75" customHeight="1">
      <c r="A395" s="31"/>
      <c r="B395" s="31"/>
      <c r="C395" s="31"/>
      <c r="D395" s="31"/>
      <c r="E395" s="31"/>
      <c r="F395" s="31"/>
      <c r="G395" s="31"/>
    </row>
    <row r="396" ht="15.75" customHeight="1">
      <c r="A396" s="31"/>
      <c r="B396" s="31"/>
      <c r="C396" s="31"/>
      <c r="D396" s="31"/>
      <c r="E396" s="31"/>
      <c r="F396" s="31"/>
      <c r="G396" s="31"/>
    </row>
    <row r="397" ht="15.75" customHeight="1">
      <c r="A397" s="31"/>
      <c r="B397" s="31"/>
      <c r="C397" s="31"/>
      <c r="D397" s="31"/>
      <c r="E397" s="31"/>
      <c r="F397" s="31"/>
      <c r="G397" s="31"/>
    </row>
    <row r="398" ht="15.75" customHeight="1">
      <c r="A398" s="31"/>
      <c r="B398" s="31"/>
      <c r="C398" s="31"/>
      <c r="D398" s="31"/>
      <c r="E398" s="31"/>
      <c r="F398" s="31"/>
      <c r="G398" s="31"/>
    </row>
    <row r="399" ht="15.75" customHeight="1">
      <c r="A399" s="31"/>
      <c r="B399" s="31"/>
      <c r="C399" s="31"/>
      <c r="D399" s="31"/>
      <c r="E399" s="31"/>
      <c r="F399" s="31"/>
      <c r="G399" s="31"/>
    </row>
    <row r="400" ht="15.75" customHeight="1">
      <c r="A400" s="31"/>
      <c r="B400" s="31"/>
      <c r="C400" s="31"/>
      <c r="D400" s="31"/>
      <c r="E400" s="31"/>
      <c r="F400" s="31"/>
      <c r="G400" s="31"/>
    </row>
    <row r="401" ht="15.75" customHeight="1">
      <c r="A401" s="31"/>
      <c r="B401" s="31"/>
      <c r="C401" s="31"/>
      <c r="D401" s="31"/>
      <c r="E401" s="31"/>
      <c r="F401" s="31"/>
      <c r="G401" s="31"/>
    </row>
    <row r="402" ht="15.75" customHeight="1">
      <c r="A402" s="31"/>
      <c r="B402" s="31"/>
      <c r="C402" s="31"/>
      <c r="D402" s="31"/>
      <c r="E402" s="31"/>
      <c r="F402" s="31"/>
      <c r="G402" s="31"/>
    </row>
    <row r="403" ht="15.75" customHeight="1">
      <c r="A403" s="31"/>
      <c r="B403" s="31"/>
      <c r="C403" s="31"/>
      <c r="D403" s="31"/>
      <c r="E403" s="31"/>
      <c r="F403" s="31"/>
      <c r="G403" s="31"/>
    </row>
    <row r="404" ht="15.75" customHeight="1">
      <c r="A404" s="31"/>
      <c r="B404" s="31"/>
      <c r="C404" s="31"/>
      <c r="D404" s="31"/>
      <c r="E404" s="31"/>
      <c r="F404" s="31"/>
      <c r="G404" s="31"/>
    </row>
    <row r="405" ht="15.75" customHeight="1">
      <c r="A405" s="31"/>
      <c r="B405" s="31"/>
      <c r="C405" s="31"/>
      <c r="D405" s="31"/>
      <c r="E405" s="31"/>
      <c r="F405" s="31"/>
      <c r="G405" s="31"/>
    </row>
    <row r="406" ht="15.75" customHeight="1">
      <c r="A406" s="31"/>
      <c r="B406" s="31"/>
      <c r="C406" s="31"/>
      <c r="D406" s="31"/>
      <c r="E406" s="31"/>
      <c r="F406" s="31"/>
      <c r="G406" s="31"/>
    </row>
    <row r="407" ht="15.75" customHeight="1">
      <c r="A407" s="31"/>
      <c r="B407" s="31"/>
      <c r="C407" s="31"/>
      <c r="D407" s="31"/>
      <c r="E407" s="31"/>
      <c r="F407" s="31"/>
      <c r="G407" s="31"/>
    </row>
    <row r="408" ht="15.75" customHeight="1">
      <c r="A408" s="31"/>
      <c r="B408" s="31"/>
      <c r="C408" s="31"/>
      <c r="D408" s="31"/>
      <c r="E408" s="31"/>
      <c r="F408" s="31"/>
      <c r="G408" s="31"/>
    </row>
    <row r="409" ht="15.75" customHeight="1">
      <c r="A409" s="31"/>
      <c r="B409" s="31"/>
      <c r="C409" s="31"/>
      <c r="D409" s="31"/>
      <c r="E409" s="31"/>
      <c r="F409" s="31"/>
      <c r="G409" s="31"/>
    </row>
    <row r="410" ht="15.75" customHeight="1">
      <c r="A410" s="31"/>
      <c r="B410" s="31"/>
      <c r="C410" s="31"/>
      <c r="D410" s="31"/>
      <c r="E410" s="31"/>
      <c r="F410" s="31"/>
      <c r="G410" s="31"/>
    </row>
    <row r="411" ht="15.75" customHeight="1">
      <c r="A411" s="31"/>
      <c r="B411" s="31"/>
      <c r="C411" s="31"/>
      <c r="D411" s="31"/>
      <c r="E411" s="31"/>
      <c r="F411" s="31"/>
      <c r="G411" s="31"/>
    </row>
    <row r="412" ht="15.75" customHeight="1">
      <c r="A412" s="31"/>
      <c r="B412" s="31"/>
      <c r="C412" s="31"/>
      <c r="D412" s="31"/>
      <c r="E412" s="31"/>
      <c r="F412" s="31"/>
      <c r="G412" s="31"/>
    </row>
    <row r="413" ht="15.75" customHeight="1">
      <c r="A413" s="31"/>
      <c r="B413" s="31"/>
      <c r="C413" s="31"/>
      <c r="D413" s="31"/>
      <c r="E413" s="31"/>
      <c r="F413" s="31"/>
      <c r="G413" s="31"/>
    </row>
    <row r="414" ht="15.75" customHeight="1">
      <c r="A414" s="31"/>
      <c r="B414" s="31"/>
      <c r="C414" s="31"/>
      <c r="D414" s="31"/>
      <c r="E414" s="31"/>
      <c r="F414" s="31"/>
      <c r="G414" s="31"/>
    </row>
    <row r="415" ht="15.75" customHeight="1">
      <c r="A415" s="31"/>
      <c r="B415" s="31"/>
      <c r="C415" s="31"/>
      <c r="D415" s="31"/>
      <c r="E415" s="31"/>
      <c r="F415" s="31"/>
      <c r="G415" s="31"/>
    </row>
    <row r="416" ht="15.75" customHeight="1">
      <c r="A416" s="31"/>
      <c r="B416" s="31"/>
      <c r="C416" s="31"/>
      <c r="D416" s="31"/>
      <c r="E416" s="31"/>
      <c r="F416" s="31"/>
      <c r="G416" s="31"/>
    </row>
    <row r="417" ht="15.75" customHeight="1">
      <c r="A417" s="31"/>
      <c r="B417" s="31"/>
      <c r="C417" s="31"/>
      <c r="D417" s="31"/>
      <c r="E417" s="31"/>
      <c r="F417" s="31"/>
      <c r="G417" s="31"/>
    </row>
    <row r="418" ht="15.75" customHeight="1">
      <c r="A418" s="31"/>
      <c r="B418" s="31"/>
      <c r="C418" s="31"/>
      <c r="D418" s="31"/>
      <c r="E418" s="31"/>
      <c r="F418" s="31"/>
      <c r="G418" s="31"/>
    </row>
    <row r="419" ht="15.75" customHeight="1">
      <c r="A419" s="31"/>
      <c r="B419" s="31"/>
      <c r="C419" s="31"/>
      <c r="D419" s="31"/>
      <c r="E419" s="31"/>
      <c r="F419" s="31"/>
      <c r="G419" s="31"/>
    </row>
    <row r="420" ht="15.75" customHeight="1">
      <c r="A420" s="31"/>
      <c r="B420" s="31"/>
      <c r="C420" s="31"/>
      <c r="D420" s="31"/>
      <c r="E420" s="31"/>
      <c r="F420" s="31"/>
      <c r="G420" s="31"/>
    </row>
    <row r="421" ht="15.75" customHeight="1">
      <c r="A421" s="31"/>
      <c r="B421" s="31"/>
      <c r="C421" s="31"/>
      <c r="D421" s="31"/>
      <c r="E421" s="31"/>
      <c r="F421" s="31"/>
      <c r="G421" s="31"/>
    </row>
    <row r="422" ht="15.75" customHeight="1">
      <c r="A422" s="31"/>
      <c r="B422" s="31"/>
      <c r="C422" s="31"/>
      <c r="D422" s="31"/>
      <c r="E422" s="31"/>
      <c r="F422" s="31"/>
      <c r="G422" s="31"/>
    </row>
    <row r="423" ht="15.75" customHeight="1">
      <c r="A423" s="31"/>
      <c r="B423" s="31"/>
      <c r="C423" s="31"/>
      <c r="D423" s="31"/>
      <c r="E423" s="31"/>
      <c r="F423" s="31"/>
      <c r="G423" s="31"/>
    </row>
    <row r="424" ht="15.75" customHeight="1">
      <c r="A424" s="31"/>
      <c r="B424" s="31"/>
      <c r="C424" s="31"/>
      <c r="D424" s="31"/>
      <c r="E424" s="31"/>
      <c r="F424" s="31"/>
      <c r="G424" s="31"/>
    </row>
    <row r="425" ht="15.75" customHeight="1">
      <c r="A425" s="31"/>
      <c r="B425" s="31"/>
      <c r="C425" s="31"/>
      <c r="D425" s="31"/>
      <c r="E425" s="31"/>
      <c r="F425" s="31"/>
      <c r="G425" s="31"/>
    </row>
    <row r="426" ht="15.75" customHeight="1">
      <c r="A426" s="31"/>
      <c r="B426" s="31"/>
      <c r="C426" s="31"/>
      <c r="D426" s="31"/>
      <c r="E426" s="31"/>
      <c r="F426" s="31"/>
      <c r="G426" s="31"/>
    </row>
    <row r="427" ht="15.75" customHeight="1">
      <c r="A427" s="31"/>
      <c r="B427" s="31"/>
      <c r="C427" s="31"/>
      <c r="D427" s="31"/>
      <c r="E427" s="31"/>
      <c r="F427" s="31"/>
      <c r="G427" s="31"/>
    </row>
    <row r="428" ht="15.75" customHeight="1">
      <c r="A428" s="31"/>
      <c r="B428" s="31"/>
      <c r="C428" s="31"/>
      <c r="D428" s="31"/>
      <c r="E428" s="31"/>
      <c r="F428" s="31"/>
      <c r="G428" s="31"/>
    </row>
    <row r="429" ht="15.75" customHeight="1">
      <c r="A429" s="31"/>
      <c r="B429" s="31"/>
      <c r="C429" s="31"/>
      <c r="D429" s="31"/>
      <c r="E429" s="31"/>
      <c r="F429" s="31"/>
      <c r="G429" s="31"/>
    </row>
    <row r="430" ht="15.75" customHeight="1">
      <c r="A430" s="31"/>
      <c r="B430" s="31"/>
      <c r="C430" s="31"/>
      <c r="D430" s="31"/>
      <c r="E430" s="31"/>
      <c r="F430" s="31"/>
      <c r="G430" s="31"/>
    </row>
    <row r="431" ht="15.75" customHeight="1">
      <c r="A431" s="31"/>
      <c r="B431" s="31"/>
      <c r="C431" s="31"/>
      <c r="D431" s="31"/>
      <c r="E431" s="31"/>
      <c r="F431" s="31"/>
      <c r="G431" s="31"/>
    </row>
    <row r="432" ht="15.75" customHeight="1">
      <c r="A432" s="31"/>
      <c r="B432" s="31"/>
      <c r="C432" s="31"/>
      <c r="D432" s="31"/>
      <c r="E432" s="31"/>
      <c r="F432" s="31"/>
      <c r="G432" s="31"/>
    </row>
    <row r="433" ht="15.75" customHeight="1">
      <c r="A433" s="31"/>
      <c r="B433" s="31"/>
      <c r="C433" s="31"/>
      <c r="D433" s="31"/>
      <c r="E433" s="31"/>
      <c r="F433" s="31"/>
      <c r="G433" s="31"/>
    </row>
    <row r="434" ht="15.75" customHeight="1">
      <c r="A434" s="31"/>
      <c r="B434" s="31"/>
      <c r="C434" s="31"/>
      <c r="D434" s="31"/>
      <c r="E434" s="31"/>
      <c r="F434" s="31"/>
      <c r="G434" s="31"/>
    </row>
    <row r="435" ht="15.75" customHeight="1">
      <c r="A435" s="31"/>
      <c r="B435" s="31"/>
      <c r="C435" s="31"/>
      <c r="D435" s="31"/>
      <c r="E435" s="31"/>
      <c r="F435" s="31"/>
      <c r="G435" s="31"/>
    </row>
    <row r="436" ht="15.75" customHeight="1">
      <c r="A436" s="31"/>
      <c r="B436" s="31"/>
      <c r="C436" s="31"/>
      <c r="D436" s="31"/>
      <c r="E436" s="31"/>
      <c r="F436" s="31"/>
      <c r="G436" s="31"/>
    </row>
    <row r="437" ht="15.75" customHeight="1">
      <c r="A437" s="31"/>
      <c r="B437" s="31"/>
      <c r="C437" s="31"/>
      <c r="D437" s="31"/>
      <c r="E437" s="31"/>
      <c r="F437" s="31"/>
      <c r="G437" s="31"/>
    </row>
    <row r="438" ht="15.75" customHeight="1">
      <c r="A438" s="31"/>
      <c r="B438" s="31"/>
      <c r="C438" s="31"/>
      <c r="D438" s="31"/>
      <c r="E438" s="31"/>
      <c r="F438" s="31"/>
      <c r="G438" s="31"/>
    </row>
    <row r="439" ht="15.75" customHeight="1">
      <c r="A439" s="31"/>
      <c r="B439" s="31"/>
      <c r="C439" s="31"/>
      <c r="D439" s="31"/>
      <c r="E439" s="31"/>
      <c r="F439" s="31"/>
      <c r="G439" s="31"/>
    </row>
    <row r="440" ht="15.75" customHeight="1">
      <c r="A440" s="31"/>
      <c r="B440" s="31"/>
      <c r="C440" s="31"/>
      <c r="D440" s="31"/>
      <c r="E440" s="31"/>
      <c r="F440" s="31"/>
      <c r="G440" s="31"/>
    </row>
    <row r="441" ht="15.75" customHeight="1">
      <c r="A441" s="31"/>
      <c r="B441" s="31"/>
      <c r="C441" s="31"/>
      <c r="D441" s="31"/>
      <c r="E441" s="31"/>
      <c r="F441" s="31"/>
      <c r="G441" s="31"/>
    </row>
    <row r="442" ht="15.75" customHeight="1">
      <c r="A442" s="31"/>
      <c r="B442" s="31"/>
      <c r="C442" s="31"/>
      <c r="D442" s="31"/>
      <c r="E442" s="31"/>
      <c r="F442" s="31"/>
      <c r="G442" s="31"/>
    </row>
    <row r="443" ht="15.75" customHeight="1">
      <c r="A443" s="31"/>
      <c r="B443" s="31"/>
      <c r="C443" s="31"/>
      <c r="D443" s="31"/>
      <c r="E443" s="31"/>
      <c r="F443" s="31"/>
      <c r="G443" s="31"/>
    </row>
    <row r="444" ht="15.75" customHeight="1">
      <c r="A444" s="31"/>
      <c r="B444" s="31"/>
      <c r="C444" s="31"/>
      <c r="D444" s="31"/>
      <c r="E444" s="31"/>
      <c r="F444" s="31"/>
      <c r="G444" s="31"/>
    </row>
    <row r="445" ht="15.75" customHeight="1">
      <c r="A445" s="31"/>
      <c r="B445" s="31"/>
      <c r="C445" s="31"/>
      <c r="D445" s="31"/>
      <c r="E445" s="31"/>
      <c r="F445" s="31"/>
      <c r="G445" s="31"/>
    </row>
    <row r="446" ht="15.75" customHeight="1">
      <c r="A446" s="31"/>
      <c r="B446" s="31"/>
      <c r="C446" s="31"/>
      <c r="D446" s="31"/>
      <c r="E446" s="31"/>
      <c r="F446" s="31"/>
      <c r="G446" s="31"/>
    </row>
    <row r="447" ht="15.75" customHeight="1">
      <c r="A447" s="31"/>
      <c r="B447" s="31"/>
      <c r="C447" s="31"/>
      <c r="D447" s="31"/>
      <c r="E447" s="31"/>
      <c r="F447" s="31"/>
      <c r="G447" s="31"/>
    </row>
    <row r="448" ht="15.75" customHeight="1">
      <c r="A448" s="31"/>
      <c r="B448" s="31"/>
      <c r="C448" s="31"/>
      <c r="D448" s="31"/>
      <c r="E448" s="31"/>
      <c r="F448" s="31"/>
      <c r="G448" s="31"/>
    </row>
    <row r="449" ht="15.75" customHeight="1">
      <c r="A449" s="31"/>
      <c r="B449" s="31"/>
      <c r="C449" s="31"/>
      <c r="D449" s="31"/>
      <c r="E449" s="31"/>
      <c r="F449" s="31"/>
      <c r="G449" s="31"/>
    </row>
    <row r="450" ht="15.75" customHeight="1">
      <c r="A450" s="31"/>
      <c r="B450" s="31"/>
      <c r="C450" s="31"/>
      <c r="D450" s="31"/>
      <c r="E450" s="31"/>
      <c r="F450" s="31"/>
      <c r="G450" s="31"/>
    </row>
    <row r="451" ht="15.75" customHeight="1">
      <c r="A451" s="31"/>
      <c r="B451" s="31"/>
      <c r="C451" s="31"/>
      <c r="D451" s="31"/>
      <c r="E451" s="31"/>
      <c r="F451" s="31"/>
      <c r="G451" s="31"/>
    </row>
    <row r="452" ht="15.75" customHeight="1">
      <c r="A452" s="31"/>
      <c r="B452" s="31"/>
      <c r="C452" s="31"/>
      <c r="D452" s="31"/>
      <c r="E452" s="31"/>
      <c r="F452" s="31"/>
      <c r="G452" s="31"/>
    </row>
    <row r="453" ht="15.75" customHeight="1">
      <c r="A453" s="31"/>
      <c r="B453" s="31"/>
      <c r="C453" s="31"/>
      <c r="D453" s="31"/>
      <c r="E453" s="31"/>
      <c r="F453" s="31"/>
      <c r="G453" s="31"/>
    </row>
    <row r="454" ht="15.75" customHeight="1">
      <c r="A454" s="31"/>
      <c r="B454" s="31"/>
      <c r="C454" s="31"/>
      <c r="D454" s="31"/>
      <c r="E454" s="31"/>
      <c r="F454" s="31"/>
      <c r="G454" s="31"/>
    </row>
    <row r="455" ht="15.75" customHeight="1">
      <c r="A455" s="31"/>
      <c r="B455" s="31"/>
      <c r="C455" s="31"/>
      <c r="D455" s="31"/>
      <c r="E455" s="31"/>
      <c r="F455" s="31"/>
      <c r="G455" s="31"/>
    </row>
    <row r="456" ht="15.75" customHeight="1">
      <c r="A456" s="31"/>
      <c r="B456" s="31"/>
      <c r="C456" s="31"/>
      <c r="D456" s="31"/>
      <c r="E456" s="31"/>
      <c r="F456" s="31"/>
      <c r="G456" s="31"/>
    </row>
    <row r="457" ht="15.75" customHeight="1">
      <c r="A457" s="31"/>
      <c r="B457" s="31"/>
      <c r="C457" s="31"/>
      <c r="D457" s="31"/>
      <c r="E457" s="31"/>
      <c r="F457" s="31"/>
      <c r="G457" s="31"/>
    </row>
    <row r="458" ht="15.75" customHeight="1">
      <c r="A458" s="31"/>
      <c r="B458" s="31"/>
      <c r="C458" s="31"/>
      <c r="D458" s="31"/>
      <c r="E458" s="31"/>
      <c r="F458" s="31"/>
      <c r="G458" s="31"/>
    </row>
    <row r="459" ht="15.75" customHeight="1">
      <c r="A459" s="31"/>
      <c r="B459" s="31"/>
      <c r="C459" s="31"/>
      <c r="D459" s="31"/>
      <c r="E459" s="31"/>
      <c r="F459" s="31"/>
      <c r="G459" s="31"/>
    </row>
    <row r="460" ht="15.75" customHeight="1">
      <c r="A460" s="31"/>
      <c r="B460" s="31"/>
      <c r="C460" s="31"/>
      <c r="D460" s="31"/>
      <c r="E460" s="31"/>
      <c r="F460" s="31"/>
      <c r="G460" s="31"/>
    </row>
    <row r="461" ht="15.75" customHeight="1">
      <c r="A461" s="31"/>
      <c r="B461" s="31"/>
      <c r="C461" s="31"/>
      <c r="D461" s="31"/>
      <c r="E461" s="31"/>
      <c r="F461" s="31"/>
      <c r="G461" s="31"/>
    </row>
    <row r="462" ht="15.75" customHeight="1">
      <c r="A462" s="31"/>
      <c r="B462" s="31"/>
      <c r="C462" s="31"/>
      <c r="D462" s="31"/>
      <c r="E462" s="31"/>
      <c r="F462" s="31"/>
      <c r="G462" s="31"/>
    </row>
    <row r="463" ht="15.75" customHeight="1">
      <c r="A463" s="31"/>
      <c r="B463" s="31"/>
      <c r="C463" s="31"/>
      <c r="D463" s="31"/>
      <c r="E463" s="31"/>
      <c r="F463" s="31"/>
      <c r="G463" s="31"/>
    </row>
    <row r="464" ht="15.75" customHeight="1">
      <c r="A464" s="31"/>
      <c r="B464" s="31"/>
      <c r="C464" s="31"/>
      <c r="D464" s="31"/>
      <c r="E464" s="31"/>
      <c r="F464" s="31"/>
      <c r="G464" s="31"/>
    </row>
    <row r="465" ht="15.75" customHeight="1">
      <c r="A465" s="31"/>
      <c r="B465" s="31"/>
      <c r="C465" s="31"/>
      <c r="D465" s="31"/>
      <c r="E465" s="31"/>
      <c r="F465" s="31"/>
      <c r="G465" s="31"/>
    </row>
    <row r="466" ht="15.75" customHeight="1">
      <c r="A466" s="31"/>
      <c r="B466" s="31"/>
      <c r="C466" s="31"/>
      <c r="D466" s="31"/>
      <c r="E466" s="31"/>
      <c r="F466" s="31"/>
      <c r="G466" s="31"/>
    </row>
    <row r="467" ht="15.75" customHeight="1">
      <c r="A467" s="31"/>
      <c r="B467" s="31"/>
      <c r="C467" s="31"/>
      <c r="D467" s="31"/>
      <c r="E467" s="31"/>
      <c r="F467" s="31"/>
      <c r="G467" s="31"/>
    </row>
    <row r="468" ht="15.75" customHeight="1">
      <c r="A468" s="31"/>
      <c r="B468" s="31"/>
      <c r="C468" s="31"/>
      <c r="D468" s="31"/>
      <c r="E468" s="31"/>
      <c r="F468" s="31"/>
      <c r="G468" s="31"/>
    </row>
    <row r="469" ht="15.75" customHeight="1">
      <c r="A469" s="31"/>
      <c r="B469" s="31"/>
      <c r="C469" s="31"/>
      <c r="D469" s="31"/>
      <c r="E469" s="31"/>
      <c r="F469" s="31"/>
      <c r="G469" s="31"/>
    </row>
    <row r="470" ht="15.75" customHeight="1">
      <c r="A470" s="31"/>
      <c r="B470" s="31"/>
      <c r="C470" s="31"/>
      <c r="D470" s="31"/>
      <c r="E470" s="31"/>
      <c r="F470" s="31"/>
      <c r="G470" s="31"/>
    </row>
    <row r="471" ht="15.75" customHeight="1">
      <c r="A471" s="31"/>
      <c r="B471" s="31"/>
      <c r="C471" s="31"/>
      <c r="D471" s="31"/>
      <c r="E471" s="31"/>
      <c r="F471" s="31"/>
      <c r="G471" s="31"/>
    </row>
    <row r="472" ht="15.75" customHeight="1">
      <c r="A472" s="31"/>
      <c r="B472" s="31"/>
      <c r="C472" s="31"/>
      <c r="D472" s="31"/>
      <c r="E472" s="31"/>
      <c r="F472" s="31"/>
      <c r="G472" s="31"/>
    </row>
    <row r="473" ht="15.75" customHeight="1">
      <c r="A473" s="31"/>
      <c r="B473" s="31"/>
      <c r="C473" s="31"/>
      <c r="D473" s="31"/>
      <c r="E473" s="31"/>
      <c r="F473" s="31"/>
      <c r="G473" s="31"/>
    </row>
    <row r="474" ht="15.75" customHeight="1">
      <c r="A474" s="31"/>
      <c r="B474" s="31"/>
      <c r="C474" s="31"/>
      <c r="D474" s="31"/>
      <c r="E474" s="31"/>
      <c r="F474" s="31"/>
      <c r="G474" s="31"/>
    </row>
    <row r="475" ht="15.75" customHeight="1">
      <c r="A475" s="31"/>
      <c r="B475" s="31"/>
      <c r="C475" s="31"/>
      <c r="D475" s="31"/>
      <c r="E475" s="31"/>
      <c r="F475" s="31"/>
      <c r="G475" s="31"/>
    </row>
    <row r="476" ht="15.75" customHeight="1">
      <c r="A476" s="31"/>
      <c r="B476" s="31"/>
      <c r="C476" s="31"/>
      <c r="D476" s="31"/>
      <c r="E476" s="31"/>
      <c r="F476" s="31"/>
      <c r="G476" s="31"/>
    </row>
    <row r="477" ht="15.75" customHeight="1">
      <c r="A477" s="31"/>
      <c r="B477" s="31"/>
      <c r="C477" s="31"/>
      <c r="D477" s="31"/>
      <c r="E477" s="31"/>
      <c r="F477" s="31"/>
      <c r="G477" s="31"/>
    </row>
    <row r="478" ht="15.75" customHeight="1">
      <c r="A478" s="31"/>
      <c r="B478" s="31"/>
      <c r="C478" s="31"/>
      <c r="D478" s="31"/>
      <c r="E478" s="31"/>
      <c r="F478" s="31"/>
      <c r="G478" s="31"/>
    </row>
    <row r="479" ht="15.75" customHeight="1">
      <c r="A479" s="31"/>
      <c r="B479" s="31"/>
      <c r="C479" s="31"/>
      <c r="D479" s="31"/>
      <c r="E479" s="31"/>
      <c r="F479" s="31"/>
      <c r="G479" s="31"/>
    </row>
    <row r="480" ht="15.75" customHeight="1">
      <c r="A480" s="31"/>
      <c r="B480" s="31"/>
      <c r="C480" s="31"/>
      <c r="D480" s="31"/>
      <c r="E480" s="31"/>
      <c r="F480" s="31"/>
      <c r="G480" s="31"/>
    </row>
    <row r="481" ht="15.75" customHeight="1">
      <c r="A481" s="31"/>
      <c r="B481" s="31"/>
      <c r="C481" s="31"/>
      <c r="D481" s="31"/>
      <c r="E481" s="31"/>
      <c r="F481" s="31"/>
      <c r="G481" s="31"/>
    </row>
    <row r="482" ht="15.75" customHeight="1">
      <c r="A482" s="31"/>
      <c r="B482" s="31"/>
      <c r="C482" s="31"/>
      <c r="D482" s="31"/>
      <c r="E482" s="31"/>
      <c r="F482" s="31"/>
      <c r="G482" s="31"/>
    </row>
    <row r="483" ht="15.75" customHeight="1">
      <c r="A483" s="31"/>
      <c r="B483" s="31"/>
      <c r="C483" s="31"/>
      <c r="D483" s="31"/>
      <c r="E483" s="31"/>
      <c r="F483" s="31"/>
      <c r="G483" s="31"/>
    </row>
    <row r="484" ht="15.75" customHeight="1">
      <c r="A484" s="31"/>
      <c r="B484" s="31"/>
      <c r="C484" s="31"/>
      <c r="D484" s="31"/>
      <c r="E484" s="31"/>
      <c r="F484" s="31"/>
      <c r="G484" s="31"/>
    </row>
    <row r="485" ht="15.75" customHeight="1">
      <c r="A485" s="31"/>
      <c r="B485" s="31"/>
      <c r="C485" s="31"/>
      <c r="D485" s="31"/>
      <c r="E485" s="31"/>
      <c r="F485" s="31"/>
      <c r="G485" s="31"/>
    </row>
    <row r="486" ht="15.75" customHeight="1">
      <c r="A486" s="31"/>
      <c r="B486" s="31"/>
      <c r="C486" s="31"/>
      <c r="D486" s="31"/>
      <c r="E486" s="31"/>
      <c r="F486" s="31"/>
      <c r="G486" s="31"/>
    </row>
    <row r="487" ht="15.75" customHeight="1">
      <c r="A487" s="31"/>
      <c r="B487" s="31"/>
      <c r="C487" s="31"/>
      <c r="D487" s="31"/>
      <c r="E487" s="31"/>
      <c r="F487" s="31"/>
      <c r="G487" s="31"/>
    </row>
    <row r="488" ht="15.75" customHeight="1">
      <c r="A488" s="31"/>
      <c r="B488" s="31"/>
      <c r="C488" s="31"/>
      <c r="D488" s="31"/>
      <c r="E488" s="31"/>
      <c r="F488" s="31"/>
      <c r="G488" s="31"/>
    </row>
    <row r="489" ht="15.75" customHeight="1">
      <c r="A489" s="31"/>
      <c r="B489" s="31"/>
      <c r="C489" s="31"/>
      <c r="D489" s="31"/>
      <c r="E489" s="31"/>
      <c r="F489" s="31"/>
      <c r="G489" s="31"/>
    </row>
    <row r="490" ht="15.75" customHeight="1">
      <c r="A490" s="31"/>
      <c r="B490" s="31"/>
      <c r="C490" s="31"/>
      <c r="D490" s="31"/>
      <c r="E490" s="31"/>
      <c r="F490" s="31"/>
      <c r="G490" s="31"/>
    </row>
    <row r="491" ht="15.75" customHeight="1">
      <c r="A491" s="31"/>
      <c r="B491" s="31"/>
      <c r="C491" s="31"/>
      <c r="D491" s="31"/>
      <c r="E491" s="31"/>
      <c r="F491" s="31"/>
      <c r="G491" s="31"/>
    </row>
    <row r="492" ht="15.75" customHeight="1">
      <c r="A492" s="31"/>
      <c r="B492" s="31"/>
      <c r="C492" s="31"/>
      <c r="D492" s="31"/>
      <c r="E492" s="31"/>
      <c r="F492" s="31"/>
      <c r="G492" s="31"/>
    </row>
    <row r="493" ht="15.75" customHeight="1">
      <c r="A493" s="31"/>
      <c r="B493" s="31"/>
      <c r="C493" s="31"/>
      <c r="D493" s="31"/>
      <c r="E493" s="31"/>
      <c r="F493" s="31"/>
      <c r="G493" s="31"/>
    </row>
    <row r="494" ht="15.75" customHeight="1">
      <c r="A494" s="31"/>
      <c r="B494" s="31"/>
      <c r="C494" s="31"/>
      <c r="D494" s="31"/>
      <c r="E494" s="31"/>
      <c r="F494" s="31"/>
      <c r="G494" s="31"/>
    </row>
    <row r="495" ht="15.75" customHeight="1">
      <c r="A495" s="31"/>
      <c r="B495" s="31"/>
      <c r="C495" s="31"/>
      <c r="D495" s="31"/>
      <c r="E495" s="31"/>
      <c r="F495" s="31"/>
      <c r="G495" s="31"/>
    </row>
    <row r="496" ht="15.75" customHeight="1">
      <c r="A496" s="31"/>
      <c r="B496" s="31"/>
      <c r="C496" s="31"/>
      <c r="D496" s="31"/>
      <c r="E496" s="31"/>
      <c r="F496" s="31"/>
      <c r="G496" s="31"/>
    </row>
    <row r="497" ht="15.75" customHeight="1">
      <c r="A497" s="31"/>
      <c r="B497" s="31"/>
      <c r="C497" s="31"/>
      <c r="D497" s="31"/>
      <c r="E497" s="31"/>
      <c r="F497" s="31"/>
      <c r="G497" s="31"/>
    </row>
    <row r="498" ht="15.75" customHeight="1">
      <c r="A498" s="31"/>
      <c r="B498" s="31"/>
      <c r="C498" s="31"/>
      <c r="D498" s="31"/>
      <c r="E498" s="31"/>
      <c r="F498" s="31"/>
      <c r="G498" s="31"/>
    </row>
    <row r="499" ht="15.75" customHeight="1">
      <c r="A499" s="31"/>
      <c r="B499" s="31"/>
      <c r="C499" s="31"/>
      <c r="D499" s="31"/>
      <c r="E499" s="31"/>
      <c r="F499" s="31"/>
      <c r="G499" s="31"/>
    </row>
    <row r="500" ht="15.75" customHeight="1">
      <c r="A500" s="31"/>
      <c r="B500" s="31"/>
      <c r="C500" s="31"/>
      <c r="D500" s="31"/>
      <c r="E500" s="31"/>
      <c r="F500" s="31"/>
      <c r="G500" s="31"/>
    </row>
    <row r="501" ht="15.75" customHeight="1">
      <c r="A501" s="31"/>
      <c r="B501" s="31"/>
      <c r="C501" s="31"/>
      <c r="D501" s="31"/>
      <c r="E501" s="31"/>
      <c r="F501" s="31"/>
      <c r="G501" s="31"/>
    </row>
    <row r="502" ht="15.75" customHeight="1">
      <c r="A502" s="31"/>
      <c r="B502" s="31"/>
      <c r="C502" s="31"/>
      <c r="D502" s="31"/>
      <c r="E502" s="31"/>
      <c r="F502" s="31"/>
      <c r="G502" s="31"/>
    </row>
    <row r="503" ht="15.75" customHeight="1">
      <c r="A503" s="31"/>
      <c r="B503" s="31"/>
      <c r="C503" s="31"/>
      <c r="D503" s="31"/>
      <c r="E503" s="31"/>
      <c r="F503" s="31"/>
      <c r="G503" s="31"/>
    </row>
    <row r="504" ht="15.75" customHeight="1">
      <c r="A504" s="31"/>
      <c r="B504" s="31"/>
      <c r="C504" s="31"/>
      <c r="D504" s="31"/>
      <c r="E504" s="31"/>
      <c r="F504" s="31"/>
      <c r="G504" s="31"/>
    </row>
    <row r="505" ht="15.75" customHeight="1">
      <c r="A505" s="31"/>
      <c r="B505" s="31"/>
      <c r="C505" s="31"/>
      <c r="D505" s="31"/>
      <c r="E505" s="31"/>
      <c r="F505" s="31"/>
      <c r="G505" s="31"/>
    </row>
    <row r="506" ht="15.75" customHeight="1">
      <c r="A506" s="31"/>
      <c r="B506" s="31"/>
      <c r="C506" s="31"/>
      <c r="D506" s="31"/>
      <c r="E506" s="31"/>
      <c r="F506" s="31"/>
      <c r="G506" s="31"/>
    </row>
    <row r="507" ht="15.75" customHeight="1">
      <c r="A507" s="31"/>
      <c r="B507" s="31"/>
      <c r="C507" s="31"/>
      <c r="D507" s="31"/>
      <c r="E507" s="31"/>
      <c r="F507" s="31"/>
      <c r="G507" s="31"/>
    </row>
    <row r="508" ht="15.75" customHeight="1">
      <c r="A508" s="31"/>
      <c r="B508" s="31"/>
      <c r="C508" s="31"/>
      <c r="D508" s="31"/>
      <c r="E508" s="31"/>
      <c r="F508" s="31"/>
      <c r="G508" s="31"/>
    </row>
    <row r="509" ht="15.75" customHeight="1">
      <c r="A509" s="31"/>
      <c r="B509" s="31"/>
      <c r="C509" s="31"/>
      <c r="D509" s="31"/>
      <c r="E509" s="31"/>
      <c r="F509" s="31"/>
      <c r="G509" s="31"/>
    </row>
    <row r="510" ht="15.75" customHeight="1">
      <c r="A510" s="31"/>
      <c r="B510" s="31"/>
      <c r="C510" s="31"/>
      <c r="D510" s="31"/>
      <c r="E510" s="31"/>
      <c r="F510" s="31"/>
      <c r="G510" s="31"/>
    </row>
    <row r="511" ht="15.75" customHeight="1">
      <c r="A511" s="31"/>
      <c r="B511" s="31"/>
      <c r="C511" s="31"/>
      <c r="D511" s="31"/>
      <c r="E511" s="31"/>
      <c r="F511" s="31"/>
      <c r="G511" s="31"/>
    </row>
    <row r="512" ht="15.75" customHeight="1">
      <c r="A512" s="31"/>
      <c r="B512" s="31"/>
      <c r="C512" s="31"/>
      <c r="D512" s="31"/>
      <c r="E512" s="31"/>
      <c r="F512" s="31"/>
      <c r="G512" s="31"/>
    </row>
    <row r="513" ht="15.75" customHeight="1">
      <c r="A513" s="31"/>
      <c r="B513" s="31"/>
      <c r="C513" s="31"/>
      <c r="D513" s="31"/>
      <c r="E513" s="31"/>
      <c r="F513" s="31"/>
      <c r="G513" s="31"/>
    </row>
    <row r="514" ht="15.75" customHeight="1">
      <c r="A514" s="31"/>
      <c r="B514" s="31"/>
      <c r="C514" s="31"/>
      <c r="D514" s="31"/>
      <c r="E514" s="31"/>
      <c r="F514" s="31"/>
      <c r="G514" s="31"/>
    </row>
    <row r="515" ht="15.75" customHeight="1">
      <c r="A515" s="31"/>
      <c r="B515" s="31"/>
      <c r="C515" s="31"/>
      <c r="D515" s="31"/>
      <c r="E515" s="31"/>
      <c r="F515" s="31"/>
      <c r="G515" s="31"/>
    </row>
    <row r="516" ht="15.75" customHeight="1">
      <c r="A516" s="31"/>
      <c r="B516" s="31"/>
      <c r="C516" s="31"/>
      <c r="D516" s="31"/>
      <c r="E516" s="31"/>
      <c r="F516" s="31"/>
      <c r="G516" s="31"/>
    </row>
    <row r="517" ht="15.75" customHeight="1">
      <c r="A517" s="31"/>
      <c r="B517" s="31"/>
      <c r="C517" s="31"/>
      <c r="D517" s="31"/>
      <c r="E517" s="31"/>
      <c r="F517" s="31"/>
      <c r="G517" s="31"/>
    </row>
    <row r="518" ht="15.75" customHeight="1">
      <c r="A518" s="31"/>
      <c r="B518" s="31"/>
      <c r="C518" s="31"/>
      <c r="D518" s="31"/>
      <c r="E518" s="31"/>
      <c r="F518" s="31"/>
      <c r="G518" s="31"/>
    </row>
    <row r="519" ht="15.75" customHeight="1">
      <c r="A519" s="31"/>
      <c r="B519" s="31"/>
      <c r="C519" s="31"/>
      <c r="D519" s="31"/>
      <c r="E519" s="31"/>
      <c r="F519" s="31"/>
      <c r="G519" s="31"/>
    </row>
    <row r="520" ht="15.75" customHeight="1">
      <c r="A520" s="31"/>
      <c r="B520" s="31"/>
      <c r="C520" s="31"/>
      <c r="D520" s="31"/>
      <c r="E520" s="31"/>
      <c r="F520" s="31"/>
      <c r="G520" s="31"/>
    </row>
    <row r="521" ht="15.75" customHeight="1">
      <c r="A521" s="31"/>
      <c r="B521" s="31"/>
      <c r="C521" s="31"/>
      <c r="D521" s="31"/>
      <c r="E521" s="31"/>
      <c r="F521" s="31"/>
      <c r="G521" s="31"/>
    </row>
    <row r="522" ht="15.75" customHeight="1">
      <c r="A522" s="31"/>
      <c r="B522" s="31"/>
      <c r="C522" s="31"/>
      <c r="D522" s="31"/>
      <c r="E522" s="31"/>
      <c r="F522" s="31"/>
      <c r="G522" s="31"/>
    </row>
    <row r="523" ht="15.75" customHeight="1">
      <c r="A523" s="31"/>
      <c r="B523" s="31"/>
      <c r="C523" s="31"/>
      <c r="D523" s="31"/>
      <c r="E523" s="31"/>
      <c r="F523" s="31"/>
      <c r="G523" s="31"/>
    </row>
    <row r="524" ht="15.75" customHeight="1">
      <c r="A524" s="31"/>
      <c r="B524" s="31"/>
      <c r="C524" s="31"/>
      <c r="D524" s="31"/>
      <c r="E524" s="31"/>
      <c r="F524" s="31"/>
      <c r="G524" s="31"/>
    </row>
    <row r="525" ht="15.75" customHeight="1">
      <c r="A525" s="31"/>
      <c r="B525" s="31"/>
      <c r="C525" s="31"/>
      <c r="D525" s="31"/>
      <c r="E525" s="31"/>
      <c r="F525" s="31"/>
      <c r="G525" s="31"/>
    </row>
    <row r="526" ht="15.75" customHeight="1">
      <c r="A526" s="31"/>
      <c r="B526" s="31"/>
      <c r="C526" s="31"/>
      <c r="D526" s="31"/>
      <c r="E526" s="31"/>
      <c r="F526" s="31"/>
      <c r="G526" s="31"/>
    </row>
    <row r="527" ht="15.75" customHeight="1">
      <c r="A527" s="31"/>
      <c r="B527" s="31"/>
      <c r="C527" s="31"/>
      <c r="D527" s="31"/>
      <c r="E527" s="31"/>
      <c r="F527" s="31"/>
      <c r="G527" s="31"/>
    </row>
    <row r="528" ht="15.75" customHeight="1">
      <c r="A528" s="31"/>
      <c r="B528" s="31"/>
      <c r="C528" s="31"/>
      <c r="D528" s="31"/>
      <c r="E528" s="31"/>
      <c r="F528" s="31"/>
      <c r="G528" s="31"/>
    </row>
    <row r="529" ht="15.75" customHeight="1">
      <c r="A529" s="31"/>
      <c r="B529" s="31"/>
      <c r="C529" s="31"/>
      <c r="D529" s="31"/>
      <c r="E529" s="31"/>
      <c r="F529" s="31"/>
      <c r="G529" s="31"/>
    </row>
    <row r="530" ht="15.75" customHeight="1">
      <c r="A530" s="31"/>
      <c r="B530" s="31"/>
      <c r="C530" s="31"/>
      <c r="D530" s="31"/>
      <c r="E530" s="31"/>
      <c r="F530" s="31"/>
      <c r="G530" s="31"/>
    </row>
    <row r="531" ht="15.75" customHeight="1">
      <c r="A531" s="31"/>
      <c r="B531" s="31"/>
      <c r="C531" s="31"/>
      <c r="D531" s="31"/>
      <c r="E531" s="31"/>
      <c r="F531" s="31"/>
      <c r="G531" s="31"/>
    </row>
    <row r="532" ht="15.75" customHeight="1">
      <c r="A532" s="31"/>
      <c r="B532" s="31"/>
      <c r="C532" s="31"/>
      <c r="D532" s="31"/>
      <c r="E532" s="31"/>
      <c r="F532" s="31"/>
      <c r="G532" s="31"/>
    </row>
    <row r="533" ht="15.75" customHeight="1">
      <c r="A533" s="31"/>
      <c r="B533" s="31"/>
      <c r="C533" s="31"/>
      <c r="D533" s="31"/>
      <c r="E533" s="31"/>
      <c r="F533" s="31"/>
      <c r="G533" s="31"/>
    </row>
    <row r="534" ht="15.75" customHeight="1">
      <c r="A534" s="31"/>
      <c r="B534" s="31"/>
      <c r="C534" s="31"/>
      <c r="D534" s="31"/>
      <c r="E534" s="31"/>
      <c r="F534" s="31"/>
      <c r="G534" s="31"/>
    </row>
    <row r="535" ht="15.75" customHeight="1">
      <c r="A535" s="31"/>
      <c r="B535" s="31"/>
      <c r="C535" s="31"/>
      <c r="D535" s="31"/>
      <c r="E535" s="31"/>
      <c r="F535" s="31"/>
      <c r="G535" s="31"/>
    </row>
    <row r="536" ht="15.75" customHeight="1">
      <c r="A536" s="31"/>
      <c r="B536" s="31"/>
      <c r="C536" s="31"/>
      <c r="D536" s="31"/>
      <c r="E536" s="31"/>
      <c r="F536" s="31"/>
      <c r="G536" s="31"/>
    </row>
    <row r="537" ht="15.75" customHeight="1">
      <c r="A537" s="31"/>
      <c r="B537" s="31"/>
      <c r="C537" s="31"/>
      <c r="D537" s="31"/>
      <c r="E537" s="31"/>
      <c r="F537" s="31"/>
      <c r="G537" s="31"/>
    </row>
    <row r="538" ht="15.75" customHeight="1">
      <c r="A538" s="31"/>
      <c r="B538" s="31"/>
      <c r="C538" s="31"/>
      <c r="D538" s="31"/>
      <c r="E538" s="31"/>
      <c r="F538" s="31"/>
      <c r="G538" s="31"/>
    </row>
    <row r="539" ht="15.75" customHeight="1">
      <c r="A539" s="31"/>
      <c r="B539" s="31"/>
      <c r="C539" s="31"/>
      <c r="D539" s="31"/>
      <c r="E539" s="31"/>
      <c r="F539" s="31"/>
      <c r="G539" s="31"/>
    </row>
    <row r="540" ht="15.75" customHeight="1">
      <c r="A540" s="31"/>
      <c r="B540" s="31"/>
      <c r="C540" s="31"/>
      <c r="D540" s="31"/>
      <c r="E540" s="31"/>
      <c r="F540" s="31"/>
      <c r="G540" s="31"/>
    </row>
    <row r="541" ht="15.75" customHeight="1">
      <c r="A541" s="31"/>
      <c r="B541" s="31"/>
      <c r="C541" s="31"/>
      <c r="D541" s="31"/>
      <c r="E541" s="31"/>
      <c r="F541" s="31"/>
      <c r="G541" s="31"/>
    </row>
    <row r="542" ht="15.75" customHeight="1">
      <c r="A542" s="31"/>
      <c r="B542" s="31"/>
      <c r="C542" s="31"/>
      <c r="D542" s="31"/>
      <c r="E542" s="31"/>
      <c r="F542" s="31"/>
      <c r="G542" s="31"/>
    </row>
    <row r="543" ht="15.75" customHeight="1">
      <c r="A543" s="31"/>
      <c r="B543" s="31"/>
      <c r="C543" s="31"/>
      <c r="D543" s="31"/>
      <c r="E543" s="31"/>
      <c r="F543" s="31"/>
      <c r="G543" s="31"/>
    </row>
    <row r="544" ht="15.75" customHeight="1">
      <c r="A544" s="31"/>
      <c r="B544" s="31"/>
      <c r="C544" s="31"/>
      <c r="D544" s="31"/>
      <c r="E544" s="31"/>
      <c r="F544" s="31"/>
      <c r="G544" s="31"/>
    </row>
    <row r="545" ht="15.75" customHeight="1">
      <c r="A545" s="31"/>
      <c r="B545" s="31"/>
      <c r="C545" s="31"/>
      <c r="D545" s="31"/>
      <c r="E545" s="31"/>
      <c r="F545" s="31"/>
      <c r="G545" s="31"/>
    </row>
    <row r="546" ht="15.75" customHeight="1">
      <c r="A546" s="31"/>
      <c r="B546" s="31"/>
      <c r="C546" s="31"/>
      <c r="D546" s="31"/>
      <c r="E546" s="31"/>
      <c r="F546" s="31"/>
      <c r="G546" s="31"/>
    </row>
    <row r="547" ht="15.75" customHeight="1">
      <c r="A547" s="31"/>
      <c r="B547" s="31"/>
      <c r="C547" s="31"/>
      <c r="D547" s="31"/>
      <c r="E547" s="31"/>
      <c r="F547" s="31"/>
      <c r="G547" s="31"/>
    </row>
    <row r="548" ht="15.75" customHeight="1">
      <c r="A548" s="31"/>
      <c r="B548" s="31"/>
      <c r="C548" s="31"/>
      <c r="D548" s="31"/>
      <c r="E548" s="31"/>
      <c r="F548" s="31"/>
      <c r="G548" s="31"/>
    </row>
    <row r="549" ht="15.75" customHeight="1">
      <c r="A549" s="31"/>
      <c r="B549" s="31"/>
      <c r="C549" s="31"/>
      <c r="D549" s="31"/>
      <c r="E549" s="31"/>
      <c r="F549" s="31"/>
      <c r="G549" s="31"/>
    </row>
    <row r="550" ht="15.75" customHeight="1">
      <c r="A550" s="31"/>
      <c r="B550" s="31"/>
      <c r="C550" s="31"/>
      <c r="D550" s="31"/>
      <c r="E550" s="31"/>
      <c r="F550" s="31"/>
      <c r="G550" s="31"/>
    </row>
    <row r="551" ht="15.75" customHeight="1">
      <c r="A551" s="31"/>
      <c r="B551" s="31"/>
      <c r="C551" s="31"/>
      <c r="D551" s="31"/>
      <c r="E551" s="31"/>
      <c r="F551" s="31"/>
      <c r="G551" s="31"/>
    </row>
    <row r="552" ht="15.75" customHeight="1">
      <c r="A552" s="31"/>
      <c r="B552" s="31"/>
      <c r="C552" s="31"/>
      <c r="D552" s="31"/>
      <c r="E552" s="31"/>
      <c r="F552" s="31"/>
      <c r="G552" s="31"/>
    </row>
    <row r="553" ht="15.75" customHeight="1">
      <c r="A553" s="31"/>
      <c r="B553" s="31"/>
      <c r="C553" s="31"/>
      <c r="D553" s="31"/>
      <c r="E553" s="31"/>
      <c r="F553" s="31"/>
      <c r="G553" s="31"/>
    </row>
    <row r="554" ht="15.75" customHeight="1">
      <c r="A554" s="31"/>
      <c r="B554" s="31"/>
      <c r="C554" s="31"/>
      <c r="D554" s="31"/>
      <c r="E554" s="31"/>
      <c r="F554" s="31"/>
      <c r="G554" s="31"/>
    </row>
    <row r="555" ht="15.75" customHeight="1">
      <c r="A555" s="31"/>
      <c r="B555" s="31"/>
      <c r="C555" s="31"/>
      <c r="D555" s="31"/>
      <c r="E555" s="31"/>
      <c r="F555" s="31"/>
      <c r="G555" s="31"/>
    </row>
    <row r="556" ht="15.75" customHeight="1">
      <c r="A556" s="31"/>
      <c r="B556" s="31"/>
      <c r="C556" s="31"/>
      <c r="D556" s="31"/>
      <c r="E556" s="31"/>
      <c r="F556" s="31"/>
      <c r="G556" s="31"/>
    </row>
    <row r="557" ht="15.75" customHeight="1">
      <c r="A557" s="31"/>
      <c r="B557" s="31"/>
      <c r="C557" s="31"/>
      <c r="D557" s="31"/>
      <c r="E557" s="31"/>
      <c r="F557" s="31"/>
      <c r="G557" s="31"/>
    </row>
    <row r="558" ht="15.75" customHeight="1">
      <c r="A558" s="31"/>
      <c r="B558" s="31"/>
      <c r="C558" s="31"/>
      <c r="D558" s="31"/>
      <c r="E558" s="31"/>
      <c r="F558" s="31"/>
      <c r="G558" s="31"/>
    </row>
    <row r="559" ht="15.75" customHeight="1">
      <c r="A559" s="31"/>
      <c r="B559" s="31"/>
      <c r="C559" s="31"/>
      <c r="D559" s="31"/>
      <c r="E559" s="31"/>
      <c r="F559" s="31"/>
      <c r="G559" s="31"/>
    </row>
    <row r="560" ht="15.75" customHeight="1">
      <c r="A560" s="31"/>
      <c r="B560" s="31"/>
      <c r="C560" s="31"/>
      <c r="D560" s="31"/>
      <c r="E560" s="31"/>
      <c r="F560" s="31"/>
      <c r="G560" s="31"/>
    </row>
    <row r="561" ht="15.75" customHeight="1">
      <c r="A561" s="31"/>
      <c r="B561" s="31"/>
      <c r="C561" s="31"/>
      <c r="D561" s="31"/>
      <c r="E561" s="31"/>
      <c r="F561" s="31"/>
      <c r="G561" s="31"/>
    </row>
    <row r="562" ht="15.75" customHeight="1">
      <c r="A562" s="31"/>
      <c r="B562" s="31"/>
      <c r="C562" s="31"/>
      <c r="D562" s="31"/>
      <c r="E562" s="31"/>
      <c r="F562" s="31"/>
      <c r="G562" s="31"/>
    </row>
    <row r="563" ht="15.75" customHeight="1">
      <c r="A563" s="31"/>
      <c r="B563" s="31"/>
      <c r="C563" s="31"/>
      <c r="D563" s="31"/>
      <c r="E563" s="31"/>
      <c r="F563" s="31"/>
      <c r="G563" s="31"/>
    </row>
    <row r="564" ht="15.75" customHeight="1">
      <c r="A564" s="31"/>
      <c r="B564" s="31"/>
      <c r="C564" s="31"/>
      <c r="D564" s="31"/>
      <c r="E564" s="31"/>
      <c r="F564" s="31"/>
      <c r="G564" s="31"/>
    </row>
    <row r="565" ht="15.75" customHeight="1">
      <c r="A565" s="31"/>
      <c r="B565" s="31"/>
      <c r="C565" s="31"/>
      <c r="D565" s="31"/>
      <c r="E565" s="31"/>
      <c r="F565" s="31"/>
      <c r="G565" s="31"/>
    </row>
    <row r="566" ht="15.75" customHeight="1">
      <c r="A566" s="31"/>
      <c r="B566" s="31"/>
      <c r="C566" s="31"/>
      <c r="D566" s="31"/>
      <c r="E566" s="31"/>
      <c r="F566" s="31"/>
      <c r="G566" s="31"/>
    </row>
    <row r="567" ht="15.75" customHeight="1">
      <c r="A567" s="31"/>
      <c r="B567" s="31"/>
      <c r="C567" s="31"/>
      <c r="D567" s="31"/>
      <c r="E567" s="31"/>
      <c r="F567" s="31"/>
      <c r="G567" s="31"/>
    </row>
    <row r="568" ht="15.75" customHeight="1">
      <c r="A568" s="31"/>
      <c r="B568" s="31"/>
      <c r="C568" s="31"/>
      <c r="D568" s="31"/>
      <c r="E568" s="31"/>
      <c r="F568" s="31"/>
      <c r="G568" s="31"/>
    </row>
    <row r="569" ht="15.75" customHeight="1">
      <c r="A569" s="31"/>
      <c r="B569" s="31"/>
      <c r="C569" s="31"/>
      <c r="D569" s="31"/>
      <c r="E569" s="31"/>
      <c r="F569" s="31"/>
      <c r="G569" s="31"/>
    </row>
    <row r="570" ht="15.75" customHeight="1">
      <c r="A570" s="31"/>
      <c r="B570" s="31"/>
      <c r="C570" s="31"/>
      <c r="D570" s="31"/>
      <c r="E570" s="31"/>
      <c r="F570" s="31"/>
      <c r="G570" s="31"/>
    </row>
    <row r="571" ht="15.75" customHeight="1">
      <c r="A571" s="31"/>
      <c r="B571" s="31"/>
      <c r="C571" s="31"/>
      <c r="D571" s="31"/>
      <c r="E571" s="31"/>
      <c r="F571" s="31"/>
      <c r="G571" s="31"/>
    </row>
    <row r="572" ht="15.75" customHeight="1">
      <c r="A572" s="31"/>
      <c r="B572" s="31"/>
      <c r="C572" s="31"/>
      <c r="D572" s="31"/>
      <c r="E572" s="31"/>
      <c r="F572" s="31"/>
      <c r="G572" s="31"/>
    </row>
    <row r="573" ht="15.75" customHeight="1">
      <c r="A573" s="31"/>
      <c r="B573" s="31"/>
      <c r="C573" s="31"/>
      <c r="D573" s="31"/>
      <c r="E573" s="31"/>
      <c r="F573" s="31"/>
      <c r="G573" s="31"/>
    </row>
    <row r="574" ht="15.75" customHeight="1">
      <c r="A574" s="31"/>
      <c r="B574" s="31"/>
      <c r="C574" s="31"/>
      <c r="D574" s="31"/>
      <c r="E574" s="31"/>
      <c r="F574" s="31"/>
      <c r="G574" s="31"/>
    </row>
    <row r="575" ht="15.75" customHeight="1">
      <c r="A575" s="31"/>
      <c r="B575" s="31"/>
      <c r="C575" s="31"/>
      <c r="D575" s="31"/>
      <c r="E575" s="31"/>
      <c r="F575" s="31"/>
      <c r="G575" s="31"/>
    </row>
    <row r="576" ht="15.75" customHeight="1">
      <c r="A576" s="31"/>
      <c r="B576" s="31"/>
      <c r="C576" s="31"/>
      <c r="D576" s="31"/>
      <c r="E576" s="31"/>
      <c r="F576" s="31"/>
      <c r="G576" s="31"/>
    </row>
    <row r="577" ht="15.75" customHeight="1">
      <c r="A577" s="31"/>
      <c r="B577" s="31"/>
      <c r="C577" s="31"/>
      <c r="D577" s="31"/>
      <c r="E577" s="31"/>
      <c r="F577" s="31"/>
      <c r="G577" s="31"/>
    </row>
    <row r="578" ht="15.75" customHeight="1">
      <c r="A578" s="31"/>
      <c r="B578" s="31"/>
      <c r="C578" s="31"/>
      <c r="D578" s="31"/>
      <c r="E578" s="31"/>
      <c r="F578" s="31"/>
      <c r="G578" s="31"/>
    </row>
    <row r="579" ht="15.75" customHeight="1">
      <c r="A579" s="31"/>
      <c r="B579" s="31"/>
      <c r="C579" s="31"/>
      <c r="D579" s="31"/>
      <c r="E579" s="31"/>
      <c r="F579" s="31"/>
      <c r="G579" s="31"/>
    </row>
    <row r="580" ht="15.75" customHeight="1">
      <c r="A580" s="31"/>
      <c r="B580" s="31"/>
      <c r="C580" s="31"/>
      <c r="D580" s="31"/>
      <c r="E580" s="31"/>
      <c r="F580" s="31"/>
      <c r="G580" s="31"/>
    </row>
    <row r="581" ht="15.75" customHeight="1">
      <c r="A581" s="31"/>
      <c r="B581" s="31"/>
      <c r="C581" s="31"/>
      <c r="D581" s="31"/>
      <c r="E581" s="31"/>
      <c r="F581" s="31"/>
      <c r="G581" s="31"/>
    </row>
    <row r="582" ht="15.75" customHeight="1">
      <c r="A582" s="31"/>
      <c r="B582" s="31"/>
      <c r="C582" s="31"/>
      <c r="D582" s="31"/>
      <c r="E582" s="31"/>
      <c r="F582" s="31"/>
      <c r="G582" s="31"/>
    </row>
    <row r="583" ht="15.75" customHeight="1">
      <c r="A583" s="31"/>
      <c r="B583" s="31"/>
      <c r="C583" s="31"/>
      <c r="D583" s="31"/>
      <c r="E583" s="31"/>
      <c r="F583" s="31"/>
      <c r="G583" s="31"/>
    </row>
    <row r="584" ht="15.75" customHeight="1">
      <c r="A584" s="31"/>
      <c r="B584" s="31"/>
      <c r="C584" s="31"/>
      <c r="D584" s="31"/>
      <c r="E584" s="31"/>
      <c r="F584" s="31"/>
      <c r="G584" s="31"/>
    </row>
    <row r="585" ht="15.75" customHeight="1">
      <c r="A585" s="31"/>
      <c r="B585" s="31"/>
      <c r="C585" s="31"/>
      <c r="D585" s="31"/>
      <c r="E585" s="31"/>
      <c r="F585" s="31"/>
      <c r="G585" s="31"/>
    </row>
    <row r="586" ht="15.75" customHeight="1">
      <c r="A586" s="31"/>
      <c r="B586" s="31"/>
      <c r="C586" s="31"/>
      <c r="D586" s="31"/>
      <c r="E586" s="31"/>
      <c r="F586" s="31"/>
      <c r="G586" s="31"/>
    </row>
    <row r="587" ht="15.75" customHeight="1">
      <c r="A587" s="31"/>
      <c r="B587" s="31"/>
      <c r="C587" s="31"/>
      <c r="D587" s="31"/>
      <c r="E587" s="31"/>
      <c r="F587" s="31"/>
      <c r="G587" s="31"/>
    </row>
    <row r="588" ht="15.75" customHeight="1">
      <c r="A588" s="31"/>
      <c r="B588" s="31"/>
      <c r="C588" s="31"/>
      <c r="D588" s="31"/>
      <c r="E588" s="31"/>
      <c r="F588" s="31"/>
      <c r="G588" s="31"/>
    </row>
    <row r="589" ht="15.75" customHeight="1">
      <c r="A589" s="31"/>
      <c r="B589" s="31"/>
      <c r="C589" s="31"/>
      <c r="D589" s="31"/>
      <c r="E589" s="31"/>
      <c r="F589" s="31"/>
      <c r="G589" s="31"/>
    </row>
    <row r="590" ht="15.75" customHeight="1">
      <c r="A590" s="31"/>
      <c r="B590" s="31"/>
      <c r="C590" s="31"/>
      <c r="D590" s="31"/>
      <c r="E590" s="31"/>
      <c r="F590" s="31"/>
      <c r="G590" s="31"/>
    </row>
    <row r="591" ht="15.75" customHeight="1">
      <c r="A591" s="31"/>
      <c r="B591" s="31"/>
      <c r="C591" s="31"/>
      <c r="D591" s="31"/>
      <c r="E591" s="31"/>
      <c r="F591" s="31"/>
      <c r="G591" s="31"/>
    </row>
    <row r="592" ht="15.75" customHeight="1">
      <c r="A592" s="31"/>
      <c r="B592" s="31"/>
      <c r="C592" s="31"/>
      <c r="D592" s="31"/>
      <c r="E592" s="31"/>
      <c r="F592" s="31"/>
      <c r="G592" s="31"/>
    </row>
    <row r="593" ht="15.75" customHeight="1">
      <c r="A593" s="31"/>
      <c r="B593" s="31"/>
      <c r="C593" s="31"/>
      <c r="D593" s="31"/>
      <c r="E593" s="31"/>
      <c r="F593" s="31"/>
      <c r="G593" s="31"/>
    </row>
    <row r="594" ht="15.75" customHeight="1">
      <c r="A594" s="31"/>
      <c r="B594" s="31"/>
      <c r="C594" s="31"/>
      <c r="D594" s="31"/>
      <c r="E594" s="31"/>
      <c r="F594" s="31"/>
      <c r="G594" s="31"/>
    </row>
    <row r="595" ht="15.75" customHeight="1">
      <c r="A595" s="31"/>
      <c r="B595" s="31"/>
      <c r="C595" s="31"/>
      <c r="D595" s="31"/>
      <c r="E595" s="31"/>
      <c r="F595" s="31"/>
      <c r="G595" s="31"/>
    </row>
    <row r="596" ht="15.75" customHeight="1">
      <c r="A596" s="31"/>
      <c r="B596" s="31"/>
      <c r="C596" s="31"/>
      <c r="D596" s="31"/>
      <c r="E596" s="31"/>
      <c r="F596" s="31"/>
      <c r="G596" s="31"/>
    </row>
    <row r="597" ht="15.75" customHeight="1">
      <c r="A597" s="31"/>
      <c r="B597" s="31"/>
      <c r="C597" s="31"/>
      <c r="D597" s="31"/>
      <c r="E597" s="31"/>
      <c r="F597" s="31"/>
      <c r="G597" s="31"/>
    </row>
    <row r="598" ht="15.75" customHeight="1">
      <c r="A598" s="31"/>
      <c r="B598" s="31"/>
      <c r="C598" s="31"/>
      <c r="D598" s="31"/>
      <c r="E598" s="31"/>
      <c r="F598" s="31"/>
      <c r="G598" s="31"/>
    </row>
    <row r="599" ht="15.75" customHeight="1">
      <c r="A599" s="31"/>
      <c r="B599" s="31"/>
      <c r="C599" s="31"/>
      <c r="D599" s="31"/>
      <c r="E599" s="31"/>
      <c r="F599" s="31"/>
      <c r="G599" s="31"/>
    </row>
    <row r="600" ht="15.75" customHeight="1">
      <c r="A600" s="31"/>
      <c r="B600" s="31"/>
      <c r="C600" s="31"/>
      <c r="D600" s="31"/>
      <c r="E600" s="31"/>
      <c r="F600" s="31"/>
      <c r="G600" s="31"/>
    </row>
    <row r="601" ht="15.75" customHeight="1">
      <c r="A601" s="31"/>
      <c r="B601" s="31"/>
      <c r="C601" s="31"/>
      <c r="D601" s="31"/>
      <c r="E601" s="31"/>
      <c r="F601" s="31"/>
      <c r="G601" s="31"/>
    </row>
    <row r="602" ht="15.75" customHeight="1">
      <c r="A602" s="31"/>
      <c r="B602" s="31"/>
      <c r="C602" s="31"/>
      <c r="D602" s="31"/>
      <c r="E602" s="31"/>
      <c r="F602" s="31"/>
      <c r="G602" s="31"/>
    </row>
    <row r="603" ht="15.75" customHeight="1">
      <c r="A603" s="31"/>
      <c r="B603" s="31"/>
      <c r="C603" s="31"/>
      <c r="D603" s="31"/>
      <c r="E603" s="31"/>
      <c r="F603" s="31"/>
      <c r="G603" s="31"/>
    </row>
    <row r="604" ht="15.75" customHeight="1">
      <c r="A604" s="31"/>
      <c r="B604" s="31"/>
      <c r="C604" s="31"/>
      <c r="D604" s="31"/>
      <c r="E604" s="31"/>
      <c r="F604" s="31"/>
      <c r="G604" s="31"/>
    </row>
    <row r="605" ht="15.75" customHeight="1">
      <c r="A605" s="31"/>
      <c r="B605" s="31"/>
      <c r="C605" s="31"/>
      <c r="D605" s="31"/>
      <c r="E605" s="31"/>
      <c r="F605" s="31"/>
      <c r="G605" s="31"/>
    </row>
    <row r="606" ht="15.75" customHeight="1">
      <c r="A606" s="31"/>
      <c r="B606" s="31"/>
      <c r="C606" s="31"/>
      <c r="D606" s="31"/>
      <c r="E606" s="31"/>
      <c r="F606" s="31"/>
      <c r="G606" s="31"/>
    </row>
    <row r="607" ht="15.75" customHeight="1">
      <c r="A607" s="31"/>
      <c r="B607" s="31"/>
      <c r="C607" s="31"/>
      <c r="D607" s="31"/>
      <c r="E607" s="31"/>
      <c r="F607" s="31"/>
      <c r="G607" s="31"/>
    </row>
    <row r="608" ht="15.75" customHeight="1">
      <c r="A608" s="31"/>
      <c r="B608" s="31"/>
      <c r="C608" s="31"/>
      <c r="D608" s="31"/>
      <c r="E608" s="31"/>
      <c r="F608" s="31"/>
      <c r="G608" s="31"/>
    </row>
    <row r="609" ht="15.75" customHeight="1">
      <c r="A609" s="31"/>
      <c r="B609" s="31"/>
      <c r="C609" s="31"/>
      <c r="D609" s="31"/>
      <c r="E609" s="31"/>
      <c r="F609" s="31"/>
      <c r="G609" s="31"/>
    </row>
    <row r="610" ht="15.75" customHeight="1">
      <c r="A610" s="31"/>
      <c r="B610" s="31"/>
      <c r="C610" s="31"/>
      <c r="D610" s="31"/>
      <c r="E610" s="31"/>
      <c r="F610" s="31"/>
      <c r="G610" s="31"/>
    </row>
    <row r="611" ht="15.75" customHeight="1">
      <c r="A611" s="31"/>
      <c r="B611" s="31"/>
      <c r="C611" s="31"/>
      <c r="D611" s="31"/>
      <c r="E611" s="31"/>
      <c r="F611" s="31"/>
      <c r="G611" s="31"/>
    </row>
    <row r="612" ht="15.75" customHeight="1">
      <c r="A612" s="31"/>
      <c r="B612" s="31"/>
      <c r="C612" s="31"/>
      <c r="D612" s="31"/>
      <c r="E612" s="31"/>
      <c r="F612" s="31"/>
      <c r="G612" s="31"/>
    </row>
    <row r="613" ht="15.75" customHeight="1">
      <c r="A613" s="31"/>
      <c r="B613" s="31"/>
      <c r="C613" s="31"/>
      <c r="D613" s="31"/>
      <c r="E613" s="31"/>
      <c r="F613" s="31"/>
      <c r="G613" s="31"/>
    </row>
    <row r="614" ht="15.75" customHeight="1">
      <c r="A614" s="31"/>
      <c r="B614" s="31"/>
      <c r="C614" s="31"/>
      <c r="D614" s="31"/>
      <c r="E614" s="31"/>
      <c r="F614" s="31"/>
      <c r="G614" s="31"/>
    </row>
    <row r="615" ht="15.75" customHeight="1">
      <c r="A615" s="31"/>
      <c r="B615" s="31"/>
      <c r="C615" s="31"/>
      <c r="D615" s="31"/>
      <c r="E615" s="31"/>
      <c r="F615" s="31"/>
      <c r="G615" s="31"/>
    </row>
    <row r="616" ht="15.75" customHeight="1">
      <c r="A616" s="31"/>
      <c r="B616" s="31"/>
      <c r="C616" s="31"/>
      <c r="D616" s="31"/>
      <c r="E616" s="31"/>
      <c r="F616" s="31"/>
      <c r="G616" s="31"/>
    </row>
    <row r="617" ht="15.75" customHeight="1">
      <c r="A617" s="31"/>
      <c r="B617" s="31"/>
      <c r="C617" s="31"/>
      <c r="D617" s="31"/>
      <c r="E617" s="31"/>
      <c r="F617" s="31"/>
      <c r="G617" s="31"/>
    </row>
    <row r="618" ht="15.75" customHeight="1">
      <c r="A618" s="31"/>
      <c r="B618" s="31"/>
      <c r="C618" s="31"/>
      <c r="D618" s="31"/>
      <c r="E618" s="31"/>
      <c r="F618" s="31"/>
      <c r="G618" s="31"/>
    </row>
    <row r="619" ht="15.75" customHeight="1">
      <c r="A619" s="31"/>
      <c r="B619" s="31"/>
      <c r="C619" s="31"/>
      <c r="D619" s="31"/>
      <c r="E619" s="31"/>
      <c r="F619" s="31"/>
      <c r="G619" s="31"/>
    </row>
    <row r="620" ht="15.75" customHeight="1">
      <c r="A620" s="31"/>
      <c r="B620" s="31"/>
      <c r="C620" s="31"/>
      <c r="D620" s="31"/>
      <c r="E620" s="31"/>
      <c r="F620" s="31"/>
      <c r="G620" s="31"/>
    </row>
    <row r="621" ht="15.75" customHeight="1">
      <c r="A621" s="31"/>
      <c r="B621" s="31"/>
      <c r="C621" s="31"/>
      <c r="D621" s="31"/>
      <c r="E621" s="31"/>
      <c r="F621" s="31"/>
      <c r="G621" s="31"/>
    </row>
    <row r="622" ht="15.75" customHeight="1">
      <c r="A622" s="31"/>
      <c r="B622" s="31"/>
      <c r="C622" s="31"/>
      <c r="D622" s="31"/>
      <c r="E622" s="31"/>
      <c r="F622" s="31"/>
      <c r="G622" s="31"/>
    </row>
    <row r="623" ht="15.75" customHeight="1">
      <c r="A623" s="31"/>
      <c r="B623" s="31"/>
      <c r="C623" s="31"/>
      <c r="D623" s="31"/>
      <c r="E623" s="31"/>
      <c r="F623" s="31"/>
      <c r="G623" s="31"/>
    </row>
    <row r="624" ht="15.75" customHeight="1">
      <c r="A624" s="31"/>
      <c r="B624" s="31"/>
      <c r="C624" s="31"/>
      <c r="D624" s="31"/>
      <c r="E624" s="31"/>
      <c r="F624" s="31"/>
      <c r="G624" s="31"/>
    </row>
    <row r="625" ht="15.75" customHeight="1">
      <c r="A625" s="31"/>
      <c r="B625" s="31"/>
      <c r="C625" s="31"/>
      <c r="D625" s="31"/>
      <c r="E625" s="31"/>
      <c r="F625" s="31"/>
      <c r="G625" s="31"/>
    </row>
    <row r="626" ht="15.75" customHeight="1">
      <c r="A626" s="31"/>
      <c r="B626" s="31"/>
      <c r="C626" s="31"/>
      <c r="D626" s="31"/>
      <c r="E626" s="31"/>
      <c r="F626" s="31"/>
      <c r="G626" s="31"/>
    </row>
    <row r="627" ht="15.75" customHeight="1">
      <c r="A627" s="31"/>
      <c r="B627" s="31"/>
      <c r="C627" s="31"/>
      <c r="D627" s="31"/>
      <c r="E627" s="31"/>
      <c r="F627" s="31"/>
      <c r="G627" s="31"/>
    </row>
    <row r="628" ht="15.75" customHeight="1">
      <c r="A628" s="31"/>
      <c r="B628" s="31"/>
      <c r="C628" s="31"/>
      <c r="D628" s="31"/>
      <c r="E628" s="31"/>
      <c r="F628" s="31"/>
      <c r="G628" s="31"/>
    </row>
    <row r="629" ht="15.75" customHeight="1">
      <c r="A629" s="31"/>
      <c r="B629" s="31"/>
      <c r="C629" s="31"/>
      <c r="D629" s="31"/>
      <c r="E629" s="31"/>
      <c r="F629" s="31"/>
      <c r="G629" s="31"/>
    </row>
    <row r="630" ht="15.75" customHeight="1">
      <c r="A630" s="31"/>
      <c r="B630" s="31"/>
      <c r="C630" s="31"/>
      <c r="D630" s="31"/>
      <c r="E630" s="31"/>
      <c r="F630" s="31"/>
      <c r="G630" s="31"/>
    </row>
    <row r="631" ht="15.75" customHeight="1">
      <c r="A631" s="31"/>
      <c r="B631" s="31"/>
      <c r="C631" s="31"/>
      <c r="D631" s="31"/>
      <c r="E631" s="31"/>
      <c r="F631" s="31"/>
      <c r="G631" s="31"/>
    </row>
    <row r="632" ht="15.75" customHeight="1">
      <c r="A632" s="31"/>
      <c r="B632" s="31"/>
      <c r="C632" s="31"/>
      <c r="D632" s="31"/>
      <c r="E632" s="31"/>
      <c r="F632" s="31"/>
      <c r="G632" s="31"/>
    </row>
    <row r="633" ht="15.75" customHeight="1">
      <c r="A633" s="31"/>
      <c r="B633" s="31"/>
      <c r="C633" s="31"/>
      <c r="D633" s="31"/>
      <c r="E633" s="31"/>
      <c r="F633" s="31"/>
      <c r="G633" s="31"/>
    </row>
    <row r="634" ht="15.75" customHeight="1">
      <c r="A634" s="31"/>
      <c r="B634" s="31"/>
      <c r="C634" s="31"/>
      <c r="D634" s="31"/>
      <c r="E634" s="31"/>
      <c r="F634" s="31"/>
      <c r="G634" s="31"/>
    </row>
    <row r="635" ht="15.75" customHeight="1">
      <c r="A635" s="31"/>
      <c r="B635" s="31"/>
      <c r="C635" s="31"/>
      <c r="D635" s="31"/>
      <c r="E635" s="31"/>
      <c r="F635" s="31"/>
      <c r="G635" s="31"/>
    </row>
    <row r="636" ht="15.75" customHeight="1">
      <c r="A636" s="31"/>
      <c r="B636" s="31"/>
      <c r="C636" s="31"/>
      <c r="D636" s="31"/>
      <c r="E636" s="31"/>
      <c r="F636" s="31"/>
      <c r="G636" s="31"/>
    </row>
    <row r="637" ht="15.75" customHeight="1">
      <c r="A637" s="31"/>
      <c r="B637" s="31"/>
      <c r="C637" s="31"/>
      <c r="D637" s="31"/>
      <c r="E637" s="31"/>
      <c r="F637" s="31"/>
      <c r="G637" s="31"/>
    </row>
    <row r="638" ht="15.75" customHeight="1">
      <c r="A638" s="31"/>
      <c r="B638" s="31"/>
      <c r="C638" s="31"/>
      <c r="D638" s="31"/>
      <c r="E638" s="31"/>
      <c r="F638" s="31"/>
      <c r="G638" s="31"/>
    </row>
    <row r="639" ht="15.75" customHeight="1">
      <c r="A639" s="31"/>
      <c r="B639" s="31"/>
      <c r="C639" s="31"/>
      <c r="D639" s="31"/>
      <c r="E639" s="31"/>
      <c r="F639" s="31"/>
      <c r="G639" s="31"/>
    </row>
    <row r="640" ht="15.75" customHeight="1">
      <c r="A640" s="31"/>
      <c r="B640" s="31"/>
      <c r="C640" s="31"/>
      <c r="D640" s="31"/>
      <c r="E640" s="31"/>
      <c r="F640" s="31"/>
      <c r="G640" s="31"/>
    </row>
    <row r="641" ht="15.75" customHeight="1">
      <c r="A641" s="31"/>
      <c r="B641" s="31"/>
      <c r="C641" s="31"/>
      <c r="D641" s="31"/>
      <c r="E641" s="31"/>
      <c r="F641" s="31"/>
      <c r="G641" s="31"/>
    </row>
    <row r="642" ht="15.75" customHeight="1">
      <c r="A642" s="31"/>
      <c r="B642" s="31"/>
      <c r="C642" s="31"/>
      <c r="D642" s="31"/>
      <c r="E642" s="31"/>
      <c r="F642" s="31"/>
      <c r="G642" s="31"/>
    </row>
    <row r="643" ht="15.75" customHeight="1">
      <c r="A643" s="31"/>
      <c r="B643" s="31"/>
      <c r="C643" s="31"/>
      <c r="D643" s="31"/>
      <c r="E643" s="31"/>
      <c r="F643" s="31"/>
      <c r="G643" s="31"/>
    </row>
    <row r="644" ht="15.75" customHeight="1">
      <c r="A644" s="31"/>
      <c r="B644" s="31"/>
      <c r="C644" s="31"/>
      <c r="D644" s="31"/>
      <c r="E644" s="31"/>
      <c r="F644" s="31"/>
      <c r="G644" s="31"/>
    </row>
    <row r="645" ht="15.75" customHeight="1">
      <c r="A645" s="31"/>
      <c r="B645" s="31"/>
      <c r="C645" s="31"/>
      <c r="D645" s="31"/>
      <c r="E645" s="31"/>
      <c r="F645" s="31"/>
      <c r="G645" s="31"/>
    </row>
    <row r="646" ht="15.75" customHeight="1">
      <c r="A646" s="31"/>
      <c r="B646" s="31"/>
      <c r="C646" s="31"/>
      <c r="D646" s="31"/>
      <c r="E646" s="31"/>
      <c r="F646" s="31"/>
      <c r="G646" s="31"/>
    </row>
    <row r="647" ht="15.75" customHeight="1">
      <c r="A647" s="31"/>
      <c r="B647" s="31"/>
      <c r="C647" s="31"/>
      <c r="D647" s="31"/>
      <c r="E647" s="31"/>
      <c r="F647" s="31"/>
      <c r="G647" s="31"/>
    </row>
    <row r="648" ht="15.75" customHeight="1">
      <c r="A648" s="31"/>
      <c r="B648" s="31"/>
      <c r="C648" s="31"/>
      <c r="D648" s="31"/>
      <c r="E648" s="31"/>
      <c r="F648" s="31"/>
      <c r="G648" s="31"/>
    </row>
    <row r="649" ht="15.75" customHeight="1">
      <c r="A649" s="31"/>
      <c r="B649" s="31"/>
      <c r="C649" s="31"/>
      <c r="D649" s="31"/>
      <c r="E649" s="31"/>
      <c r="F649" s="31"/>
      <c r="G649" s="31"/>
    </row>
    <row r="650" ht="15.75" customHeight="1">
      <c r="A650" s="31"/>
      <c r="B650" s="31"/>
      <c r="C650" s="31"/>
      <c r="D650" s="31"/>
      <c r="E650" s="31"/>
      <c r="F650" s="31"/>
      <c r="G650" s="31"/>
    </row>
    <row r="651" ht="15.75" customHeight="1">
      <c r="A651" s="31"/>
      <c r="B651" s="31"/>
      <c r="C651" s="31"/>
      <c r="D651" s="31"/>
      <c r="E651" s="31"/>
      <c r="F651" s="31"/>
      <c r="G651" s="31"/>
    </row>
    <row r="652" ht="15.75" customHeight="1">
      <c r="A652" s="31"/>
      <c r="B652" s="31"/>
      <c r="C652" s="31"/>
      <c r="D652" s="31"/>
      <c r="E652" s="31"/>
      <c r="F652" s="31"/>
      <c r="G652" s="31"/>
    </row>
    <row r="653" ht="15.75" customHeight="1">
      <c r="A653" s="31"/>
      <c r="B653" s="31"/>
      <c r="C653" s="31"/>
      <c r="D653" s="31"/>
      <c r="E653" s="31"/>
      <c r="F653" s="31"/>
      <c r="G653" s="31"/>
    </row>
    <row r="654" ht="15.75" customHeight="1">
      <c r="A654" s="31"/>
      <c r="B654" s="31"/>
      <c r="C654" s="31"/>
      <c r="D654" s="31"/>
      <c r="E654" s="31"/>
      <c r="F654" s="31"/>
      <c r="G654" s="31"/>
    </row>
    <row r="655" ht="15.75" customHeight="1">
      <c r="A655" s="31"/>
      <c r="B655" s="31"/>
      <c r="C655" s="31"/>
      <c r="D655" s="31"/>
      <c r="E655" s="31"/>
      <c r="F655" s="31"/>
      <c r="G655" s="31"/>
    </row>
    <row r="656" ht="15.75" customHeight="1">
      <c r="A656" s="31"/>
      <c r="B656" s="31"/>
      <c r="C656" s="31"/>
      <c r="D656" s="31"/>
      <c r="E656" s="31"/>
      <c r="F656" s="31"/>
      <c r="G656" s="31"/>
    </row>
    <row r="657" ht="15.75" customHeight="1">
      <c r="A657" s="31"/>
      <c r="B657" s="31"/>
      <c r="C657" s="31"/>
      <c r="D657" s="31"/>
      <c r="E657" s="31"/>
      <c r="F657" s="31"/>
      <c r="G657" s="31"/>
    </row>
    <row r="658" ht="15.75" customHeight="1">
      <c r="A658" s="31"/>
      <c r="B658" s="31"/>
      <c r="C658" s="31"/>
      <c r="D658" s="31"/>
      <c r="E658" s="31"/>
      <c r="F658" s="31"/>
      <c r="G658" s="31"/>
    </row>
    <row r="659" ht="15.75" customHeight="1">
      <c r="A659" s="31"/>
      <c r="B659" s="31"/>
      <c r="C659" s="31"/>
      <c r="D659" s="31"/>
      <c r="E659" s="31"/>
      <c r="F659" s="31"/>
      <c r="G659" s="31"/>
    </row>
    <row r="660" ht="15.75" customHeight="1">
      <c r="A660" s="31"/>
      <c r="B660" s="31"/>
      <c r="C660" s="31"/>
      <c r="D660" s="31"/>
      <c r="E660" s="31"/>
      <c r="F660" s="31"/>
      <c r="G660" s="31"/>
    </row>
    <row r="661" ht="15.75" customHeight="1">
      <c r="A661" s="31"/>
      <c r="B661" s="31"/>
      <c r="C661" s="31"/>
      <c r="D661" s="31"/>
      <c r="E661" s="31"/>
      <c r="F661" s="31"/>
      <c r="G661" s="31"/>
    </row>
    <row r="662" ht="15.75" customHeight="1">
      <c r="A662" s="31"/>
      <c r="B662" s="31"/>
      <c r="C662" s="31"/>
      <c r="D662" s="31"/>
      <c r="E662" s="31"/>
      <c r="F662" s="31"/>
      <c r="G662" s="31"/>
    </row>
    <row r="663" ht="15.75" customHeight="1">
      <c r="A663" s="31"/>
      <c r="B663" s="31"/>
      <c r="C663" s="31"/>
      <c r="D663" s="31"/>
      <c r="E663" s="31"/>
      <c r="F663" s="31"/>
      <c r="G663" s="31"/>
    </row>
    <row r="664" ht="15.75" customHeight="1">
      <c r="A664" s="31"/>
      <c r="B664" s="31"/>
      <c r="C664" s="31"/>
      <c r="D664" s="31"/>
      <c r="E664" s="31"/>
      <c r="F664" s="31"/>
      <c r="G664" s="31"/>
    </row>
    <row r="665" ht="15.75" customHeight="1">
      <c r="A665" s="31"/>
      <c r="B665" s="31"/>
      <c r="C665" s="31"/>
      <c r="D665" s="31"/>
      <c r="E665" s="31"/>
      <c r="F665" s="31"/>
      <c r="G665" s="31"/>
    </row>
    <row r="666" ht="15.75" customHeight="1">
      <c r="A666" s="31"/>
      <c r="B666" s="31"/>
      <c r="C666" s="31"/>
      <c r="D666" s="31"/>
      <c r="E666" s="31"/>
      <c r="F666" s="31"/>
      <c r="G666" s="31"/>
    </row>
    <row r="667" ht="15.75" customHeight="1">
      <c r="A667" s="31"/>
      <c r="B667" s="31"/>
      <c r="C667" s="31"/>
      <c r="D667" s="31"/>
      <c r="E667" s="31"/>
      <c r="F667" s="31"/>
      <c r="G667" s="31"/>
    </row>
    <row r="668" ht="15.75" customHeight="1">
      <c r="A668" s="31"/>
      <c r="B668" s="31"/>
      <c r="C668" s="31"/>
      <c r="D668" s="31"/>
      <c r="E668" s="31"/>
      <c r="F668" s="31"/>
      <c r="G668" s="31"/>
    </row>
    <row r="669" ht="15.75" customHeight="1">
      <c r="A669" s="31"/>
      <c r="B669" s="31"/>
      <c r="C669" s="31"/>
      <c r="D669" s="31"/>
      <c r="E669" s="31"/>
      <c r="F669" s="31"/>
      <c r="G669" s="31"/>
    </row>
    <row r="670" ht="15.75" customHeight="1">
      <c r="A670" s="31"/>
      <c r="B670" s="31"/>
      <c r="C670" s="31"/>
      <c r="D670" s="31"/>
      <c r="E670" s="31"/>
      <c r="F670" s="31"/>
      <c r="G670" s="31"/>
    </row>
    <row r="671" ht="15.75" customHeight="1">
      <c r="A671" s="31"/>
      <c r="B671" s="31"/>
      <c r="C671" s="31"/>
      <c r="D671" s="31"/>
      <c r="E671" s="31"/>
      <c r="F671" s="31"/>
      <c r="G671" s="31"/>
    </row>
    <row r="672" ht="15.75" customHeight="1">
      <c r="A672" s="31"/>
      <c r="B672" s="31"/>
      <c r="C672" s="31"/>
      <c r="D672" s="31"/>
      <c r="E672" s="31"/>
      <c r="F672" s="31"/>
      <c r="G672" s="31"/>
    </row>
    <row r="673" ht="15.75" customHeight="1">
      <c r="A673" s="31"/>
      <c r="B673" s="31"/>
      <c r="C673" s="31"/>
      <c r="D673" s="31"/>
      <c r="E673" s="31"/>
      <c r="F673" s="31"/>
      <c r="G673" s="31"/>
    </row>
    <row r="674" ht="15.75" customHeight="1">
      <c r="A674" s="31"/>
      <c r="B674" s="31"/>
      <c r="C674" s="31"/>
      <c r="D674" s="31"/>
      <c r="E674" s="31"/>
      <c r="F674" s="31"/>
      <c r="G674" s="31"/>
    </row>
    <row r="675" ht="15.75" customHeight="1">
      <c r="A675" s="31"/>
      <c r="B675" s="31"/>
      <c r="C675" s="31"/>
      <c r="D675" s="31"/>
      <c r="E675" s="31"/>
      <c r="F675" s="31"/>
      <c r="G675" s="31"/>
    </row>
    <row r="676" ht="15.75" customHeight="1">
      <c r="A676" s="31"/>
      <c r="B676" s="31"/>
      <c r="C676" s="31"/>
      <c r="D676" s="31"/>
      <c r="E676" s="31"/>
      <c r="F676" s="31"/>
      <c r="G676" s="31"/>
    </row>
    <row r="677" ht="15.75" customHeight="1">
      <c r="A677" s="31"/>
      <c r="B677" s="31"/>
      <c r="C677" s="31"/>
      <c r="D677" s="31"/>
      <c r="E677" s="31"/>
      <c r="F677" s="31"/>
      <c r="G677" s="31"/>
    </row>
    <row r="678" ht="15.75" customHeight="1">
      <c r="A678" s="31"/>
      <c r="B678" s="31"/>
      <c r="C678" s="31"/>
      <c r="D678" s="31"/>
      <c r="E678" s="31"/>
      <c r="F678" s="31"/>
      <c r="G678" s="31"/>
    </row>
    <row r="679" ht="15.75" customHeight="1">
      <c r="A679" s="31"/>
      <c r="B679" s="31"/>
      <c r="C679" s="31"/>
      <c r="D679" s="31"/>
      <c r="E679" s="31"/>
      <c r="F679" s="31"/>
      <c r="G679" s="31"/>
    </row>
    <row r="680" ht="15.75" customHeight="1">
      <c r="A680" s="31"/>
      <c r="B680" s="31"/>
      <c r="C680" s="31"/>
      <c r="D680" s="31"/>
      <c r="E680" s="31"/>
      <c r="F680" s="31"/>
      <c r="G680" s="31"/>
    </row>
    <row r="681" ht="15.75" customHeight="1">
      <c r="A681" s="31"/>
      <c r="B681" s="31"/>
      <c r="C681" s="31"/>
      <c r="D681" s="31"/>
      <c r="E681" s="31"/>
      <c r="F681" s="31"/>
      <c r="G681" s="31"/>
    </row>
    <row r="682" ht="15.75" customHeight="1">
      <c r="A682" s="31"/>
      <c r="B682" s="31"/>
      <c r="C682" s="31"/>
      <c r="D682" s="31"/>
      <c r="E682" s="31"/>
      <c r="F682" s="31"/>
      <c r="G682" s="31"/>
    </row>
    <row r="683" ht="15.75" customHeight="1">
      <c r="A683" s="31"/>
      <c r="B683" s="31"/>
      <c r="C683" s="31"/>
      <c r="D683" s="31"/>
      <c r="E683" s="31"/>
      <c r="F683" s="31"/>
      <c r="G683" s="31"/>
    </row>
    <row r="684" ht="15.75" customHeight="1">
      <c r="A684" s="31"/>
      <c r="B684" s="31"/>
      <c r="C684" s="31"/>
      <c r="D684" s="31"/>
      <c r="E684" s="31"/>
      <c r="F684" s="31"/>
      <c r="G684" s="31"/>
    </row>
    <row r="685" ht="15.75" customHeight="1">
      <c r="A685" s="31"/>
      <c r="B685" s="31"/>
      <c r="C685" s="31"/>
      <c r="D685" s="31"/>
      <c r="E685" s="31"/>
      <c r="F685" s="31"/>
      <c r="G685" s="31"/>
    </row>
    <row r="686" ht="15.75" customHeight="1">
      <c r="A686" s="31"/>
      <c r="B686" s="31"/>
      <c r="C686" s="31"/>
      <c r="D686" s="31"/>
      <c r="E686" s="31"/>
      <c r="F686" s="31"/>
      <c r="G686" s="31"/>
    </row>
    <row r="687" ht="15.75" customHeight="1">
      <c r="A687" s="31"/>
      <c r="B687" s="31"/>
      <c r="C687" s="31"/>
      <c r="D687" s="31"/>
      <c r="E687" s="31"/>
      <c r="F687" s="31"/>
      <c r="G687" s="31"/>
    </row>
    <row r="688" ht="15.75" customHeight="1">
      <c r="A688" s="31"/>
      <c r="B688" s="31"/>
      <c r="C688" s="31"/>
      <c r="D688" s="31"/>
      <c r="E688" s="31"/>
      <c r="F688" s="31"/>
      <c r="G688" s="31"/>
    </row>
    <row r="689" ht="15.75" customHeight="1">
      <c r="A689" s="31"/>
      <c r="B689" s="31"/>
      <c r="C689" s="31"/>
      <c r="D689" s="31"/>
      <c r="E689" s="31"/>
      <c r="F689" s="31"/>
      <c r="G689" s="31"/>
    </row>
    <row r="690" ht="15.75" customHeight="1">
      <c r="A690" s="31"/>
      <c r="B690" s="31"/>
      <c r="C690" s="31"/>
      <c r="D690" s="31"/>
      <c r="E690" s="31"/>
      <c r="F690" s="31"/>
      <c r="G690" s="31"/>
    </row>
    <row r="691" ht="15.75" customHeight="1">
      <c r="A691" s="31"/>
      <c r="B691" s="31"/>
      <c r="C691" s="31"/>
      <c r="D691" s="31"/>
      <c r="E691" s="31"/>
      <c r="F691" s="31"/>
      <c r="G691" s="31"/>
    </row>
    <row r="692" ht="15.75" customHeight="1">
      <c r="A692" s="31"/>
      <c r="B692" s="31"/>
      <c r="C692" s="31"/>
      <c r="D692" s="31"/>
      <c r="E692" s="31"/>
      <c r="F692" s="31"/>
      <c r="G692" s="31"/>
    </row>
    <row r="693" ht="15.75" customHeight="1">
      <c r="A693" s="31"/>
      <c r="B693" s="31"/>
      <c r="C693" s="31"/>
      <c r="D693" s="31"/>
      <c r="E693" s="31"/>
      <c r="F693" s="31"/>
      <c r="G693" s="31"/>
    </row>
    <row r="694" ht="15.75" customHeight="1">
      <c r="A694" s="31"/>
      <c r="B694" s="31"/>
      <c r="C694" s="31"/>
      <c r="D694" s="31"/>
      <c r="E694" s="31"/>
      <c r="F694" s="31"/>
      <c r="G694" s="31"/>
    </row>
    <row r="695" ht="15.75" customHeight="1">
      <c r="A695" s="31"/>
      <c r="B695" s="31"/>
      <c r="C695" s="31"/>
      <c r="D695" s="31"/>
      <c r="E695" s="31"/>
      <c r="F695" s="31"/>
      <c r="G695" s="31"/>
    </row>
    <row r="696" ht="15.75" customHeight="1">
      <c r="A696" s="31"/>
      <c r="B696" s="31"/>
      <c r="C696" s="31"/>
      <c r="D696" s="31"/>
      <c r="E696" s="31"/>
      <c r="F696" s="31"/>
      <c r="G696" s="31"/>
    </row>
    <row r="697" ht="15.75" customHeight="1">
      <c r="A697" s="31"/>
      <c r="B697" s="31"/>
      <c r="C697" s="31"/>
      <c r="D697" s="31"/>
      <c r="E697" s="31"/>
      <c r="F697" s="31"/>
      <c r="G697" s="31"/>
    </row>
    <row r="698" ht="15.75" customHeight="1">
      <c r="A698" s="31"/>
      <c r="B698" s="31"/>
      <c r="C698" s="31"/>
      <c r="D698" s="31"/>
      <c r="E698" s="31"/>
      <c r="F698" s="31"/>
      <c r="G698" s="31"/>
    </row>
    <row r="699" ht="15.75" customHeight="1">
      <c r="A699" s="31"/>
      <c r="B699" s="31"/>
      <c r="C699" s="31"/>
      <c r="D699" s="31"/>
      <c r="E699" s="31"/>
      <c r="F699" s="31"/>
      <c r="G699" s="31"/>
    </row>
    <row r="700" ht="15.75" customHeight="1">
      <c r="A700" s="31"/>
      <c r="B700" s="31"/>
      <c r="C700" s="31"/>
      <c r="D700" s="31"/>
      <c r="E700" s="31"/>
      <c r="F700" s="31"/>
      <c r="G700" s="31"/>
    </row>
    <row r="701" ht="15.75" customHeight="1">
      <c r="A701" s="31"/>
      <c r="B701" s="31"/>
      <c r="C701" s="31"/>
      <c r="D701" s="31"/>
      <c r="E701" s="31"/>
      <c r="F701" s="31"/>
      <c r="G701" s="31"/>
    </row>
    <row r="702" ht="15.75" customHeight="1">
      <c r="A702" s="31"/>
      <c r="B702" s="31"/>
      <c r="C702" s="31"/>
      <c r="D702" s="31"/>
      <c r="E702" s="31"/>
      <c r="F702" s="31"/>
      <c r="G702" s="31"/>
    </row>
    <row r="703" ht="15.75" customHeight="1">
      <c r="A703" s="31"/>
      <c r="B703" s="31"/>
      <c r="C703" s="31"/>
      <c r="D703" s="31"/>
      <c r="E703" s="31"/>
      <c r="F703" s="31"/>
      <c r="G703" s="31"/>
    </row>
    <row r="704" ht="15.75" customHeight="1">
      <c r="A704" s="31"/>
      <c r="B704" s="31"/>
      <c r="C704" s="31"/>
      <c r="D704" s="31"/>
      <c r="E704" s="31"/>
      <c r="F704" s="31"/>
      <c r="G704" s="31"/>
    </row>
    <row r="705" ht="15.75" customHeight="1">
      <c r="A705" s="31"/>
      <c r="B705" s="31"/>
      <c r="C705" s="31"/>
      <c r="D705" s="31"/>
      <c r="E705" s="31"/>
      <c r="F705" s="31"/>
      <c r="G705" s="31"/>
    </row>
    <row r="706" ht="15.75" customHeight="1">
      <c r="A706" s="31"/>
      <c r="B706" s="31"/>
      <c r="C706" s="31"/>
      <c r="D706" s="31"/>
      <c r="E706" s="31"/>
      <c r="F706" s="31"/>
      <c r="G706" s="31"/>
    </row>
    <row r="707" ht="15.75" customHeight="1">
      <c r="A707" s="31"/>
      <c r="B707" s="31"/>
      <c r="C707" s="31"/>
      <c r="D707" s="31"/>
      <c r="E707" s="31"/>
      <c r="F707" s="31"/>
      <c r="G707" s="31"/>
    </row>
    <row r="708" ht="15.75" customHeight="1">
      <c r="A708" s="31"/>
      <c r="B708" s="31"/>
      <c r="C708" s="31"/>
      <c r="D708" s="31"/>
      <c r="E708" s="31"/>
      <c r="F708" s="31"/>
      <c r="G708" s="31"/>
    </row>
    <row r="709" ht="15.75" customHeight="1">
      <c r="A709" s="31"/>
      <c r="B709" s="31"/>
      <c r="C709" s="31"/>
      <c r="D709" s="31"/>
      <c r="E709" s="31"/>
      <c r="F709" s="31"/>
      <c r="G709" s="31"/>
    </row>
    <row r="710" ht="15.75" customHeight="1">
      <c r="A710" s="31"/>
      <c r="B710" s="31"/>
      <c r="C710" s="31"/>
      <c r="D710" s="31"/>
      <c r="E710" s="31"/>
      <c r="F710" s="31"/>
      <c r="G710" s="31"/>
    </row>
    <row r="711" ht="15.75" customHeight="1">
      <c r="A711" s="31"/>
      <c r="B711" s="31"/>
      <c r="C711" s="31"/>
      <c r="D711" s="31"/>
      <c r="E711" s="31"/>
      <c r="F711" s="31"/>
      <c r="G711" s="31"/>
    </row>
    <row r="712" ht="15.75" customHeight="1">
      <c r="A712" s="31"/>
      <c r="B712" s="31"/>
      <c r="C712" s="31"/>
      <c r="D712" s="31"/>
      <c r="E712" s="31"/>
      <c r="F712" s="31"/>
      <c r="G712" s="31"/>
    </row>
    <row r="713" ht="15.75" customHeight="1">
      <c r="A713" s="31"/>
      <c r="B713" s="31"/>
      <c r="C713" s="31"/>
      <c r="D713" s="31"/>
      <c r="E713" s="31"/>
      <c r="F713" s="31"/>
      <c r="G713" s="31"/>
    </row>
    <row r="714" ht="15.75" customHeight="1">
      <c r="A714" s="31"/>
      <c r="B714" s="31"/>
      <c r="C714" s="31"/>
      <c r="D714" s="31"/>
      <c r="E714" s="31"/>
      <c r="F714" s="31"/>
      <c r="G714" s="31"/>
    </row>
    <row r="715" ht="15.75" customHeight="1">
      <c r="A715" s="31"/>
      <c r="B715" s="31"/>
      <c r="C715" s="31"/>
      <c r="D715" s="31"/>
      <c r="E715" s="31"/>
      <c r="F715" s="31"/>
      <c r="G715" s="31"/>
    </row>
    <row r="716" ht="15.75" customHeight="1">
      <c r="A716" s="31"/>
      <c r="B716" s="31"/>
      <c r="C716" s="31"/>
      <c r="D716" s="31"/>
      <c r="E716" s="31"/>
      <c r="F716" s="31"/>
      <c r="G716" s="31"/>
    </row>
    <row r="717" ht="15.75" customHeight="1">
      <c r="A717" s="31"/>
      <c r="B717" s="31"/>
      <c r="C717" s="31"/>
      <c r="D717" s="31"/>
      <c r="E717" s="31"/>
      <c r="F717" s="31"/>
      <c r="G717" s="31"/>
    </row>
    <row r="718" ht="15.75" customHeight="1">
      <c r="A718" s="31"/>
      <c r="B718" s="31"/>
      <c r="C718" s="31"/>
      <c r="D718" s="31"/>
      <c r="E718" s="31"/>
      <c r="F718" s="31"/>
      <c r="G718" s="31"/>
    </row>
    <row r="719" ht="15.75" customHeight="1">
      <c r="A719" s="31"/>
      <c r="B719" s="31"/>
      <c r="C719" s="31"/>
      <c r="D719" s="31"/>
      <c r="E719" s="31"/>
      <c r="F719" s="31"/>
      <c r="G719" s="31"/>
    </row>
    <row r="720" ht="15.75" customHeight="1">
      <c r="A720" s="31"/>
      <c r="B720" s="31"/>
      <c r="C720" s="31"/>
      <c r="D720" s="31"/>
      <c r="E720" s="31"/>
      <c r="F720" s="31"/>
      <c r="G720" s="31"/>
    </row>
    <row r="721" ht="15.75" customHeight="1">
      <c r="A721" s="31"/>
      <c r="B721" s="31"/>
      <c r="C721" s="31"/>
      <c r="D721" s="31"/>
      <c r="E721" s="31"/>
      <c r="F721" s="31"/>
      <c r="G721" s="31"/>
    </row>
    <row r="722" ht="15.75" customHeight="1">
      <c r="A722" s="31"/>
      <c r="B722" s="31"/>
      <c r="C722" s="31"/>
      <c r="D722" s="31"/>
      <c r="E722" s="31"/>
      <c r="F722" s="31"/>
      <c r="G722" s="31"/>
    </row>
    <row r="723" ht="15.75" customHeight="1">
      <c r="A723" s="31"/>
      <c r="B723" s="31"/>
      <c r="C723" s="31"/>
      <c r="D723" s="31"/>
      <c r="E723" s="31"/>
      <c r="F723" s="31"/>
      <c r="G723" s="31"/>
    </row>
    <row r="724" ht="15.75" customHeight="1">
      <c r="A724" s="31"/>
      <c r="B724" s="31"/>
      <c r="C724" s="31"/>
      <c r="D724" s="31"/>
      <c r="E724" s="31"/>
      <c r="F724" s="31"/>
      <c r="G724" s="31"/>
    </row>
    <row r="725" ht="15.75" customHeight="1">
      <c r="A725" s="31"/>
      <c r="B725" s="31"/>
      <c r="C725" s="31"/>
      <c r="D725" s="31"/>
      <c r="E725" s="31"/>
      <c r="F725" s="31"/>
      <c r="G725" s="31"/>
    </row>
    <row r="726" ht="15.75" customHeight="1">
      <c r="A726" s="31"/>
      <c r="B726" s="31"/>
      <c r="C726" s="31"/>
      <c r="D726" s="31"/>
      <c r="E726" s="31"/>
      <c r="F726" s="31"/>
      <c r="G726" s="31"/>
    </row>
    <row r="727" ht="15.75" customHeight="1">
      <c r="A727" s="31"/>
      <c r="B727" s="31"/>
      <c r="C727" s="31"/>
      <c r="D727" s="31"/>
      <c r="E727" s="31"/>
      <c r="F727" s="31"/>
      <c r="G727" s="31"/>
    </row>
    <row r="728" ht="15.75" customHeight="1">
      <c r="A728" s="31"/>
      <c r="B728" s="31"/>
      <c r="C728" s="31"/>
      <c r="D728" s="31"/>
      <c r="E728" s="31"/>
      <c r="F728" s="31"/>
      <c r="G728" s="31"/>
    </row>
    <row r="729" ht="15.75" customHeight="1">
      <c r="A729" s="31"/>
      <c r="B729" s="31"/>
      <c r="C729" s="31"/>
      <c r="D729" s="31"/>
      <c r="E729" s="31"/>
      <c r="F729" s="31"/>
      <c r="G729" s="31"/>
    </row>
    <row r="730" ht="15.75" customHeight="1">
      <c r="A730" s="31"/>
      <c r="B730" s="31"/>
      <c r="C730" s="31"/>
      <c r="D730" s="31"/>
      <c r="E730" s="31"/>
      <c r="F730" s="31"/>
      <c r="G730" s="31"/>
    </row>
    <row r="731" ht="15.75" customHeight="1">
      <c r="A731" s="31"/>
      <c r="B731" s="31"/>
      <c r="C731" s="31"/>
      <c r="D731" s="31"/>
      <c r="E731" s="31"/>
      <c r="F731" s="31"/>
      <c r="G731" s="31"/>
    </row>
    <row r="732" ht="15.75" customHeight="1">
      <c r="A732" s="31"/>
      <c r="B732" s="31"/>
      <c r="C732" s="31"/>
      <c r="D732" s="31"/>
      <c r="E732" s="31"/>
      <c r="F732" s="31"/>
      <c r="G732" s="31"/>
    </row>
    <row r="733" ht="15.75" customHeight="1">
      <c r="A733" s="31"/>
      <c r="B733" s="31"/>
      <c r="C733" s="31"/>
      <c r="D733" s="31"/>
      <c r="E733" s="31"/>
      <c r="F733" s="31"/>
      <c r="G733" s="31"/>
    </row>
    <row r="734" ht="15.75" customHeight="1">
      <c r="A734" s="31"/>
      <c r="B734" s="31"/>
      <c r="C734" s="31"/>
      <c r="D734" s="31"/>
      <c r="E734" s="31"/>
      <c r="F734" s="31"/>
      <c r="G734" s="31"/>
    </row>
    <row r="735" ht="15.75" customHeight="1">
      <c r="A735" s="31"/>
      <c r="B735" s="31"/>
      <c r="C735" s="31"/>
      <c r="D735" s="31"/>
      <c r="E735" s="31"/>
      <c r="F735" s="31"/>
      <c r="G735" s="31"/>
    </row>
    <row r="736" ht="15.75" customHeight="1">
      <c r="A736" s="31"/>
      <c r="B736" s="31"/>
      <c r="C736" s="31"/>
      <c r="D736" s="31"/>
      <c r="E736" s="31"/>
      <c r="F736" s="31"/>
      <c r="G736" s="31"/>
    </row>
    <row r="737" ht="15.75" customHeight="1">
      <c r="A737" s="31"/>
      <c r="B737" s="31"/>
      <c r="C737" s="31"/>
      <c r="D737" s="31"/>
      <c r="E737" s="31"/>
      <c r="F737" s="31"/>
      <c r="G737" s="31"/>
    </row>
    <row r="738" ht="15.75" customHeight="1">
      <c r="A738" s="31"/>
      <c r="B738" s="31"/>
      <c r="C738" s="31"/>
      <c r="D738" s="31"/>
      <c r="E738" s="31"/>
      <c r="F738" s="31"/>
      <c r="G738" s="31"/>
    </row>
    <row r="739" ht="15.75" customHeight="1">
      <c r="A739" s="31"/>
      <c r="B739" s="31"/>
      <c r="C739" s="31"/>
      <c r="D739" s="31"/>
      <c r="E739" s="31"/>
      <c r="F739" s="31"/>
      <c r="G739" s="31"/>
    </row>
    <row r="740" ht="15.75" customHeight="1">
      <c r="A740" s="31"/>
      <c r="B740" s="31"/>
      <c r="C740" s="31"/>
      <c r="D740" s="31"/>
      <c r="E740" s="31"/>
      <c r="F740" s="31"/>
      <c r="G740" s="31"/>
    </row>
    <row r="741" ht="15.75" customHeight="1">
      <c r="A741" s="31"/>
      <c r="B741" s="31"/>
      <c r="C741" s="31"/>
      <c r="D741" s="31"/>
      <c r="E741" s="31"/>
      <c r="F741" s="31"/>
      <c r="G741" s="31"/>
    </row>
    <row r="742" ht="15.75" customHeight="1">
      <c r="A742" s="31"/>
      <c r="B742" s="31"/>
      <c r="C742" s="31"/>
      <c r="D742" s="31"/>
      <c r="E742" s="31"/>
      <c r="F742" s="31"/>
      <c r="G742" s="31"/>
    </row>
    <row r="743" ht="15.75" customHeight="1">
      <c r="A743" s="31"/>
      <c r="B743" s="31"/>
      <c r="C743" s="31"/>
      <c r="D743" s="31"/>
      <c r="E743" s="31"/>
      <c r="F743" s="31"/>
      <c r="G743" s="31"/>
    </row>
    <row r="744" ht="15.75" customHeight="1">
      <c r="A744" s="31"/>
      <c r="B744" s="31"/>
      <c r="C744" s="31"/>
      <c r="D744" s="31"/>
      <c r="E744" s="31"/>
      <c r="F744" s="31"/>
      <c r="G744" s="31"/>
    </row>
    <row r="745" ht="15.75" customHeight="1">
      <c r="A745" s="31"/>
      <c r="B745" s="31"/>
      <c r="C745" s="31"/>
      <c r="D745" s="31"/>
      <c r="E745" s="31"/>
      <c r="F745" s="31"/>
      <c r="G745" s="31"/>
    </row>
    <row r="746" ht="15.75" customHeight="1">
      <c r="A746" s="31"/>
      <c r="B746" s="31"/>
      <c r="C746" s="31"/>
      <c r="D746" s="31"/>
      <c r="E746" s="31"/>
      <c r="F746" s="31"/>
      <c r="G746" s="31"/>
    </row>
    <row r="747" ht="15.75" customHeight="1">
      <c r="A747" s="31"/>
      <c r="B747" s="31"/>
      <c r="C747" s="31"/>
      <c r="D747" s="31"/>
      <c r="E747" s="31"/>
      <c r="F747" s="31"/>
      <c r="G747" s="31"/>
    </row>
    <row r="748" ht="15.75" customHeight="1">
      <c r="A748" s="31"/>
      <c r="B748" s="31"/>
      <c r="C748" s="31"/>
      <c r="D748" s="31"/>
      <c r="E748" s="31"/>
      <c r="F748" s="31"/>
      <c r="G748" s="31"/>
    </row>
    <row r="749" ht="15.75" customHeight="1">
      <c r="A749" s="31"/>
      <c r="B749" s="31"/>
      <c r="C749" s="31"/>
      <c r="D749" s="31"/>
      <c r="E749" s="31"/>
      <c r="F749" s="31"/>
      <c r="G749" s="31"/>
    </row>
    <row r="750" ht="15.75" customHeight="1">
      <c r="A750" s="31"/>
      <c r="B750" s="31"/>
      <c r="C750" s="31"/>
      <c r="D750" s="31"/>
      <c r="E750" s="31"/>
      <c r="F750" s="31"/>
      <c r="G750" s="31"/>
    </row>
    <row r="751" ht="15.75" customHeight="1">
      <c r="A751" s="31"/>
      <c r="B751" s="31"/>
      <c r="C751" s="31"/>
      <c r="D751" s="31"/>
      <c r="E751" s="31"/>
      <c r="F751" s="31"/>
      <c r="G751" s="31"/>
    </row>
    <row r="752" ht="15.75" customHeight="1">
      <c r="A752" s="31"/>
      <c r="B752" s="31"/>
      <c r="C752" s="31"/>
      <c r="D752" s="31"/>
      <c r="E752" s="31"/>
      <c r="F752" s="31"/>
      <c r="G752" s="31"/>
    </row>
    <row r="753" ht="15.75" customHeight="1">
      <c r="A753" s="31"/>
      <c r="B753" s="31"/>
      <c r="C753" s="31"/>
      <c r="D753" s="31"/>
      <c r="E753" s="31"/>
      <c r="F753" s="31"/>
      <c r="G753" s="31"/>
    </row>
    <row r="754" ht="15.75" customHeight="1">
      <c r="A754" s="31"/>
      <c r="B754" s="31"/>
      <c r="C754" s="31"/>
      <c r="D754" s="31"/>
      <c r="E754" s="31"/>
      <c r="F754" s="31"/>
      <c r="G754" s="31"/>
    </row>
    <row r="755" ht="15.75" customHeight="1">
      <c r="A755" s="31"/>
      <c r="B755" s="31"/>
      <c r="C755" s="31"/>
      <c r="D755" s="31"/>
      <c r="E755" s="31"/>
      <c r="F755" s="31"/>
      <c r="G755" s="31"/>
    </row>
    <row r="756" ht="15.75" customHeight="1">
      <c r="A756" s="31"/>
      <c r="B756" s="31"/>
      <c r="C756" s="31"/>
      <c r="D756" s="31"/>
      <c r="E756" s="31"/>
      <c r="F756" s="31"/>
      <c r="G756" s="31"/>
    </row>
    <row r="757" ht="15.75" customHeight="1">
      <c r="A757" s="31"/>
      <c r="B757" s="31"/>
      <c r="C757" s="31"/>
      <c r="D757" s="31"/>
      <c r="E757" s="31"/>
      <c r="F757" s="31"/>
      <c r="G757" s="31"/>
    </row>
    <row r="758" ht="15.75" customHeight="1">
      <c r="A758" s="31"/>
      <c r="B758" s="31"/>
      <c r="C758" s="31"/>
      <c r="D758" s="31"/>
      <c r="E758" s="31"/>
      <c r="F758" s="31"/>
      <c r="G758" s="31"/>
    </row>
    <row r="759" ht="15.75" customHeight="1">
      <c r="A759" s="31"/>
      <c r="B759" s="31"/>
      <c r="C759" s="31"/>
      <c r="D759" s="31"/>
      <c r="E759" s="31"/>
      <c r="F759" s="31"/>
      <c r="G759" s="31"/>
    </row>
    <row r="760" ht="15.75" customHeight="1">
      <c r="A760" s="31"/>
      <c r="B760" s="31"/>
      <c r="C760" s="31"/>
      <c r="D760" s="31"/>
      <c r="E760" s="31"/>
      <c r="F760" s="31"/>
      <c r="G760" s="31"/>
    </row>
    <row r="761" ht="15.75" customHeight="1">
      <c r="A761" s="31"/>
      <c r="B761" s="31"/>
      <c r="C761" s="31"/>
      <c r="D761" s="31"/>
      <c r="E761" s="31"/>
      <c r="F761" s="31"/>
      <c r="G761" s="31"/>
    </row>
    <row r="762" ht="15.75" customHeight="1">
      <c r="A762" s="31"/>
      <c r="B762" s="31"/>
      <c r="C762" s="31"/>
      <c r="D762" s="31"/>
      <c r="E762" s="31"/>
      <c r="F762" s="31"/>
      <c r="G762" s="31"/>
    </row>
    <row r="763" ht="15.75" customHeight="1">
      <c r="A763" s="31"/>
      <c r="B763" s="31"/>
      <c r="C763" s="31"/>
      <c r="D763" s="31"/>
      <c r="E763" s="31"/>
      <c r="F763" s="31"/>
      <c r="G763" s="31"/>
    </row>
    <row r="764" ht="15.75" customHeight="1">
      <c r="A764" s="31"/>
      <c r="B764" s="31"/>
      <c r="C764" s="31"/>
      <c r="D764" s="31"/>
      <c r="E764" s="31"/>
      <c r="F764" s="31"/>
      <c r="G764" s="31"/>
    </row>
    <row r="765" ht="15.75" customHeight="1">
      <c r="A765" s="31"/>
      <c r="B765" s="31"/>
      <c r="C765" s="31"/>
      <c r="D765" s="31"/>
      <c r="E765" s="31"/>
      <c r="F765" s="31"/>
      <c r="G765" s="31"/>
    </row>
    <row r="766" ht="15.75" customHeight="1">
      <c r="A766" s="31"/>
      <c r="B766" s="31"/>
      <c r="C766" s="31"/>
      <c r="D766" s="31"/>
      <c r="E766" s="31"/>
      <c r="F766" s="31"/>
      <c r="G766" s="31"/>
    </row>
    <row r="767" ht="15.75" customHeight="1">
      <c r="A767" s="31"/>
      <c r="B767" s="31"/>
      <c r="C767" s="31"/>
      <c r="D767" s="31"/>
      <c r="E767" s="31"/>
      <c r="F767" s="31"/>
      <c r="G767" s="31"/>
    </row>
    <row r="768" ht="15.75" customHeight="1">
      <c r="A768" s="31"/>
      <c r="B768" s="31"/>
      <c r="C768" s="31"/>
      <c r="D768" s="31"/>
      <c r="E768" s="31"/>
      <c r="F768" s="31"/>
      <c r="G768" s="31"/>
    </row>
    <row r="769" ht="15.75" customHeight="1">
      <c r="A769" s="31"/>
      <c r="B769" s="31"/>
      <c r="C769" s="31"/>
      <c r="D769" s="31"/>
      <c r="E769" s="31"/>
      <c r="F769" s="31"/>
      <c r="G769" s="31"/>
    </row>
    <row r="770" ht="15.75" customHeight="1">
      <c r="A770" s="31"/>
      <c r="B770" s="31"/>
      <c r="C770" s="31"/>
      <c r="D770" s="31"/>
      <c r="E770" s="31"/>
      <c r="F770" s="31"/>
      <c r="G770" s="31"/>
    </row>
    <row r="771" ht="15.75" customHeight="1">
      <c r="A771" s="31"/>
      <c r="B771" s="31"/>
      <c r="C771" s="31"/>
      <c r="D771" s="31"/>
      <c r="E771" s="31"/>
      <c r="F771" s="31"/>
      <c r="G771" s="31"/>
    </row>
    <row r="772" ht="15.75" customHeight="1">
      <c r="A772" s="31"/>
      <c r="B772" s="31"/>
      <c r="C772" s="31"/>
      <c r="D772" s="31"/>
      <c r="E772" s="31"/>
      <c r="F772" s="31"/>
      <c r="G772" s="31"/>
    </row>
    <row r="773" ht="15.75" customHeight="1">
      <c r="A773" s="31"/>
      <c r="B773" s="31"/>
      <c r="C773" s="31"/>
      <c r="D773" s="31"/>
      <c r="E773" s="31"/>
      <c r="F773" s="31"/>
      <c r="G773" s="31"/>
    </row>
    <row r="774" ht="15.75" customHeight="1">
      <c r="A774" s="31"/>
      <c r="B774" s="31"/>
      <c r="C774" s="31"/>
      <c r="D774" s="31"/>
      <c r="E774" s="31"/>
      <c r="F774" s="31"/>
      <c r="G774" s="31"/>
    </row>
    <row r="775" ht="15.75" customHeight="1">
      <c r="A775" s="31"/>
      <c r="B775" s="31"/>
      <c r="C775" s="31"/>
      <c r="D775" s="31"/>
      <c r="E775" s="31"/>
      <c r="F775" s="31"/>
      <c r="G775" s="31"/>
    </row>
    <row r="776" ht="15.75" customHeight="1">
      <c r="A776" s="31"/>
      <c r="B776" s="31"/>
      <c r="C776" s="31"/>
      <c r="D776" s="31"/>
      <c r="E776" s="31"/>
      <c r="F776" s="31"/>
      <c r="G776" s="31"/>
    </row>
    <row r="777" ht="15.75" customHeight="1">
      <c r="A777" s="31"/>
      <c r="B777" s="31"/>
      <c r="C777" s="31"/>
      <c r="D777" s="31"/>
      <c r="E777" s="31"/>
      <c r="F777" s="31"/>
      <c r="G777" s="31"/>
    </row>
    <row r="778" ht="15.75" customHeight="1">
      <c r="A778" s="31"/>
      <c r="B778" s="31"/>
      <c r="C778" s="31"/>
      <c r="D778" s="31"/>
      <c r="E778" s="31"/>
      <c r="F778" s="31"/>
      <c r="G778" s="31"/>
    </row>
    <row r="779" ht="15.75" customHeight="1">
      <c r="A779" s="31"/>
      <c r="B779" s="31"/>
      <c r="C779" s="31"/>
      <c r="D779" s="31"/>
      <c r="E779" s="31"/>
      <c r="F779" s="31"/>
      <c r="G779" s="31"/>
    </row>
    <row r="780" ht="15.75" customHeight="1">
      <c r="A780" s="31"/>
      <c r="B780" s="31"/>
      <c r="C780" s="31"/>
      <c r="D780" s="31"/>
      <c r="E780" s="31"/>
      <c r="F780" s="31"/>
      <c r="G780" s="31"/>
    </row>
    <row r="781" ht="15.75" customHeight="1">
      <c r="A781" s="31"/>
      <c r="B781" s="31"/>
      <c r="C781" s="31"/>
      <c r="D781" s="31"/>
      <c r="E781" s="31"/>
      <c r="F781" s="31"/>
      <c r="G781" s="31"/>
    </row>
    <row r="782" ht="15.75" customHeight="1">
      <c r="A782" s="31"/>
      <c r="B782" s="31"/>
      <c r="C782" s="31"/>
      <c r="D782" s="31"/>
      <c r="E782" s="31"/>
      <c r="F782" s="31"/>
      <c r="G782" s="31"/>
    </row>
    <row r="783" ht="15.75" customHeight="1">
      <c r="A783" s="31"/>
      <c r="B783" s="31"/>
      <c r="C783" s="31"/>
      <c r="D783" s="31"/>
      <c r="E783" s="31"/>
      <c r="F783" s="31"/>
      <c r="G783" s="31"/>
    </row>
    <row r="784" ht="15.75" customHeight="1">
      <c r="A784" s="31"/>
      <c r="B784" s="31"/>
      <c r="C784" s="31"/>
      <c r="D784" s="31"/>
      <c r="E784" s="31"/>
      <c r="F784" s="31"/>
      <c r="G784" s="31"/>
    </row>
    <row r="785" ht="15.75" customHeight="1">
      <c r="A785" s="31"/>
      <c r="B785" s="31"/>
      <c r="C785" s="31"/>
      <c r="D785" s="31"/>
      <c r="E785" s="31"/>
      <c r="F785" s="31"/>
      <c r="G785" s="31"/>
    </row>
    <row r="786" ht="15.75" customHeight="1">
      <c r="A786" s="31"/>
      <c r="B786" s="31"/>
      <c r="C786" s="31"/>
      <c r="D786" s="31"/>
      <c r="E786" s="31"/>
      <c r="F786" s="31"/>
      <c r="G786" s="31"/>
    </row>
    <row r="787" ht="15.75" customHeight="1">
      <c r="A787" s="31"/>
      <c r="B787" s="31"/>
      <c r="C787" s="31"/>
      <c r="D787" s="31"/>
      <c r="E787" s="31"/>
      <c r="F787" s="31"/>
      <c r="G787" s="31"/>
    </row>
    <row r="788" ht="15.75" customHeight="1">
      <c r="A788" s="31"/>
      <c r="B788" s="31"/>
      <c r="C788" s="31"/>
      <c r="D788" s="31"/>
      <c r="E788" s="31"/>
      <c r="F788" s="31"/>
      <c r="G788" s="31"/>
    </row>
    <row r="789" ht="15.75" customHeight="1">
      <c r="A789" s="31"/>
      <c r="B789" s="31"/>
      <c r="C789" s="31"/>
      <c r="D789" s="31"/>
      <c r="E789" s="31"/>
      <c r="F789" s="31"/>
      <c r="G789" s="31"/>
    </row>
    <row r="790" ht="15.75" customHeight="1">
      <c r="A790" s="31"/>
      <c r="B790" s="31"/>
      <c r="C790" s="31"/>
      <c r="D790" s="31"/>
      <c r="E790" s="31"/>
      <c r="F790" s="31"/>
      <c r="G790" s="31"/>
    </row>
    <row r="791" ht="15.75" customHeight="1">
      <c r="A791" s="31"/>
      <c r="B791" s="31"/>
      <c r="C791" s="31"/>
      <c r="D791" s="31"/>
      <c r="E791" s="31"/>
      <c r="F791" s="31"/>
      <c r="G791" s="31"/>
    </row>
    <row r="792" ht="15.75" customHeight="1">
      <c r="A792" s="31"/>
      <c r="B792" s="31"/>
      <c r="C792" s="31"/>
      <c r="D792" s="31"/>
      <c r="E792" s="31"/>
      <c r="F792" s="31"/>
      <c r="G792" s="31"/>
    </row>
    <row r="793" ht="15.75" customHeight="1">
      <c r="A793" s="31"/>
      <c r="B793" s="31"/>
      <c r="C793" s="31"/>
      <c r="D793" s="31"/>
      <c r="E793" s="31"/>
      <c r="F793" s="31"/>
      <c r="G793" s="31"/>
    </row>
    <row r="794" ht="15.75" customHeight="1">
      <c r="A794" s="31"/>
      <c r="B794" s="31"/>
      <c r="C794" s="31"/>
      <c r="D794" s="31"/>
      <c r="E794" s="31"/>
      <c r="F794" s="31"/>
      <c r="G794" s="31"/>
    </row>
    <row r="795" ht="15.75" customHeight="1">
      <c r="A795" s="31"/>
      <c r="B795" s="31"/>
      <c r="C795" s="31"/>
      <c r="D795" s="31"/>
      <c r="E795" s="31"/>
      <c r="F795" s="31"/>
      <c r="G795" s="31"/>
    </row>
    <row r="796" ht="15.75" customHeight="1">
      <c r="A796" s="31"/>
      <c r="B796" s="31"/>
      <c r="C796" s="31"/>
      <c r="D796" s="31"/>
      <c r="E796" s="31"/>
      <c r="F796" s="31"/>
      <c r="G796" s="31"/>
    </row>
    <row r="797" ht="15.75" customHeight="1">
      <c r="A797" s="31"/>
      <c r="B797" s="31"/>
      <c r="C797" s="31"/>
      <c r="D797" s="31"/>
      <c r="E797" s="31"/>
      <c r="F797" s="31"/>
      <c r="G797" s="31"/>
    </row>
    <row r="798" ht="15.75" customHeight="1">
      <c r="A798" s="31"/>
      <c r="B798" s="31"/>
      <c r="C798" s="31"/>
      <c r="D798" s="31"/>
      <c r="E798" s="31"/>
      <c r="F798" s="31"/>
      <c r="G798" s="31"/>
    </row>
    <row r="799" ht="15.75" customHeight="1">
      <c r="A799" s="31"/>
      <c r="B799" s="31"/>
      <c r="C799" s="31"/>
      <c r="D799" s="31"/>
      <c r="E799" s="31"/>
      <c r="F799" s="31"/>
      <c r="G799" s="31"/>
    </row>
    <row r="800" ht="15.75" customHeight="1">
      <c r="A800" s="31"/>
      <c r="B800" s="31"/>
      <c r="C800" s="31"/>
      <c r="D800" s="31"/>
      <c r="E800" s="31"/>
      <c r="F800" s="31"/>
      <c r="G800" s="31"/>
    </row>
    <row r="801" ht="15.75" customHeight="1">
      <c r="A801" s="31"/>
      <c r="B801" s="31"/>
      <c r="C801" s="31"/>
      <c r="D801" s="31"/>
      <c r="E801" s="31"/>
      <c r="F801" s="31"/>
      <c r="G801" s="31"/>
    </row>
    <row r="802" ht="15.75" customHeight="1">
      <c r="A802" s="31"/>
      <c r="B802" s="31"/>
      <c r="C802" s="31"/>
      <c r="D802" s="31"/>
      <c r="E802" s="31"/>
      <c r="F802" s="31"/>
      <c r="G802" s="31"/>
    </row>
    <row r="803" ht="15.75" customHeight="1">
      <c r="A803" s="31"/>
      <c r="B803" s="31"/>
      <c r="C803" s="31"/>
      <c r="D803" s="31"/>
      <c r="E803" s="31"/>
      <c r="F803" s="31"/>
      <c r="G803" s="31"/>
    </row>
    <row r="804" ht="15.75" customHeight="1">
      <c r="A804" s="31"/>
      <c r="B804" s="31"/>
      <c r="C804" s="31"/>
      <c r="D804" s="31"/>
      <c r="E804" s="31"/>
      <c r="F804" s="31"/>
      <c r="G804" s="31"/>
    </row>
    <row r="805" ht="15.75" customHeight="1">
      <c r="A805" s="31"/>
      <c r="B805" s="31"/>
      <c r="C805" s="31"/>
      <c r="D805" s="31"/>
      <c r="E805" s="31"/>
      <c r="F805" s="31"/>
      <c r="G805" s="31"/>
    </row>
    <row r="806" ht="15.75" customHeight="1">
      <c r="A806" s="31"/>
      <c r="B806" s="31"/>
      <c r="C806" s="31"/>
      <c r="D806" s="31"/>
      <c r="E806" s="31"/>
      <c r="F806" s="31"/>
      <c r="G806" s="31"/>
    </row>
    <row r="807" ht="15.75" customHeight="1">
      <c r="A807" s="31"/>
      <c r="B807" s="31"/>
      <c r="C807" s="31"/>
      <c r="D807" s="31"/>
      <c r="E807" s="31"/>
      <c r="F807" s="31"/>
      <c r="G807" s="31"/>
    </row>
    <row r="808" ht="15.75" customHeight="1">
      <c r="A808" s="31"/>
      <c r="B808" s="31"/>
      <c r="C808" s="31"/>
      <c r="D808" s="31"/>
      <c r="E808" s="31"/>
      <c r="F808" s="31"/>
      <c r="G808" s="31"/>
    </row>
    <row r="809" ht="15.75" customHeight="1">
      <c r="A809" s="31"/>
      <c r="B809" s="31"/>
      <c r="C809" s="31"/>
      <c r="D809" s="31"/>
      <c r="E809" s="31"/>
      <c r="F809" s="31"/>
      <c r="G809" s="31"/>
    </row>
    <row r="810" ht="15.75" customHeight="1">
      <c r="A810" s="31"/>
      <c r="B810" s="31"/>
      <c r="C810" s="31"/>
      <c r="D810" s="31"/>
      <c r="E810" s="31"/>
      <c r="F810" s="31"/>
      <c r="G810" s="31"/>
    </row>
    <row r="811" ht="15.75" customHeight="1">
      <c r="A811" s="31"/>
      <c r="B811" s="31"/>
      <c r="C811" s="31"/>
      <c r="D811" s="31"/>
      <c r="E811" s="31"/>
      <c r="F811" s="31"/>
      <c r="G811" s="31"/>
    </row>
    <row r="812" ht="15.75" customHeight="1">
      <c r="A812" s="31"/>
      <c r="B812" s="31"/>
      <c r="C812" s="31"/>
      <c r="D812" s="31"/>
      <c r="E812" s="31"/>
      <c r="F812" s="31"/>
      <c r="G812" s="31"/>
    </row>
    <row r="813" ht="15.75" customHeight="1">
      <c r="A813" s="31"/>
      <c r="B813" s="31"/>
      <c r="C813" s="31"/>
      <c r="D813" s="31"/>
      <c r="E813" s="31"/>
      <c r="F813" s="31"/>
      <c r="G813" s="31"/>
    </row>
    <row r="814" ht="15.75" customHeight="1">
      <c r="A814" s="31"/>
      <c r="B814" s="31"/>
      <c r="C814" s="31"/>
      <c r="D814" s="31"/>
      <c r="E814" s="31"/>
      <c r="F814" s="31"/>
      <c r="G814" s="31"/>
    </row>
    <row r="815" ht="15.75" customHeight="1">
      <c r="A815" s="31"/>
      <c r="B815" s="31"/>
      <c r="C815" s="31"/>
      <c r="D815" s="31"/>
      <c r="E815" s="31"/>
      <c r="F815" s="31"/>
      <c r="G815" s="31"/>
    </row>
    <row r="816" ht="15.75" customHeight="1">
      <c r="A816" s="31"/>
      <c r="B816" s="31"/>
      <c r="C816" s="31"/>
      <c r="D816" s="31"/>
      <c r="E816" s="31"/>
      <c r="F816" s="31"/>
      <c r="G816" s="31"/>
    </row>
    <row r="817" ht="15.75" customHeight="1">
      <c r="A817" s="31"/>
      <c r="B817" s="31"/>
      <c r="C817" s="31"/>
      <c r="D817" s="31"/>
      <c r="E817" s="31"/>
      <c r="F817" s="31"/>
      <c r="G817" s="31"/>
    </row>
    <row r="818" ht="15.75" customHeight="1">
      <c r="A818" s="31"/>
      <c r="B818" s="31"/>
      <c r="C818" s="31"/>
      <c r="D818" s="31"/>
      <c r="E818" s="31"/>
      <c r="F818" s="31"/>
      <c r="G818" s="31"/>
    </row>
    <row r="819" ht="15.75" customHeight="1">
      <c r="A819" s="31"/>
      <c r="B819" s="31"/>
      <c r="C819" s="31"/>
      <c r="D819" s="31"/>
      <c r="E819" s="31"/>
      <c r="F819" s="31"/>
      <c r="G819" s="31"/>
    </row>
    <row r="820" ht="15.75" customHeight="1">
      <c r="A820" s="31"/>
      <c r="B820" s="31"/>
      <c r="C820" s="31"/>
      <c r="D820" s="31"/>
      <c r="E820" s="31"/>
      <c r="F820" s="31"/>
      <c r="G820" s="31"/>
    </row>
    <row r="821" ht="15.75" customHeight="1">
      <c r="A821" s="31"/>
      <c r="B821" s="31"/>
      <c r="C821" s="31"/>
      <c r="D821" s="31"/>
      <c r="E821" s="31"/>
      <c r="F821" s="31"/>
      <c r="G821" s="31"/>
    </row>
    <row r="822" ht="15.75" customHeight="1">
      <c r="A822" s="31"/>
      <c r="B822" s="31"/>
      <c r="C822" s="31"/>
      <c r="D822" s="31"/>
      <c r="E822" s="31"/>
      <c r="F822" s="31"/>
      <c r="G822" s="31"/>
    </row>
    <row r="823" ht="15.75" customHeight="1">
      <c r="A823" s="31"/>
      <c r="B823" s="31"/>
      <c r="C823" s="31"/>
      <c r="D823" s="31"/>
      <c r="E823" s="31"/>
      <c r="F823" s="31"/>
      <c r="G823" s="31"/>
    </row>
    <row r="824" ht="15.75" customHeight="1">
      <c r="A824" s="31"/>
      <c r="B824" s="31"/>
      <c r="C824" s="31"/>
      <c r="D824" s="31"/>
      <c r="E824" s="31"/>
      <c r="F824" s="31"/>
      <c r="G824" s="31"/>
    </row>
    <row r="825" ht="15.75" customHeight="1">
      <c r="A825" s="31"/>
      <c r="B825" s="31"/>
      <c r="C825" s="31"/>
      <c r="D825" s="31"/>
      <c r="E825" s="31"/>
      <c r="F825" s="31"/>
      <c r="G825" s="31"/>
    </row>
    <row r="826" ht="15.75" customHeight="1">
      <c r="A826" s="31"/>
      <c r="B826" s="31"/>
      <c r="C826" s="31"/>
      <c r="D826" s="31"/>
      <c r="E826" s="31"/>
      <c r="F826" s="31"/>
      <c r="G826" s="31"/>
    </row>
    <row r="827" ht="15.75" customHeight="1">
      <c r="A827" s="31"/>
      <c r="B827" s="31"/>
      <c r="C827" s="31"/>
      <c r="D827" s="31"/>
      <c r="E827" s="31"/>
      <c r="F827" s="31"/>
      <c r="G827" s="31"/>
    </row>
    <row r="828" ht="15.75" customHeight="1">
      <c r="A828" s="31"/>
      <c r="B828" s="31"/>
      <c r="C828" s="31"/>
      <c r="D828" s="31"/>
      <c r="E828" s="31"/>
      <c r="F828" s="31"/>
      <c r="G828" s="31"/>
    </row>
    <row r="829" ht="15.75" customHeight="1">
      <c r="A829" s="31"/>
      <c r="B829" s="31"/>
      <c r="C829" s="31"/>
      <c r="D829" s="31"/>
      <c r="E829" s="31"/>
      <c r="F829" s="31"/>
      <c r="G829" s="31"/>
    </row>
    <row r="830" ht="15.75" customHeight="1">
      <c r="A830" s="31"/>
      <c r="B830" s="31"/>
      <c r="C830" s="31"/>
      <c r="D830" s="31"/>
      <c r="E830" s="31"/>
      <c r="F830" s="31"/>
      <c r="G830" s="31"/>
    </row>
    <row r="831" ht="15.75" customHeight="1">
      <c r="A831" s="31"/>
      <c r="B831" s="31"/>
      <c r="C831" s="31"/>
      <c r="D831" s="31"/>
      <c r="E831" s="31"/>
      <c r="F831" s="31"/>
      <c r="G831" s="31"/>
    </row>
    <row r="832" ht="15.75" customHeight="1">
      <c r="A832" s="31"/>
      <c r="B832" s="31"/>
      <c r="C832" s="31"/>
      <c r="D832" s="31"/>
      <c r="E832" s="31"/>
      <c r="F832" s="31"/>
      <c r="G832" s="31"/>
    </row>
    <row r="833" ht="15.75" customHeight="1">
      <c r="A833" s="31"/>
      <c r="B833" s="31"/>
      <c r="C833" s="31"/>
      <c r="D833" s="31"/>
      <c r="E833" s="31"/>
      <c r="F833" s="31"/>
      <c r="G833" s="31"/>
    </row>
    <row r="834" ht="15.75" customHeight="1">
      <c r="A834" s="31"/>
      <c r="B834" s="31"/>
      <c r="C834" s="31"/>
      <c r="D834" s="31"/>
      <c r="E834" s="31"/>
      <c r="F834" s="31"/>
      <c r="G834" s="31"/>
    </row>
    <row r="835" ht="15.75" customHeight="1">
      <c r="A835" s="31"/>
      <c r="B835" s="31"/>
      <c r="C835" s="31"/>
      <c r="D835" s="31"/>
      <c r="E835" s="31"/>
      <c r="F835" s="31"/>
      <c r="G835" s="31"/>
    </row>
    <row r="836" ht="15.75" customHeight="1">
      <c r="A836" s="31"/>
      <c r="B836" s="31"/>
      <c r="C836" s="31"/>
      <c r="D836" s="31"/>
      <c r="E836" s="31"/>
      <c r="F836" s="31"/>
      <c r="G836" s="31"/>
    </row>
    <row r="837" ht="15.75" customHeight="1">
      <c r="A837" s="31"/>
      <c r="B837" s="31"/>
      <c r="C837" s="31"/>
      <c r="D837" s="31"/>
      <c r="E837" s="31"/>
      <c r="F837" s="31"/>
      <c r="G837" s="31"/>
    </row>
    <row r="838" ht="15.75" customHeight="1">
      <c r="A838" s="31"/>
      <c r="B838" s="31"/>
      <c r="C838" s="31"/>
      <c r="D838" s="31"/>
      <c r="E838" s="31"/>
      <c r="F838" s="31"/>
      <c r="G838" s="31"/>
    </row>
    <row r="839" ht="15.75" customHeight="1">
      <c r="A839" s="31"/>
      <c r="B839" s="31"/>
      <c r="C839" s="31"/>
      <c r="D839" s="31"/>
      <c r="E839" s="31"/>
      <c r="F839" s="31"/>
      <c r="G839" s="31"/>
    </row>
    <row r="840" ht="15.75" customHeight="1">
      <c r="A840" s="31"/>
      <c r="B840" s="31"/>
      <c r="C840" s="31"/>
      <c r="D840" s="31"/>
      <c r="E840" s="31"/>
      <c r="F840" s="31"/>
      <c r="G840" s="31"/>
    </row>
    <row r="841" ht="15.75" customHeight="1">
      <c r="A841" s="31"/>
      <c r="B841" s="31"/>
      <c r="C841" s="31"/>
      <c r="D841" s="31"/>
      <c r="E841" s="31"/>
      <c r="F841" s="31"/>
      <c r="G841" s="31"/>
    </row>
    <row r="842" ht="15.75" customHeight="1">
      <c r="A842" s="31"/>
      <c r="B842" s="31"/>
      <c r="C842" s="31"/>
      <c r="D842" s="31"/>
      <c r="E842" s="31"/>
      <c r="F842" s="31"/>
      <c r="G842" s="31"/>
    </row>
    <row r="843" ht="15.75" customHeight="1">
      <c r="A843" s="31"/>
      <c r="B843" s="31"/>
      <c r="C843" s="31"/>
      <c r="D843" s="31"/>
      <c r="E843" s="31"/>
      <c r="F843" s="31"/>
      <c r="G843" s="31"/>
    </row>
    <row r="844" ht="15.75" customHeight="1">
      <c r="A844" s="31"/>
      <c r="B844" s="31"/>
      <c r="C844" s="31"/>
      <c r="D844" s="31"/>
      <c r="E844" s="31"/>
      <c r="F844" s="31"/>
      <c r="G844" s="31"/>
    </row>
    <row r="845" ht="15.75" customHeight="1">
      <c r="A845" s="31"/>
      <c r="B845" s="31"/>
      <c r="C845" s="31"/>
      <c r="D845" s="31"/>
      <c r="E845" s="31"/>
      <c r="F845" s="31"/>
      <c r="G845" s="31"/>
    </row>
    <row r="846" ht="15.75" customHeight="1">
      <c r="A846" s="31"/>
      <c r="B846" s="31"/>
      <c r="C846" s="31"/>
      <c r="D846" s="31"/>
      <c r="E846" s="31"/>
      <c r="F846" s="31"/>
      <c r="G846" s="31"/>
    </row>
    <row r="847" ht="15.75" customHeight="1">
      <c r="A847" s="31"/>
      <c r="B847" s="31"/>
      <c r="C847" s="31"/>
      <c r="D847" s="31"/>
      <c r="E847" s="31"/>
      <c r="F847" s="31"/>
      <c r="G847" s="31"/>
    </row>
    <row r="848" ht="15.75" customHeight="1">
      <c r="A848" s="31"/>
      <c r="B848" s="31"/>
      <c r="C848" s="31"/>
      <c r="D848" s="31"/>
      <c r="E848" s="31"/>
      <c r="F848" s="31"/>
      <c r="G848" s="31"/>
    </row>
    <row r="849" ht="15.75" customHeight="1">
      <c r="A849" s="31"/>
      <c r="B849" s="31"/>
      <c r="C849" s="31"/>
      <c r="D849" s="31"/>
      <c r="E849" s="31"/>
      <c r="F849" s="31"/>
      <c r="G849" s="31"/>
    </row>
    <row r="850" ht="15.75" customHeight="1">
      <c r="A850" s="31"/>
      <c r="B850" s="31"/>
      <c r="C850" s="31"/>
      <c r="D850" s="31"/>
      <c r="E850" s="31"/>
      <c r="F850" s="31"/>
      <c r="G850" s="31"/>
    </row>
    <row r="851" ht="15.75" customHeight="1">
      <c r="A851" s="31"/>
      <c r="B851" s="31"/>
      <c r="C851" s="31"/>
      <c r="D851" s="31"/>
      <c r="E851" s="31"/>
      <c r="F851" s="31"/>
      <c r="G851" s="31"/>
    </row>
    <row r="852" ht="15.75" customHeight="1">
      <c r="A852" s="31"/>
      <c r="B852" s="31"/>
      <c r="C852" s="31"/>
      <c r="D852" s="31"/>
      <c r="E852" s="31"/>
      <c r="F852" s="31"/>
      <c r="G852" s="31"/>
    </row>
    <row r="853" ht="15.75" customHeight="1">
      <c r="A853" s="31"/>
      <c r="B853" s="31"/>
      <c r="C853" s="31"/>
      <c r="D853" s="31"/>
      <c r="E853" s="31"/>
      <c r="F853" s="31"/>
      <c r="G853" s="31"/>
    </row>
    <row r="854" ht="15.75" customHeight="1">
      <c r="A854" s="31"/>
      <c r="B854" s="31"/>
      <c r="C854" s="31"/>
      <c r="D854" s="31"/>
      <c r="E854" s="31"/>
      <c r="F854" s="31"/>
      <c r="G854" s="31"/>
    </row>
    <row r="855" ht="15.75" customHeight="1">
      <c r="A855" s="31"/>
      <c r="B855" s="31"/>
      <c r="C855" s="31"/>
      <c r="D855" s="31"/>
      <c r="E855" s="31"/>
      <c r="F855" s="31"/>
      <c r="G855" s="31"/>
    </row>
    <row r="856" ht="15.75" customHeight="1">
      <c r="A856" s="31"/>
      <c r="B856" s="31"/>
      <c r="C856" s="31"/>
      <c r="D856" s="31"/>
      <c r="E856" s="31"/>
      <c r="F856" s="31"/>
      <c r="G856" s="31"/>
    </row>
    <row r="857" ht="15.75" customHeight="1">
      <c r="A857" s="31"/>
      <c r="B857" s="31"/>
      <c r="C857" s="31"/>
      <c r="D857" s="31"/>
      <c r="E857" s="31"/>
      <c r="F857" s="31"/>
      <c r="G857" s="31"/>
    </row>
    <row r="858" ht="15.75" customHeight="1">
      <c r="A858" s="31"/>
      <c r="B858" s="31"/>
      <c r="C858" s="31"/>
      <c r="D858" s="31"/>
      <c r="E858" s="31"/>
      <c r="F858" s="31"/>
      <c r="G858" s="31"/>
    </row>
    <row r="859" ht="15.75" customHeight="1">
      <c r="A859" s="31"/>
      <c r="B859" s="31"/>
      <c r="C859" s="31"/>
      <c r="D859" s="31"/>
      <c r="E859" s="31"/>
      <c r="F859" s="31"/>
      <c r="G859" s="31"/>
    </row>
    <row r="860" ht="15.75" customHeight="1">
      <c r="A860" s="31"/>
      <c r="B860" s="31"/>
      <c r="C860" s="31"/>
      <c r="D860" s="31"/>
      <c r="E860" s="31"/>
      <c r="F860" s="31"/>
      <c r="G860" s="31"/>
    </row>
    <row r="861" ht="15.75" customHeight="1">
      <c r="A861" s="31"/>
      <c r="B861" s="31"/>
      <c r="C861" s="31"/>
      <c r="D861" s="31"/>
      <c r="E861" s="31"/>
      <c r="F861" s="31"/>
      <c r="G861" s="31"/>
    </row>
    <row r="862" ht="15.75" customHeight="1">
      <c r="A862" s="31"/>
      <c r="B862" s="31"/>
      <c r="C862" s="31"/>
      <c r="D862" s="31"/>
      <c r="E862" s="31"/>
      <c r="F862" s="31"/>
      <c r="G862" s="31"/>
    </row>
    <row r="863" ht="15.75" customHeight="1">
      <c r="A863" s="31"/>
      <c r="B863" s="31"/>
      <c r="C863" s="31"/>
      <c r="D863" s="31"/>
      <c r="E863" s="31"/>
      <c r="F863" s="31"/>
      <c r="G863" s="31"/>
    </row>
    <row r="864" ht="15.75" customHeight="1">
      <c r="A864" s="31"/>
      <c r="B864" s="31"/>
      <c r="C864" s="31"/>
      <c r="D864" s="31"/>
      <c r="E864" s="31"/>
      <c r="F864" s="31"/>
      <c r="G864" s="31"/>
    </row>
    <row r="865" ht="15.75" customHeight="1">
      <c r="A865" s="31"/>
      <c r="B865" s="31"/>
      <c r="C865" s="31"/>
      <c r="D865" s="31"/>
      <c r="E865" s="31"/>
      <c r="F865" s="31"/>
      <c r="G865" s="31"/>
    </row>
    <row r="866" ht="15.75" customHeight="1">
      <c r="A866" s="31"/>
      <c r="B866" s="31"/>
      <c r="C866" s="31"/>
      <c r="D866" s="31"/>
      <c r="E866" s="31"/>
      <c r="F866" s="31"/>
      <c r="G866" s="31"/>
    </row>
    <row r="867" ht="15.75" customHeight="1">
      <c r="A867" s="31"/>
      <c r="B867" s="31"/>
      <c r="C867" s="31"/>
      <c r="D867" s="31"/>
      <c r="E867" s="31"/>
      <c r="F867" s="31"/>
      <c r="G867" s="31"/>
    </row>
    <row r="868" ht="15.75" customHeight="1">
      <c r="A868" s="31"/>
      <c r="B868" s="31"/>
      <c r="C868" s="31"/>
      <c r="D868" s="31"/>
      <c r="E868" s="31"/>
      <c r="F868" s="31"/>
      <c r="G868" s="31"/>
    </row>
    <row r="869" ht="15.75" customHeight="1">
      <c r="A869" s="31"/>
      <c r="B869" s="31"/>
      <c r="C869" s="31"/>
      <c r="D869" s="31"/>
      <c r="E869" s="31"/>
      <c r="F869" s="31"/>
      <c r="G869" s="31"/>
    </row>
    <row r="870" ht="15.75" customHeight="1">
      <c r="A870" s="31"/>
      <c r="B870" s="31"/>
      <c r="C870" s="31"/>
      <c r="D870" s="31"/>
      <c r="E870" s="31"/>
      <c r="F870" s="31"/>
      <c r="G870" s="31"/>
    </row>
    <row r="871" ht="15.75" customHeight="1">
      <c r="A871" s="31"/>
      <c r="B871" s="31"/>
      <c r="C871" s="31"/>
      <c r="D871" s="31"/>
      <c r="E871" s="31"/>
      <c r="F871" s="31"/>
      <c r="G871" s="31"/>
    </row>
    <row r="872" ht="15.75" customHeight="1">
      <c r="A872" s="31"/>
      <c r="B872" s="31"/>
      <c r="C872" s="31"/>
      <c r="D872" s="31"/>
      <c r="E872" s="31"/>
      <c r="F872" s="31"/>
      <c r="G872" s="31"/>
    </row>
    <row r="873" ht="15.75" customHeight="1">
      <c r="A873" s="31"/>
      <c r="B873" s="31"/>
      <c r="C873" s="31"/>
      <c r="D873" s="31"/>
      <c r="E873" s="31"/>
      <c r="F873" s="31"/>
      <c r="G873" s="31"/>
    </row>
    <row r="874" ht="15.75" customHeight="1">
      <c r="A874" s="31"/>
      <c r="B874" s="31"/>
      <c r="C874" s="31"/>
      <c r="D874" s="31"/>
      <c r="E874" s="31"/>
      <c r="F874" s="31"/>
      <c r="G874" s="31"/>
    </row>
    <row r="875" ht="15.75" customHeight="1">
      <c r="A875" s="31"/>
      <c r="B875" s="31"/>
      <c r="C875" s="31"/>
      <c r="D875" s="31"/>
      <c r="E875" s="31"/>
      <c r="F875" s="31"/>
      <c r="G875" s="31"/>
    </row>
    <row r="876" ht="15.75" customHeight="1">
      <c r="A876" s="31"/>
      <c r="B876" s="31"/>
      <c r="C876" s="31"/>
      <c r="D876" s="31"/>
      <c r="E876" s="31"/>
      <c r="F876" s="31"/>
      <c r="G876" s="31"/>
    </row>
    <row r="877" ht="15.75" customHeight="1">
      <c r="A877" s="31"/>
      <c r="B877" s="31"/>
      <c r="C877" s="31"/>
      <c r="D877" s="31"/>
      <c r="E877" s="31"/>
      <c r="F877" s="31"/>
      <c r="G877" s="31"/>
    </row>
    <row r="878" ht="15.75" customHeight="1">
      <c r="A878" s="31"/>
      <c r="B878" s="31"/>
      <c r="C878" s="31"/>
      <c r="D878" s="31"/>
      <c r="E878" s="31"/>
      <c r="F878" s="31"/>
      <c r="G878" s="31"/>
    </row>
    <row r="879" ht="15.75" customHeight="1">
      <c r="A879" s="31"/>
      <c r="B879" s="31"/>
      <c r="C879" s="31"/>
      <c r="D879" s="31"/>
      <c r="E879" s="31"/>
      <c r="F879" s="31"/>
      <c r="G879" s="31"/>
    </row>
    <row r="880" ht="15.75" customHeight="1">
      <c r="A880" s="31"/>
      <c r="B880" s="31"/>
      <c r="C880" s="31"/>
      <c r="D880" s="31"/>
      <c r="E880" s="31"/>
      <c r="F880" s="31"/>
      <c r="G880" s="31"/>
    </row>
    <row r="881" ht="15.75" customHeight="1">
      <c r="A881" s="31"/>
      <c r="B881" s="31"/>
      <c r="C881" s="31"/>
      <c r="D881" s="31"/>
      <c r="E881" s="31"/>
      <c r="F881" s="31"/>
      <c r="G881" s="31"/>
    </row>
    <row r="882" ht="15.75" customHeight="1">
      <c r="A882" s="31"/>
      <c r="B882" s="31"/>
      <c r="C882" s="31"/>
      <c r="D882" s="31"/>
      <c r="E882" s="31"/>
      <c r="F882" s="31"/>
      <c r="G882" s="31"/>
    </row>
    <row r="883" ht="15.75" customHeight="1">
      <c r="A883" s="31"/>
      <c r="B883" s="31"/>
      <c r="C883" s="31"/>
      <c r="D883" s="31"/>
      <c r="E883" s="31"/>
      <c r="F883" s="31"/>
      <c r="G883" s="31"/>
    </row>
    <row r="884" ht="15.75" customHeight="1">
      <c r="A884" s="31"/>
      <c r="B884" s="31"/>
      <c r="C884" s="31"/>
      <c r="D884" s="31"/>
      <c r="E884" s="31"/>
      <c r="F884" s="31"/>
      <c r="G884" s="31"/>
    </row>
    <row r="885" ht="15.75" customHeight="1">
      <c r="A885" s="31"/>
      <c r="B885" s="31"/>
      <c r="C885" s="31"/>
      <c r="D885" s="31"/>
      <c r="E885" s="31"/>
      <c r="F885" s="31"/>
      <c r="G885" s="31"/>
    </row>
    <row r="886" ht="15.75" customHeight="1">
      <c r="A886" s="31"/>
      <c r="B886" s="31"/>
      <c r="C886" s="31"/>
      <c r="D886" s="31"/>
      <c r="E886" s="31"/>
      <c r="F886" s="31"/>
      <c r="G886" s="31"/>
    </row>
    <row r="887" ht="15.75" customHeight="1">
      <c r="A887" s="31"/>
      <c r="B887" s="31"/>
      <c r="C887" s="31"/>
      <c r="D887" s="31"/>
      <c r="E887" s="31"/>
      <c r="F887" s="31"/>
      <c r="G887" s="31"/>
    </row>
    <row r="888" ht="15.75" customHeight="1">
      <c r="A888" s="31"/>
      <c r="B888" s="31"/>
      <c r="C888" s="31"/>
      <c r="D888" s="31"/>
      <c r="E888" s="31"/>
      <c r="F888" s="31"/>
      <c r="G888" s="31"/>
    </row>
    <row r="889" ht="15.75" customHeight="1">
      <c r="A889" s="31"/>
      <c r="B889" s="31"/>
      <c r="C889" s="31"/>
      <c r="D889" s="31"/>
      <c r="E889" s="31"/>
      <c r="F889" s="31"/>
      <c r="G889" s="31"/>
    </row>
    <row r="890" ht="15.75" customHeight="1">
      <c r="A890" s="31"/>
      <c r="B890" s="31"/>
      <c r="C890" s="31"/>
      <c r="D890" s="31"/>
      <c r="E890" s="31"/>
      <c r="F890" s="31"/>
      <c r="G890" s="31"/>
    </row>
    <row r="891" ht="15.75" customHeight="1">
      <c r="A891" s="31"/>
      <c r="B891" s="31"/>
      <c r="C891" s="31"/>
      <c r="D891" s="31"/>
      <c r="E891" s="31"/>
      <c r="F891" s="31"/>
      <c r="G891" s="31"/>
    </row>
    <row r="892" ht="15.75" customHeight="1">
      <c r="A892" s="31"/>
      <c r="B892" s="31"/>
      <c r="C892" s="31"/>
      <c r="D892" s="31"/>
      <c r="E892" s="31"/>
      <c r="F892" s="31"/>
      <c r="G892" s="31"/>
    </row>
    <row r="893" ht="15.75" customHeight="1">
      <c r="A893" s="31"/>
      <c r="B893" s="31"/>
      <c r="C893" s="31"/>
      <c r="D893" s="31"/>
      <c r="E893" s="31"/>
      <c r="F893" s="31"/>
      <c r="G893" s="31"/>
    </row>
    <row r="894" ht="15.75" customHeight="1">
      <c r="A894" s="31"/>
      <c r="B894" s="31"/>
      <c r="C894" s="31"/>
      <c r="D894" s="31"/>
      <c r="E894" s="31"/>
      <c r="F894" s="31"/>
      <c r="G894" s="31"/>
    </row>
    <row r="895" ht="15.75" customHeight="1">
      <c r="A895" s="31"/>
      <c r="B895" s="31"/>
      <c r="C895" s="31"/>
      <c r="D895" s="31"/>
      <c r="E895" s="31"/>
      <c r="F895" s="31"/>
      <c r="G895" s="31"/>
    </row>
    <row r="896" ht="15.75" customHeight="1">
      <c r="A896" s="31"/>
      <c r="B896" s="31"/>
      <c r="C896" s="31"/>
      <c r="D896" s="31"/>
      <c r="E896" s="31"/>
      <c r="F896" s="31"/>
      <c r="G896" s="31"/>
    </row>
    <row r="897" ht="15.75" customHeight="1">
      <c r="A897" s="31"/>
      <c r="B897" s="31"/>
      <c r="C897" s="31"/>
      <c r="D897" s="31"/>
      <c r="E897" s="31"/>
      <c r="F897" s="31"/>
      <c r="G897" s="31"/>
    </row>
    <row r="898" ht="15.75" customHeight="1">
      <c r="A898" s="31"/>
      <c r="B898" s="31"/>
      <c r="C898" s="31"/>
      <c r="D898" s="31"/>
      <c r="E898" s="31"/>
      <c r="F898" s="31"/>
      <c r="G898" s="31"/>
    </row>
    <row r="899" ht="15.75" customHeight="1">
      <c r="A899" s="31"/>
      <c r="B899" s="31"/>
      <c r="C899" s="31"/>
      <c r="D899" s="31"/>
      <c r="E899" s="31"/>
      <c r="F899" s="31"/>
      <c r="G899" s="31"/>
    </row>
    <row r="900" ht="15.75" customHeight="1">
      <c r="A900" s="31"/>
      <c r="B900" s="31"/>
      <c r="C900" s="31"/>
      <c r="D900" s="31"/>
      <c r="E900" s="31"/>
      <c r="F900" s="31"/>
      <c r="G900" s="31"/>
    </row>
    <row r="901" ht="15.75" customHeight="1">
      <c r="A901" s="31"/>
      <c r="B901" s="31"/>
      <c r="C901" s="31"/>
      <c r="D901" s="31"/>
      <c r="E901" s="31"/>
      <c r="F901" s="31"/>
      <c r="G901" s="31"/>
    </row>
    <row r="902" ht="15.75" customHeight="1">
      <c r="A902" s="31"/>
      <c r="B902" s="31"/>
      <c r="C902" s="31"/>
      <c r="D902" s="31"/>
      <c r="E902" s="31"/>
      <c r="F902" s="31"/>
      <c r="G902" s="31"/>
    </row>
    <row r="903" ht="15.75" customHeight="1">
      <c r="A903" s="31"/>
      <c r="B903" s="31"/>
      <c r="C903" s="31"/>
      <c r="D903" s="31"/>
      <c r="E903" s="31"/>
      <c r="F903" s="31"/>
      <c r="G903" s="31"/>
    </row>
    <row r="904" ht="15.75" customHeight="1">
      <c r="A904" s="31"/>
      <c r="B904" s="31"/>
      <c r="C904" s="31"/>
      <c r="D904" s="31"/>
      <c r="E904" s="31"/>
      <c r="F904" s="31"/>
      <c r="G904" s="31"/>
    </row>
    <row r="905" ht="15.75" customHeight="1">
      <c r="A905" s="31"/>
      <c r="B905" s="31"/>
      <c r="C905" s="31"/>
      <c r="D905" s="31"/>
      <c r="E905" s="31"/>
      <c r="F905" s="31"/>
      <c r="G905" s="31"/>
    </row>
    <row r="906" ht="15.75" customHeight="1">
      <c r="A906" s="31"/>
      <c r="B906" s="31"/>
      <c r="C906" s="31"/>
      <c r="D906" s="31"/>
      <c r="E906" s="31"/>
      <c r="F906" s="31"/>
      <c r="G906" s="31"/>
    </row>
    <row r="907" ht="15.75" customHeight="1">
      <c r="A907" s="31"/>
      <c r="B907" s="31"/>
      <c r="C907" s="31"/>
      <c r="D907" s="31"/>
      <c r="E907" s="31"/>
      <c r="F907" s="31"/>
      <c r="G907" s="31"/>
    </row>
    <row r="908" ht="15.75" customHeight="1">
      <c r="A908" s="31"/>
      <c r="B908" s="31"/>
      <c r="C908" s="31"/>
      <c r="D908" s="31"/>
      <c r="E908" s="31"/>
      <c r="F908" s="31"/>
      <c r="G908" s="31"/>
    </row>
    <row r="909" ht="15.75" customHeight="1">
      <c r="A909" s="31"/>
      <c r="B909" s="31"/>
      <c r="C909" s="31"/>
      <c r="D909" s="31"/>
      <c r="E909" s="31"/>
      <c r="F909" s="31"/>
      <c r="G909" s="31"/>
    </row>
    <row r="910" ht="15.75" customHeight="1">
      <c r="A910" s="31"/>
      <c r="B910" s="31"/>
      <c r="C910" s="31"/>
      <c r="D910" s="31"/>
      <c r="E910" s="31"/>
      <c r="F910" s="31"/>
      <c r="G910" s="31"/>
    </row>
    <row r="911" ht="15.75" customHeight="1">
      <c r="A911" s="31"/>
      <c r="B911" s="31"/>
      <c r="C911" s="31"/>
      <c r="D911" s="31"/>
      <c r="E911" s="31"/>
      <c r="F911" s="31"/>
      <c r="G911" s="31"/>
    </row>
    <row r="912" ht="15.75" customHeight="1">
      <c r="A912" s="31"/>
      <c r="B912" s="31"/>
      <c r="C912" s="31"/>
      <c r="D912" s="31"/>
      <c r="E912" s="31"/>
      <c r="F912" s="31"/>
      <c r="G912" s="31"/>
    </row>
    <row r="913" ht="15.75" customHeight="1">
      <c r="A913" s="31"/>
      <c r="B913" s="31"/>
      <c r="C913" s="31"/>
      <c r="D913" s="31"/>
      <c r="E913" s="31"/>
      <c r="F913" s="31"/>
      <c r="G913" s="31"/>
    </row>
    <row r="914" ht="15.75" customHeight="1">
      <c r="A914" s="31"/>
      <c r="B914" s="31"/>
      <c r="C914" s="31"/>
      <c r="D914" s="31"/>
      <c r="E914" s="31"/>
      <c r="F914" s="31"/>
      <c r="G914" s="31"/>
    </row>
    <row r="915" ht="15.75" customHeight="1">
      <c r="A915" s="31"/>
      <c r="B915" s="31"/>
      <c r="C915" s="31"/>
      <c r="D915" s="31"/>
      <c r="E915" s="31"/>
      <c r="F915" s="31"/>
      <c r="G915" s="31"/>
    </row>
    <row r="916" ht="15.75" customHeight="1">
      <c r="A916" s="31"/>
      <c r="B916" s="31"/>
      <c r="C916" s="31"/>
      <c r="D916" s="31"/>
      <c r="E916" s="31"/>
      <c r="F916" s="31"/>
      <c r="G916" s="31"/>
    </row>
    <row r="917" ht="15.75" customHeight="1">
      <c r="A917" s="31"/>
      <c r="B917" s="31"/>
      <c r="C917" s="31"/>
      <c r="D917" s="31"/>
      <c r="E917" s="31"/>
      <c r="F917" s="31"/>
      <c r="G917" s="31"/>
    </row>
    <row r="918" ht="15.75" customHeight="1">
      <c r="A918" s="31"/>
      <c r="B918" s="31"/>
      <c r="C918" s="31"/>
      <c r="D918" s="31"/>
      <c r="E918" s="31"/>
      <c r="F918" s="31"/>
      <c r="G918" s="31"/>
    </row>
    <row r="919" ht="15.75" customHeight="1">
      <c r="A919" s="31"/>
      <c r="B919" s="31"/>
      <c r="C919" s="31"/>
      <c r="D919" s="31"/>
      <c r="E919" s="31"/>
      <c r="F919" s="31"/>
      <c r="G919" s="31"/>
    </row>
    <row r="920" ht="15.75" customHeight="1">
      <c r="A920" s="31"/>
      <c r="B920" s="31"/>
      <c r="C920" s="31"/>
      <c r="D920" s="31"/>
      <c r="E920" s="31"/>
      <c r="F920" s="31"/>
      <c r="G920" s="31"/>
    </row>
    <row r="921" ht="15.75" customHeight="1">
      <c r="A921" s="31"/>
      <c r="B921" s="31"/>
      <c r="C921" s="31"/>
      <c r="D921" s="31"/>
      <c r="E921" s="31"/>
      <c r="F921" s="31"/>
      <c r="G921" s="31"/>
    </row>
    <row r="922" ht="15.75" customHeight="1">
      <c r="A922" s="31"/>
      <c r="B922" s="31"/>
      <c r="C922" s="31"/>
      <c r="D922" s="31"/>
      <c r="E922" s="31"/>
      <c r="F922" s="31"/>
      <c r="G922" s="31"/>
    </row>
    <row r="923" ht="15.75" customHeight="1">
      <c r="A923" s="31"/>
      <c r="B923" s="31"/>
      <c r="C923" s="31"/>
      <c r="D923" s="31"/>
      <c r="E923" s="31"/>
      <c r="F923" s="31"/>
      <c r="G923" s="31"/>
    </row>
    <row r="924" ht="15.75" customHeight="1">
      <c r="A924" s="31"/>
      <c r="B924" s="31"/>
      <c r="C924" s="31"/>
      <c r="D924" s="31"/>
      <c r="E924" s="31"/>
      <c r="F924" s="31"/>
      <c r="G924" s="31"/>
    </row>
    <row r="925" ht="15.75" customHeight="1">
      <c r="A925" s="31"/>
      <c r="B925" s="31"/>
      <c r="C925" s="31"/>
      <c r="D925" s="31"/>
      <c r="E925" s="31"/>
      <c r="F925" s="31"/>
      <c r="G925" s="31"/>
    </row>
    <row r="926" ht="15.75" customHeight="1">
      <c r="A926" s="31"/>
      <c r="B926" s="31"/>
      <c r="C926" s="31"/>
      <c r="D926" s="31"/>
      <c r="E926" s="31"/>
      <c r="F926" s="31"/>
      <c r="G926" s="31"/>
    </row>
    <row r="927" ht="15.75" customHeight="1">
      <c r="A927" s="31"/>
      <c r="B927" s="31"/>
      <c r="C927" s="31"/>
      <c r="D927" s="31"/>
      <c r="E927" s="31"/>
      <c r="F927" s="31"/>
      <c r="G927" s="31"/>
    </row>
    <row r="928" ht="15.75" customHeight="1">
      <c r="A928" s="31"/>
      <c r="B928" s="31"/>
      <c r="C928" s="31"/>
      <c r="D928" s="31"/>
      <c r="E928" s="31"/>
      <c r="F928" s="31"/>
      <c r="G928" s="31"/>
    </row>
    <row r="929" ht="15.75" customHeight="1">
      <c r="A929" s="31"/>
      <c r="B929" s="31"/>
      <c r="C929" s="31"/>
      <c r="D929" s="31"/>
      <c r="E929" s="31"/>
      <c r="F929" s="31"/>
      <c r="G929" s="31"/>
    </row>
    <row r="930" ht="15.75" customHeight="1">
      <c r="A930" s="31"/>
      <c r="B930" s="31"/>
      <c r="C930" s="31"/>
      <c r="D930" s="31"/>
      <c r="E930" s="31"/>
      <c r="F930" s="31"/>
      <c r="G930" s="31"/>
    </row>
    <row r="931" ht="15.75" customHeight="1">
      <c r="A931" s="31"/>
      <c r="B931" s="31"/>
      <c r="C931" s="31"/>
      <c r="D931" s="31"/>
      <c r="E931" s="31"/>
      <c r="F931" s="31"/>
      <c r="G931" s="31"/>
    </row>
    <row r="932" ht="15.75" customHeight="1">
      <c r="A932" s="31"/>
      <c r="B932" s="31"/>
      <c r="C932" s="31"/>
      <c r="D932" s="31"/>
      <c r="E932" s="31"/>
      <c r="F932" s="31"/>
      <c r="G932" s="31"/>
    </row>
    <row r="933" ht="15.75" customHeight="1">
      <c r="A933" s="31"/>
      <c r="B933" s="31"/>
      <c r="C933" s="31"/>
      <c r="D933" s="31"/>
      <c r="E933" s="31"/>
      <c r="F933" s="31"/>
      <c r="G933" s="31"/>
    </row>
    <row r="934" ht="15.75" customHeight="1">
      <c r="A934" s="31"/>
      <c r="B934" s="31"/>
      <c r="C934" s="31"/>
      <c r="D934" s="31"/>
      <c r="E934" s="31"/>
      <c r="F934" s="31"/>
      <c r="G934" s="31"/>
    </row>
    <row r="935" ht="15.75" customHeight="1">
      <c r="A935" s="31"/>
      <c r="B935" s="31"/>
      <c r="C935" s="31"/>
      <c r="D935" s="31"/>
      <c r="E935" s="31"/>
      <c r="F935" s="31"/>
      <c r="G935" s="31"/>
    </row>
    <row r="936" ht="15.75" customHeight="1">
      <c r="A936" s="31"/>
      <c r="B936" s="31"/>
      <c r="C936" s="31"/>
      <c r="D936" s="31"/>
      <c r="E936" s="31"/>
      <c r="F936" s="31"/>
      <c r="G936" s="31"/>
    </row>
    <row r="937" ht="15.75" customHeight="1">
      <c r="A937" s="31"/>
      <c r="B937" s="31"/>
      <c r="C937" s="31"/>
      <c r="D937" s="31"/>
      <c r="E937" s="31"/>
      <c r="F937" s="31"/>
      <c r="G937" s="31"/>
    </row>
    <row r="938" ht="15.75" customHeight="1">
      <c r="A938" s="31"/>
      <c r="B938" s="31"/>
      <c r="C938" s="31"/>
      <c r="D938" s="31"/>
      <c r="E938" s="31"/>
      <c r="F938" s="31"/>
      <c r="G938" s="31"/>
    </row>
    <row r="939" ht="15.75" customHeight="1">
      <c r="A939" s="31"/>
      <c r="B939" s="31"/>
      <c r="C939" s="31"/>
      <c r="D939" s="31"/>
      <c r="E939" s="31"/>
      <c r="F939" s="31"/>
      <c r="G939" s="31"/>
    </row>
    <row r="940" ht="15.75" customHeight="1">
      <c r="A940" s="31"/>
      <c r="B940" s="31"/>
      <c r="C940" s="31"/>
      <c r="D940" s="31"/>
      <c r="E940" s="31"/>
      <c r="F940" s="31"/>
      <c r="G940" s="31"/>
    </row>
    <row r="941" ht="15.75" customHeight="1">
      <c r="A941" s="31"/>
      <c r="B941" s="31"/>
      <c r="C941" s="31"/>
      <c r="D941" s="31"/>
      <c r="E941" s="31"/>
      <c r="F941" s="31"/>
      <c r="G941" s="31"/>
    </row>
    <row r="942" ht="15.75" customHeight="1">
      <c r="A942" s="31"/>
      <c r="B942" s="31"/>
      <c r="C942" s="31"/>
      <c r="D942" s="31"/>
      <c r="E942" s="31"/>
      <c r="F942" s="31"/>
      <c r="G942" s="31"/>
    </row>
    <row r="943" ht="15.75" customHeight="1">
      <c r="A943" s="31"/>
      <c r="B943" s="31"/>
      <c r="C943" s="31"/>
      <c r="D943" s="31"/>
      <c r="E943" s="31"/>
      <c r="F943" s="31"/>
      <c r="G943" s="31"/>
    </row>
    <row r="944" ht="15.75" customHeight="1">
      <c r="A944" s="31"/>
      <c r="B944" s="31"/>
      <c r="C944" s="31"/>
      <c r="D944" s="31"/>
      <c r="E944" s="31"/>
      <c r="F944" s="31"/>
      <c r="G944" s="31"/>
    </row>
    <row r="945" ht="15.75" customHeight="1">
      <c r="A945" s="31"/>
      <c r="B945" s="31"/>
      <c r="C945" s="31"/>
      <c r="D945" s="31"/>
      <c r="E945" s="31"/>
      <c r="F945" s="31"/>
      <c r="G945" s="31"/>
    </row>
    <row r="946" ht="15.75" customHeight="1">
      <c r="A946" s="31"/>
      <c r="B946" s="31"/>
      <c r="C946" s="31"/>
      <c r="D946" s="31"/>
      <c r="E946" s="31"/>
      <c r="F946" s="31"/>
      <c r="G946" s="31"/>
    </row>
    <row r="947" ht="15.75" customHeight="1">
      <c r="A947" s="31"/>
      <c r="B947" s="31"/>
      <c r="C947" s="31"/>
      <c r="D947" s="31"/>
      <c r="E947" s="31"/>
      <c r="F947" s="31"/>
      <c r="G947" s="31"/>
    </row>
    <row r="948" ht="15.75" customHeight="1">
      <c r="A948" s="31"/>
      <c r="B948" s="31"/>
      <c r="C948" s="31"/>
      <c r="D948" s="31"/>
      <c r="E948" s="31"/>
      <c r="F948" s="31"/>
      <c r="G948" s="31"/>
    </row>
    <row r="949" ht="15.75" customHeight="1">
      <c r="A949" s="31"/>
      <c r="B949" s="31"/>
      <c r="C949" s="31"/>
      <c r="D949" s="31"/>
      <c r="E949" s="31"/>
      <c r="F949" s="31"/>
      <c r="G949" s="31"/>
    </row>
    <row r="950" ht="15.75" customHeight="1">
      <c r="A950" s="31"/>
      <c r="B950" s="31"/>
      <c r="C950" s="31"/>
      <c r="D950" s="31"/>
      <c r="E950" s="31"/>
      <c r="F950" s="31"/>
      <c r="G950" s="31"/>
    </row>
    <row r="951" ht="15.75" customHeight="1">
      <c r="A951" s="31"/>
      <c r="B951" s="31"/>
      <c r="C951" s="31"/>
      <c r="D951" s="31"/>
      <c r="E951" s="31"/>
      <c r="F951" s="31"/>
      <c r="G951" s="31"/>
    </row>
    <row r="952" ht="15.75" customHeight="1">
      <c r="A952" s="31"/>
      <c r="B952" s="31"/>
      <c r="C952" s="31"/>
      <c r="D952" s="31"/>
      <c r="E952" s="31"/>
      <c r="F952" s="31"/>
      <c r="G952" s="31"/>
    </row>
    <row r="953" ht="15.75" customHeight="1">
      <c r="A953" s="31"/>
      <c r="B953" s="31"/>
      <c r="C953" s="31"/>
      <c r="D953" s="31"/>
      <c r="E953" s="31"/>
      <c r="F953" s="31"/>
      <c r="G953" s="31"/>
    </row>
    <row r="954" ht="15.75" customHeight="1">
      <c r="A954" s="31"/>
      <c r="B954" s="31"/>
      <c r="C954" s="31"/>
      <c r="D954" s="31"/>
      <c r="E954" s="31"/>
      <c r="F954" s="31"/>
      <c r="G954" s="31"/>
    </row>
    <row r="955" ht="15.75" customHeight="1">
      <c r="A955" s="31"/>
      <c r="B955" s="31"/>
      <c r="C955" s="31"/>
      <c r="D955" s="31"/>
      <c r="E955" s="31"/>
      <c r="F955" s="31"/>
      <c r="G955" s="31"/>
    </row>
    <row r="956" ht="15.75" customHeight="1">
      <c r="A956" s="31"/>
      <c r="B956" s="31"/>
      <c r="C956" s="31"/>
      <c r="D956" s="31"/>
      <c r="E956" s="31"/>
      <c r="F956" s="31"/>
      <c r="G956" s="31"/>
    </row>
    <row r="957" ht="15.75" customHeight="1">
      <c r="A957" s="31"/>
      <c r="B957" s="31"/>
      <c r="C957" s="31"/>
      <c r="D957" s="31"/>
      <c r="E957" s="31"/>
      <c r="F957" s="31"/>
      <c r="G957" s="31"/>
    </row>
    <row r="958" ht="15.75" customHeight="1">
      <c r="A958" s="31"/>
      <c r="B958" s="31"/>
      <c r="C958" s="31"/>
      <c r="D958" s="31"/>
      <c r="E958" s="31"/>
      <c r="F958" s="31"/>
      <c r="G958" s="31"/>
    </row>
    <row r="959" ht="15.75" customHeight="1">
      <c r="A959" s="31"/>
      <c r="B959" s="31"/>
      <c r="C959" s="31"/>
      <c r="D959" s="31"/>
      <c r="E959" s="31"/>
      <c r="F959" s="31"/>
      <c r="G959" s="31"/>
    </row>
    <row r="960" ht="15.75" customHeight="1">
      <c r="A960" s="31"/>
      <c r="B960" s="31"/>
      <c r="C960" s="31"/>
      <c r="D960" s="31"/>
      <c r="E960" s="31"/>
      <c r="F960" s="31"/>
      <c r="G960" s="31"/>
    </row>
    <row r="961" ht="15.75" customHeight="1">
      <c r="A961" s="31"/>
      <c r="B961" s="31"/>
      <c r="C961" s="31"/>
      <c r="D961" s="31"/>
      <c r="E961" s="31"/>
      <c r="F961" s="31"/>
      <c r="G961" s="31"/>
    </row>
    <row r="962" ht="15.75" customHeight="1">
      <c r="A962" s="31"/>
      <c r="B962" s="31"/>
      <c r="C962" s="31"/>
      <c r="D962" s="31"/>
      <c r="E962" s="31"/>
      <c r="F962" s="31"/>
      <c r="G962" s="31"/>
    </row>
    <row r="963" ht="15.75" customHeight="1">
      <c r="A963" s="31"/>
      <c r="B963" s="31"/>
      <c r="C963" s="31"/>
      <c r="D963" s="31"/>
      <c r="E963" s="31"/>
      <c r="F963" s="31"/>
      <c r="G963" s="31"/>
    </row>
    <row r="964" ht="15.75" customHeight="1">
      <c r="A964" s="31"/>
      <c r="B964" s="31"/>
      <c r="C964" s="31"/>
      <c r="D964" s="31"/>
      <c r="E964" s="31"/>
      <c r="F964" s="31"/>
      <c r="G964" s="31"/>
    </row>
    <row r="965" ht="15.75" customHeight="1">
      <c r="A965" s="31"/>
      <c r="B965" s="31"/>
      <c r="C965" s="31"/>
      <c r="D965" s="31"/>
      <c r="E965" s="31"/>
      <c r="F965" s="31"/>
      <c r="G965" s="31"/>
    </row>
    <row r="966" ht="15.75" customHeight="1">
      <c r="A966" s="31"/>
      <c r="B966" s="31"/>
      <c r="C966" s="31"/>
      <c r="D966" s="31"/>
      <c r="E966" s="31"/>
      <c r="F966" s="31"/>
      <c r="G966" s="31"/>
    </row>
    <row r="967" ht="15.75" customHeight="1">
      <c r="A967" s="31"/>
      <c r="B967" s="31"/>
      <c r="C967" s="31"/>
      <c r="D967" s="31"/>
      <c r="E967" s="31"/>
      <c r="F967" s="31"/>
      <c r="G967" s="31"/>
    </row>
    <row r="968" ht="15.75" customHeight="1">
      <c r="A968" s="31"/>
      <c r="B968" s="31"/>
      <c r="C968" s="31"/>
      <c r="D968" s="31"/>
      <c r="E968" s="31"/>
      <c r="F968" s="31"/>
      <c r="G968" s="31"/>
    </row>
    <row r="969" ht="15.75" customHeight="1">
      <c r="A969" s="31"/>
      <c r="B969" s="31"/>
      <c r="C969" s="31"/>
      <c r="D969" s="31"/>
      <c r="E969" s="31"/>
      <c r="F969" s="31"/>
      <c r="G969" s="31"/>
    </row>
    <row r="970" ht="15.75" customHeight="1">
      <c r="A970" s="31"/>
      <c r="B970" s="31"/>
      <c r="C970" s="31"/>
      <c r="D970" s="31"/>
      <c r="E970" s="31"/>
      <c r="F970" s="31"/>
      <c r="G970" s="31"/>
    </row>
    <row r="971" ht="15.75" customHeight="1">
      <c r="A971" s="31"/>
      <c r="B971" s="31"/>
      <c r="C971" s="31"/>
      <c r="D971" s="31"/>
      <c r="E971" s="31"/>
      <c r="F971" s="31"/>
      <c r="G971" s="31"/>
    </row>
    <row r="972" ht="15.75" customHeight="1">
      <c r="A972" s="31"/>
      <c r="B972" s="31"/>
      <c r="C972" s="31"/>
      <c r="D972" s="31"/>
      <c r="E972" s="31"/>
      <c r="F972" s="31"/>
      <c r="G972" s="31"/>
    </row>
    <row r="973" ht="15.75" customHeight="1">
      <c r="A973" s="31"/>
      <c r="B973" s="31"/>
      <c r="C973" s="31"/>
      <c r="D973" s="31"/>
      <c r="E973" s="31"/>
      <c r="F973" s="31"/>
      <c r="G973" s="31"/>
    </row>
    <row r="974" ht="15.75" customHeight="1">
      <c r="A974" s="31"/>
      <c r="B974" s="31"/>
      <c r="C974" s="31"/>
      <c r="D974" s="31"/>
      <c r="E974" s="31"/>
      <c r="F974" s="31"/>
      <c r="G974" s="31"/>
    </row>
    <row r="975" ht="15.75" customHeight="1">
      <c r="A975" s="31"/>
      <c r="B975" s="31"/>
      <c r="C975" s="31"/>
      <c r="D975" s="31"/>
      <c r="E975" s="31"/>
      <c r="F975" s="31"/>
      <c r="G975" s="31"/>
    </row>
    <row r="976" ht="15.75" customHeight="1">
      <c r="A976" s="31"/>
      <c r="B976" s="31"/>
      <c r="C976" s="31"/>
      <c r="D976" s="31"/>
      <c r="E976" s="31"/>
      <c r="F976" s="31"/>
      <c r="G976" s="31"/>
    </row>
    <row r="977" ht="15.75" customHeight="1">
      <c r="A977" s="31"/>
      <c r="B977" s="31"/>
      <c r="C977" s="31"/>
      <c r="D977" s="31"/>
      <c r="E977" s="31"/>
      <c r="F977" s="31"/>
      <c r="G977" s="31"/>
    </row>
    <row r="978" ht="15.75" customHeight="1">
      <c r="A978" s="31"/>
      <c r="B978" s="31"/>
      <c r="C978" s="31"/>
      <c r="D978" s="31"/>
      <c r="E978" s="31"/>
      <c r="F978" s="31"/>
      <c r="G978" s="31"/>
    </row>
    <row r="979" ht="15.75" customHeight="1">
      <c r="A979" s="31"/>
      <c r="B979" s="31"/>
      <c r="C979" s="31"/>
      <c r="D979" s="31"/>
      <c r="E979" s="31"/>
      <c r="F979" s="31"/>
      <c r="G979" s="31"/>
    </row>
    <row r="980" ht="15.75" customHeight="1">
      <c r="A980" s="31"/>
      <c r="B980" s="31"/>
      <c r="C980" s="31"/>
      <c r="D980" s="31"/>
      <c r="E980" s="31"/>
      <c r="F980" s="31"/>
      <c r="G980" s="31"/>
    </row>
    <row r="981" ht="15.75" customHeight="1">
      <c r="A981" s="31"/>
      <c r="B981" s="31"/>
      <c r="C981" s="31"/>
      <c r="D981" s="31"/>
      <c r="E981" s="31"/>
      <c r="F981" s="31"/>
      <c r="G981" s="31"/>
    </row>
    <row r="982" ht="15.75" customHeight="1">
      <c r="A982" s="31"/>
      <c r="B982" s="31"/>
      <c r="C982" s="31"/>
      <c r="D982" s="31"/>
      <c r="E982" s="31"/>
      <c r="F982" s="31"/>
      <c r="G982" s="31"/>
    </row>
    <row r="983" ht="15.75" customHeight="1">
      <c r="A983" s="31"/>
      <c r="B983" s="31"/>
      <c r="C983" s="31"/>
      <c r="D983" s="31"/>
      <c r="E983" s="31"/>
      <c r="F983" s="31"/>
      <c r="G983" s="31"/>
    </row>
    <row r="984" ht="15.75" customHeight="1">
      <c r="A984" s="31"/>
      <c r="B984" s="31"/>
      <c r="C984" s="31"/>
      <c r="D984" s="31"/>
      <c r="E984" s="31"/>
      <c r="F984" s="31"/>
      <c r="G984" s="31"/>
    </row>
    <row r="985" ht="15.75" customHeight="1">
      <c r="A985" s="31"/>
      <c r="B985" s="31"/>
      <c r="C985" s="31"/>
      <c r="D985" s="31"/>
      <c r="E985" s="31"/>
      <c r="F985" s="31"/>
      <c r="G985" s="31"/>
    </row>
    <row r="986" ht="15.75" customHeight="1">
      <c r="A986" s="31"/>
      <c r="B986" s="31"/>
      <c r="C986" s="31"/>
      <c r="D986" s="31"/>
      <c r="E986" s="31"/>
      <c r="F986" s="31"/>
      <c r="G986" s="31"/>
    </row>
    <row r="987" ht="15.75" customHeight="1">
      <c r="A987" s="31"/>
      <c r="B987" s="31"/>
      <c r="C987" s="31"/>
      <c r="D987" s="31"/>
      <c r="E987" s="31"/>
      <c r="F987" s="31"/>
      <c r="G987" s="31"/>
    </row>
    <row r="988" ht="15.75" customHeight="1">
      <c r="A988" s="31"/>
      <c r="B988" s="31"/>
      <c r="C988" s="31"/>
      <c r="D988" s="31"/>
      <c r="E988" s="31"/>
      <c r="F988" s="31"/>
      <c r="G988" s="31"/>
    </row>
    <row r="989" ht="15.75" customHeight="1">
      <c r="A989" s="31"/>
      <c r="B989" s="31"/>
      <c r="C989" s="31"/>
      <c r="D989" s="31"/>
      <c r="E989" s="31"/>
      <c r="F989" s="31"/>
      <c r="G989" s="31"/>
    </row>
    <row r="990" ht="15.75" customHeight="1">
      <c r="A990" s="31"/>
      <c r="B990" s="31"/>
      <c r="C990" s="31"/>
      <c r="D990" s="31"/>
      <c r="E990" s="31"/>
      <c r="F990" s="31"/>
      <c r="G990" s="31"/>
    </row>
    <row r="991" ht="15.75" customHeight="1">
      <c r="A991" s="31"/>
      <c r="B991" s="31"/>
      <c r="C991" s="31"/>
      <c r="D991" s="31"/>
      <c r="E991" s="31"/>
      <c r="F991" s="31"/>
      <c r="G991" s="31"/>
    </row>
    <row r="992" ht="15.75" customHeight="1">
      <c r="A992" s="31"/>
      <c r="B992" s="31"/>
      <c r="C992" s="31"/>
      <c r="D992" s="31"/>
      <c r="E992" s="31"/>
      <c r="F992" s="31"/>
      <c r="G992" s="31"/>
    </row>
    <row r="993" ht="15.75" customHeight="1">
      <c r="A993" s="31"/>
      <c r="B993" s="31"/>
      <c r="C993" s="31"/>
      <c r="D993" s="31"/>
      <c r="E993" s="31"/>
      <c r="F993" s="31"/>
      <c r="G993" s="31"/>
    </row>
    <row r="994" ht="15.75" customHeight="1">
      <c r="A994" s="31"/>
      <c r="B994" s="31"/>
      <c r="C994" s="31"/>
      <c r="D994" s="31"/>
      <c r="E994" s="31"/>
      <c r="F994" s="31"/>
      <c r="G994" s="31"/>
    </row>
    <row r="995" ht="15.75" customHeight="1">
      <c r="A995" s="31"/>
      <c r="B995" s="31"/>
      <c r="C995" s="31"/>
      <c r="D995" s="31"/>
      <c r="E995" s="31"/>
      <c r="F995" s="31"/>
      <c r="G995" s="31"/>
    </row>
    <row r="996" ht="15.75" customHeight="1">
      <c r="A996" s="31"/>
      <c r="B996" s="31"/>
      <c r="C996" s="31"/>
      <c r="D996" s="31"/>
      <c r="E996" s="31"/>
      <c r="F996" s="31"/>
      <c r="G996" s="31"/>
    </row>
    <row r="997" ht="15.75" customHeight="1">
      <c r="A997" s="31"/>
      <c r="B997" s="31"/>
      <c r="C997" s="31"/>
      <c r="D997" s="31"/>
      <c r="E997" s="31"/>
      <c r="F997" s="31"/>
      <c r="G997" s="31"/>
    </row>
    <row r="998" ht="15.75" customHeight="1">
      <c r="A998" s="31"/>
      <c r="B998" s="31"/>
      <c r="C998" s="31"/>
      <c r="D998" s="31"/>
      <c r="E998" s="31"/>
      <c r="F998" s="31"/>
      <c r="G998" s="31"/>
    </row>
    <row r="999" ht="15.75" customHeight="1">
      <c r="A999" s="31"/>
      <c r="B999" s="31"/>
      <c r="C999" s="31"/>
      <c r="D999" s="31"/>
      <c r="E999" s="31"/>
      <c r="F999" s="31"/>
      <c r="G999" s="31"/>
    </row>
    <row r="1000" ht="15.75" customHeight="1">
      <c r="A1000" s="31"/>
      <c r="B1000" s="31"/>
      <c r="C1000" s="31"/>
      <c r="D1000" s="31"/>
      <c r="E1000" s="31"/>
      <c r="F1000" s="31"/>
      <c r="G1000" s="31"/>
    </row>
  </sheetData>
  <autoFilter ref="$A$1:$G$44"/>
  <printOptions/>
  <pageMargins bottom="1.0" footer="0.0" header="0.0" left="0.75" right="0.75" top="1.0"/>
  <pageSetup paperSize="9" orientation="portrait"/>
  <drawing r:id="rId1"/>
</worksheet>
</file>